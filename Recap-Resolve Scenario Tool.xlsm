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BDBD08B4-E764-9E8A-9C2C-B5BA9A0880B9}"/>
  <workbookPr codeName="ThisWorkbook"/>
  <mc:AlternateContent xmlns:mc="http://schemas.openxmlformats.org/markup-compatibility/2006">
    <mc:Choice Requires="x15">
      <x15ac:absPath xmlns:x15ac="http://schemas.microsoft.com/office/spreadsheetml/2010/11/ac" url="/Users/rgo/PycharmProjects/kit/"/>
    </mc:Choice>
  </mc:AlternateContent>
  <xr:revisionPtr revIDLastSave="0" documentId="13_ncr:1_{C375A35E-9629-5F4F-BC49-5F1FA27F8F33}" xr6:coauthVersionLast="47" xr6:coauthVersionMax="47" xr10:uidLastSave="{00000000-0000-0000-0000-000000000000}"/>
  <bookViews>
    <workbookView xWindow="0" yWindow="880" windowWidth="30240" windowHeight="17380" tabRatio="922" activeTab="3" xr2:uid="{9DEC9F6F-A494-4E03-A122-2B858774388B}"/>
  </bookViews>
  <sheets>
    <sheet name="__snloffice" sheetId="95" state="veryHidden" r:id="rId1"/>
    <sheet name="xlwings.conf" sheetId="109" state="hidden" r:id="rId2"/>
    <sheet name="Cover &amp; Configuration" sheetId="32" r:id="rId3"/>
    <sheet name="__names__" sheetId="110" r:id="rId4"/>
    <sheet name="RESOLVE Case Settings" sheetId="45" state="hidden" r:id="rId5"/>
    <sheet name="RECAP Case Dashboard" sheetId="102" state="hidden" r:id="rId6"/>
    <sheet name="RECAP Case Settings" sheetId="103" r:id="rId7"/>
    <sheet name="RESOLVE2RECAP" sheetId="104" state="hidden" r:id="rId8"/>
    <sheet name="Temporal Settings" sheetId="70" state="hidden" r:id="rId9"/>
    <sheet name="Custom Constraints" sheetId="62" state="hidden" r:id="rId10"/>
    <sheet name="System" sheetId="44" r:id="rId11"/>
    <sheet name="Non-Optimized System Costs" sheetId="87" state="hidden" r:id="rId12"/>
    <sheet name="Fuels" sheetId="51" state="hidden" r:id="rId13"/>
    <sheet name="Components→" sheetId="108" r:id="rId14"/>
    <sheet name="Loads" sheetId="49" r:id="rId15"/>
    <sheet name="Operating Reserves" sheetId="52" r:id="rId16"/>
    <sheet name="Policies →" sheetId="82" state="hidden" r:id="rId17"/>
    <sheet name="GHG Target" sheetId="53" state="hidden" r:id="rId18"/>
    <sheet name="Emissions Price" sheetId="100" state="hidden" r:id="rId19"/>
    <sheet name="PRM" sheetId="85" state="hidden" r:id="rId20"/>
    <sheet name="RPS and CES" sheetId="83" state="hidden" r:id="rId21"/>
    <sheet name="Resources →" sheetId="72" r:id="rId22"/>
    <sheet name="Assets" sheetId="93" state="hidden" r:id="rId23"/>
    <sheet name="Thermal" sheetId="75" r:id="rId24"/>
    <sheet name="Variable" sheetId="76" r:id="rId25"/>
    <sheet name="Hydro" sheetId="78" r:id="rId26"/>
    <sheet name="Storage" sheetId="77" r:id="rId27"/>
    <sheet name="Hybrid Variable" sheetId="107" r:id="rId28"/>
    <sheet name="Hybrid Storage" sheetId="106" r:id="rId29"/>
    <sheet name="Shed DR" sheetId="79" r:id="rId30"/>
    <sheet name="Flexible Loads" sheetId="94" r:id="rId31"/>
    <sheet name="Outage Distributions" sheetId="101" r:id="rId32"/>
    <sheet name="Zones and Transmission" sheetId="50" r:id="rId33"/>
    <sheet name="Lists" sheetId="64" r:id="rId34"/>
  </sheets>
  <functionGroups builtInGroupCount="19"/>
  <definedNames>
    <definedName name="__FDS_HYPERLINK_TOGGLE_STATE__" hidden="1">"ON"</definedName>
    <definedName name="_xlnm._FilterDatabase" localSheetId="22" hidden="1">Assets!$A$10:$EM$20</definedName>
    <definedName name="_xlnm._FilterDatabase" localSheetId="9" hidden="1">'Custom Constraints'!$A$12:$CI$112</definedName>
    <definedName name="_xlnm._FilterDatabase" localSheetId="30" hidden="1">'Flexible Loads'!$A$10:$IU$10</definedName>
    <definedName name="_xlnm._FilterDatabase" localSheetId="28" hidden="1">'Hybrid Storage'!$A$10:$PW$20</definedName>
    <definedName name="_xlnm._FilterDatabase" localSheetId="27" hidden="1">'Hybrid Variable'!$A$10:$JI$25</definedName>
    <definedName name="_xlnm._FilterDatabase" localSheetId="25" hidden="1">Hydro!$A$10:$JJ$20</definedName>
    <definedName name="_xlnm._FilterDatabase" localSheetId="33" hidden="1">Lists!$CI$8:$CO$45</definedName>
    <definedName name="_xlnm._FilterDatabase" localSheetId="14" hidden="1">Loads!$A$10:$DG$60</definedName>
    <definedName name="_xlnm._FilterDatabase" localSheetId="15" hidden="1">'Operating Reserves'!$C$55:$AT$80</definedName>
    <definedName name="_xlnm._FilterDatabase" localSheetId="19" hidden="1">PRM!$A$157:$DC$207</definedName>
    <definedName name="_xlnm._FilterDatabase" localSheetId="20" hidden="1">'RPS and CES'!$A$59:$BX$186</definedName>
    <definedName name="_xlnm._FilterDatabase" localSheetId="29" hidden="1">'Shed DR'!$A$10:$JE$35</definedName>
    <definedName name="_xlnm._FilterDatabase" localSheetId="26" hidden="1">Storage!$A$10:$PW$37</definedName>
    <definedName name="_xlnm._FilterDatabase" localSheetId="10" hidden="1">System!$A$20:$Q$120</definedName>
    <definedName name="_xlnm._FilterDatabase" localSheetId="23" hidden="1">Thermal!$A$10:$KA$35</definedName>
    <definedName name="_xlnm._FilterDatabase" localSheetId="24" hidden="1">Variable!$A$10:$JI$35</definedName>
    <definedName name="_xlnm._FilterDatabase" localSheetId="32" hidden="1">'Zones and Transmission'!$A$27:$FS$27</definedName>
    <definedName name="_Order1" hidden="1">255</definedName>
    <definedName name="_Order2" hidden="1">255</definedName>
    <definedName name="_xlpm.all_scenario_tags" hidden="1" xlm="1">#NAME?</definedName>
    <definedName name="_xlpm.x" hidden="1" xlm="1">#NAME?</definedName>
    <definedName name="adjacency">'Flexible Loads'!$HV$9:$HV$35</definedName>
    <definedName name="allow_inter_period_sharing" localSheetId="30">'Flexible Loads'!$HW$9:$HW$35</definedName>
    <definedName name="AllToPolicy" localSheetId="22">Assets!$H$11:$K$20</definedName>
    <definedName name="AllToPolicy" localSheetId="18">'Emissions Price'!$C$23:$D$30</definedName>
    <definedName name="AllToPolicy" localSheetId="30">'Flexible Loads'!$U$11:$X$35</definedName>
    <definedName name="AllToPolicy" localSheetId="17">'GHG Target'!$C$24:$D$26</definedName>
    <definedName name="AllToPolicy" localSheetId="28">'Hybrid Storage'!$U$11:$X$20</definedName>
    <definedName name="AllToPolicy" localSheetId="27">'Hybrid Variable'!$U$11:$Z$25</definedName>
    <definedName name="AllToPolicy" localSheetId="25">Hydro!$U$11:$Z$20</definedName>
    <definedName name="AllToPolicy" localSheetId="19">PRM!$C$50:$D$74</definedName>
    <definedName name="AllToPolicy" localSheetId="20">'RPS and CES'!$C$60:$D$186</definedName>
    <definedName name="AllToPolicy" localSheetId="29">'Shed DR'!$U$11:$X$35</definedName>
    <definedName name="AllToPolicy" localSheetId="26">Storage!$U$11:$X$38</definedName>
    <definedName name="AllToPolicy" localSheetId="23">Thermal!$W$11:$AD$35</definedName>
    <definedName name="AllToPolicy" localSheetId="24">Variable!$U$11:$Z$35</definedName>
    <definedName name="AllToPolicy.__2" localSheetId="18">'Emissions Price'!$C$64:$D$78</definedName>
    <definedName name="AllToPolicy.__2" localSheetId="17">'GHG Target'!$C$60:$D$74</definedName>
    <definedName name="AllToPolicy.__2" localSheetId="19">PRM!$C$30:$D$42</definedName>
    <definedName name="AllToPolicy.__2" localSheetId="20">'RPS and CES'!$C$23:$D$52</definedName>
    <definedName name="AllToPolicy.__2.forward_dir_multiplier" localSheetId="18">'Emissions Price'!$J$62:$AN$78</definedName>
    <definedName name="AllToPolicy.__2.forward_dir_multiplier" localSheetId="17">'GHG Target'!$J$58:$AN$74</definedName>
    <definedName name="AllToPolicy.__2.multiplier" localSheetId="19">PRM!$M$28:$AQ$42</definedName>
    <definedName name="AllToPolicy.__2.multiplier" localSheetId="20">'RPS and CES'!$M$21:$AQ$52</definedName>
    <definedName name="AllToPolicy.__2.reverse_dir_multiplier" localSheetId="18">'Emissions Price'!$AP$62:$BT$78</definedName>
    <definedName name="AllToPolicy.__2.reverse_dir_multiplier">'GHG Target'!$AP$58:$BT$74</definedName>
    <definedName name="AllToPolicy.__2.scenario" localSheetId="18">'Emissions Price'!$H$64:$H$78</definedName>
    <definedName name="AllToPolicy.__2.scenario" localSheetId="20">'RPS and CES'!$H$23:$H$52</definedName>
    <definedName name="AllToPolicy.__2.scenario">'GHG Target'!$H$60:$H$74</definedName>
    <definedName name="AllToPolicy.__3" localSheetId="18">'Emissions Price'!$C$35:$D$59</definedName>
    <definedName name="AllToPolicy.__3">'GHG Target'!$C$31:$D$55</definedName>
    <definedName name="AllToPolicy.__3.multiplier" localSheetId="18">'Emissions Price'!$J$33:$AN$59</definedName>
    <definedName name="AllToPolicy.__3.multiplier">'GHG Target'!$J$29:$AN$55</definedName>
    <definedName name="AllToPolicy.__3.scenario" localSheetId="18">'Emissions Price'!$C$35:$C$59</definedName>
    <definedName name="AllToPolicy.__3.scenario">'GHG Target'!$H$31:$H$55</definedName>
    <definedName name="AllToPolicy.__4">PRM!$C$83:$D$91</definedName>
    <definedName name="AllToPolicy.__4.scenario">PRM!$I$83:$I$91</definedName>
    <definedName name="AllToPolicy.multiplier" localSheetId="18">'Emissions Price'!$J$21:$AN$30</definedName>
    <definedName name="AllToPolicy.multiplier" localSheetId="17">'GHG Target'!$J$22:$AN$26</definedName>
    <definedName name="AllToPolicy.multiplier" localSheetId="20">'RPS and CES'!$M$58:$AQ$186</definedName>
    <definedName name="AllToPolicy.nqc">PRM!$M$48:$AQ$74</definedName>
    <definedName name="AllToPolicy.scenario" localSheetId="18">'Emissions Price'!$H$23:$H$30</definedName>
    <definedName name="AllToPolicy.scenario" localSheetId="17">'GHG Target'!$H$24:$H$26</definedName>
    <definedName name="AllToPolicy.scenario" localSheetId="20">'RPS and CES'!$H$60:$H$186</definedName>
    <definedName name="AllToPolicy.scenario">PRM!$I$50:$I$74</definedName>
    <definedName name="annual_budget" localSheetId="30">'Flexible Loads'!$IT$9:$IU$35</definedName>
    <definedName name="annual_budget" localSheetId="28">'Hybrid Storage'!$PV$9:$PW$20</definedName>
    <definedName name="annual_budget" localSheetId="27">'Hybrid Variable'!$JH$9:$JI$25</definedName>
    <definedName name="annual_budget" localSheetId="25">Hydro!$JP$9:$JQ$20</definedName>
    <definedName name="annual_budget" localSheetId="26">Storage!$PV$9:$PW$38</definedName>
    <definedName name="annual_budget" localSheetId="24">Variable!$JH$9:$JI$35</definedName>
    <definedName name="annual_energy_forecast">Loads!$CC$9:$DG$60</definedName>
    <definedName name="annual_peak_forecast">Loads!$AU$9:$BY$60</definedName>
    <definedName name="annual_price">Fuels!$H$6:$AL$23</definedName>
    <definedName name="AnnualEmissionsPolicy" localSheetId="18">'Emissions Price'!$C$11:$C$15</definedName>
    <definedName name="AnnualEmissionsPolicy">'GHG Target'!$C$11:$C$16</definedName>
    <definedName name="AnnualEmissionsPolicy.scenario" localSheetId="18">'Emissions Price'!$H$11:$H$15</definedName>
    <definedName name="AnnualEmissionsPolicy.scenario" localSheetId="17">'GHG Target'!$H$11:$H$16</definedName>
    <definedName name="AnnualEnergyStandard" localSheetId="20">'RPS and CES'!$C$11:$C$15</definedName>
    <definedName name="AnnualEnergyStandard.scenario" localSheetId="20">'RPS and CES'!$H$11:$H$15</definedName>
    <definedName name="Asset" localSheetId="22">Assets!$B$11:$B$20</definedName>
    <definedName name="Asset.min_cumulative_new_build" localSheetId="22">Assets!$AU$9:$BY$20</definedName>
    <definedName name="Asset.scenario" localSheetId="22">Assets!$F$11:$F$20</definedName>
    <definedName name="AssetToELCC" localSheetId="22">Assets!$M$11:$M$20</definedName>
    <definedName name="AssetToELCC" localSheetId="30">'Flexible Loads'!$Z$11:$Z$35</definedName>
    <definedName name="AssetToELCC" localSheetId="28">'Hybrid Storage'!$Z$11:$Z$20</definedName>
    <definedName name="AssetToELCC" localSheetId="27">'Hybrid Variable'!$AB$11:$AB$25</definedName>
    <definedName name="AssetToELCC" localSheetId="19">PRM!$C$158:$D$207</definedName>
    <definedName name="AssetToELCC" localSheetId="29">'Shed DR'!$Z$11:$Z$35</definedName>
    <definedName name="AssetToELCC" localSheetId="26">Storage!$Z$11:$Z$38</definedName>
    <definedName name="AssetToELCC" localSheetId="24">Variable!$AB$11:$AB$35</definedName>
    <definedName name="AssetToELCC.elcc_axis_index">PRM!$K$156:$K$207</definedName>
    <definedName name="AssetToELCC.elcc_axis_multiplier">PRM!$M$156:$AQ$207</definedName>
    <definedName name="AssetToELCC.scenario">PRM!$I$158:$I$207</definedName>
    <definedName name="CAISO_Baseline" localSheetId="19">PRM!$C$28:$D$42</definedName>
    <definedName name="can_build_new" localSheetId="22">Assets!$CA$9:$CA$20</definedName>
    <definedName name="can_build_new" localSheetId="30">'Flexible Loads'!$AD$9:$AD$35</definedName>
    <definedName name="can_build_new" localSheetId="28">'Hybrid Storage'!$AB$9:$AB$20</definedName>
    <definedName name="can_build_new" localSheetId="27">'Hybrid Variable'!$AF$9:$AF$25</definedName>
    <definedName name="can_build_new" localSheetId="25">Hydro!$AB$9:$AB$20</definedName>
    <definedName name="can_build_new" localSheetId="29">'Shed DR'!$AB$9:$AB$35</definedName>
    <definedName name="can_build_new" localSheetId="26">Storage!$AB$9:$AB$38</definedName>
    <definedName name="can_build_new" localSheetId="23">Thermal!$AF$9:$AF$35</definedName>
    <definedName name="can_build_new" localSheetId="24">Variable!$AF$9:$AF$35</definedName>
    <definedName name="can_retire" localSheetId="30">'Flexible Loads'!$AE$9:$AE$35</definedName>
    <definedName name="can_retire" localSheetId="28">'Hybrid Storage'!$AC$9:$AC$20</definedName>
    <definedName name="can_retire" localSheetId="27">'Hybrid Variable'!$AG$9:$AG$25</definedName>
    <definedName name="can_retire" localSheetId="25">Hydro!$AC$9:$AC$20</definedName>
    <definedName name="can_retire" localSheetId="29">'Shed DR'!$AC$9:$AC$35</definedName>
    <definedName name="can_retire" localSheetId="26">Storage!$AC$9:$AC$38</definedName>
    <definedName name="can_retire" localSheetId="23">Thermal!$AG$9:$AG$35</definedName>
    <definedName name="can_retire" localSheetId="24">Variable!$AG$9:$AG$35</definedName>
    <definedName name="CandidateFuel">Fuels!$B$8:$B$23</definedName>
    <definedName name="CandidateFuel.scenario" localSheetId="12">Fuels!$F$8:$F$23</definedName>
    <definedName name="CandidateFuelToResource" localSheetId="23">Thermal!$N$11:$N$35</definedName>
    <definedName name="case_settings" localSheetId="6">'RECAP Case Settings'!$F$18:$G$44</definedName>
    <definedName name="cases_to_run" localSheetId="5">'RECAP Case Dashboard'!$B$11:$B$21</definedName>
    <definedName name="cases_to_run" localSheetId="6">'RECAP Case Settings'!$J$18:$J$28</definedName>
    <definedName name="cases_to_run">'RESOLVE Case Settings'!$H$11:$H$15</definedName>
    <definedName name="category" localSheetId="27">'Hybrid Variable'!$AD$9:$AD$25</definedName>
    <definedName name="category" localSheetId="21">'Resources →'!$I$20:$I$36</definedName>
    <definedName name="category">Variable!$AD$9:$AD$35</definedName>
    <definedName name="charging_efficiency" localSheetId="28">'Hybrid Storage'!$PB$9:$PC$20</definedName>
    <definedName name="charging_efficiency" localSheetId="26">Storage!$PB$9:$PC$38</definedName>
    <definedName name="charging_efficiency">'Flexible Loads'!$HQ$9:$HR$35</definedName>
    <definedName name="chrono_periods">'Temporal Settings'!$C$8:$AA$373</definedName>
    <definedName name="component_class_sheets">Lists!$BZ$8:$CF$50</definedName>
    <definedName name="component_names">System!$C$21:$C$282</definedName>
    <definedName name="component_types">System!$B$21:$B$282</definedName>
    <definedName name="components_data_range">System!$B$20:$C$20</definedName>
    <definedName name="constraints_to_load">'RESOLVE Case Settings'!$C$165:$C$178</definedName>
    <definedName name="curtailable" localSheetId="27">'Hybrid Variable'!$JB$9:$JB$25</definedName>
    <definedName name="curtailable" localSheetId="25">Hydro!$IX$9:$IX$20</definedName>
    <definedName name="curtailable" localSheetId="24">Variable!$JB$9:$JB$35</definedName>
    <definedName name="curtailment_cost" localSheetId="28">'Hybrid Storage'!$HP$9:$HP$20</definedName>
    <definedName name="curtailment_cost" localSheetId="27">'Hybrid Variable'!$FH$9:$FH$25</definedName>
    <definedName name="curtailment_cost" localSheetId="25">Hydro!$FD$9:$FD$20</definedName>
    <definedName name="curtailment_cost" localSheetId="26">Storage!$HP$9:$HP$38</definedName>
    <definedName name="curtailment_cost" localSheetId="24">Variable!$FH$9:$FH$35</definedName>
    <definedName name="custom_constraint_groups_annual">'Custom Constraints'!$B$13:$B$112</definedName>
    <definedName name="custom_constraint_groups_timepoint">'Custom Constraints'!$BV$13:$BV$112</definedName>
    <definedName name="custom_constraints_annual">'Custom Constraints'!$C$13:$C$112</definedName>
    <definedName name="custom_constraints_lhs">'Custom Constraints'!$B$12:$AK$112</definedName>
    <definedName name="custom_constraints_operator_and_rhs">'Custom Constraints'!$AM$12:$BT$112</definedName>
    <definedName name="custom_constraints_timepoint">'Custom Constraints'!$BW$13:$BW$112</definedName>
    <definedName name="custom_constraints_timepoint_lhs">'Custom Constraints'!$BV$12:$CD$112</definedName>
    <definedName name="custom_constraints_timepoint_operator_and_rhs">'Custom Constraints'!$CF$12:$CI$112</definedName>
    <definedName name="daily_budget" localSheetId="30">'Flexible Loads'!$IP$9:$IQ$35</definedName>
    <definedName name="daily_budget" localSheetId="28">'Hybrid Storage'!$PT$9:$PU$20</definedName>
    <definedName name="daily_budget" localSheetId="27">'Hybrid Variable'!$JF$9:$JG$25</definedName>
    <definedName name="daily_budget" localSheetId="25">Hydro!$JL$9:$JM$20</definedName>
    <definedName name="daily_budget" localSheetId="26">Storage!$PT$9:$PU$38</definedName>
    <definedName name="daily_budget" localSheetId="24">Variable!$JF$9:$JG$35</definedName>
    <definedName name="DATA_FOLDER_PATH">'Cover &amp; Configuration'!$H$8</definedName>
    <definedName name="decremental_last_in_resources" localSheetId="6">'RECAP Case Settings'!$J$56:$J$97</definedName>
    <definedName name="derate">'Outage Distributions'!$J$6:$J$31</definedName>
    <definedName name="derate_prob">'Outage Distributions'!$I$6:$I$31</definedName>
    <definedName name="direction">'Operating Reserves'!$J$10:$J$17</definedName>
    <definedName name="discharging_efficiency" localSheetId="30">'Flexible Loads'!$HS$9:$HT$35</definedName>
    <definedName name="discharging_efficiency" localSheetId="28">'Hybrid Storage'!$PD$9:$PE$20</definedName>
    <definedName name="discharging_efficiency" localSheetId="26">Storage!$PD$9:$PE$38</definedName>
    <definedName name="duration" localSheetId="28">'Hybrid Storage'!$BK$9:$CO$20</definedName>
    <definedName name="duration" localSheetId="26">Storage!$BK$9:$CO$38</definedName>
    <definedName name="EarningsModel" localSheetId="1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Earnings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EarningsModel_1" localSheetId="1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EarningsModel_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ELCC_points_matrix">'RECAP Case Settings'!$D$107:$S$153</definedName>
    <definedName name="ELCC_surface_incremental_flag">'RECAP Case Settings'!$C$112</definedName>
    <definedName name="ELCCFacets">PRM!$E$101:$E$150</definedName>
    <definedName name="ELCCFacets.axis_0">PRM!$M$99:$AQ$150</definedName>
    <definedName name="ELCCFacets.axis_1">PRM!$AS$99:$BW$150</definedName>
    <definedName name="ELCCFacets.axis_2">PRM!$BY$99:$DC$150</definedName>
    <definedName name="ELCCFacets.scenario">PRM!$I$101:$I$150</definedName>
    <definedName name="ELCCSurface" localSheetId="19">PRM!$C$83:$C$86</definedName>
    <definedName name="ELCCSurface">PRM!$C$83:$C$91</definedName>
    <definedName name="energy_budget_annual" localSheetId="30">'Flexible Loads'!$IT$9:$IU$35</definedName>
    <definedName name="energy_budget_annual" localSheetId="29">'Shed DR'!$JS$9:$JT$35</definedName>
    <definedName name="energy_budget_daily" localSheetId="30">'Flexible Loads'!$IP$9:$IQ$35</definedName>
    <definedName name="energy_budget_daily" localSheetId="29">'Shed DR'!$JO$9:$JP$35</definedName>
    <definedName name="energy_budget_monthly" localSheetId="30">'Flexible Loads'!$IR$9:$IS$35</definedName>
    <definedName name="energy_budget_monthly" localSheetId="29">'Shed DR'!$JQ$9:$JR$35</definedName>
    <definedName name="exclusive">'Operating Reserves'!$K$10:$K$17</definedName>
    <definedName name="fixed_annual_shape">'Resources →'!$J$20:$J$36</definedName>
    <definedName name="FlexLoadResource" localSheetId="30">'Flexible Loads'!$B$11:$B$35</definedName>
    <definedName name="FlexLoadResource.scenario" localSheetId="30">'Flexible Loads'!$F$11:$F$35</definedName>
    <definedName name="FlexLoadResource.scenario">'Flexible Loads'!$F$11:$F$35</definedName>
    <definedName name="fuel_burn_intercept" localSheetId="23">Thermal!$JG$9:$JG$35</definedName>
    <definedName name="fuel_burn_slope" localSheetId="23">Thermal!$JH$9:$JH$35</definedName>
    <definedName name="HybridStorageResource" localSheetId="28">'Hybrid Storage'!$B$11:$B$20</definedName>
    <definedName name="HybridStorageResource.scenario" localSheetId="28">'Hybrid Storage'!$F$11:$F$20</definedName>
    <definedName name="HybridStorageResourceToHybridVariableResource" localSheetId="28">'Hybrid Storage'!$B$28:$C$40</definedName>
    <definedName name="HybridStorageResourceToHybridVariableResource.grid_charging_allowed" localSheetId="28">'Hybrid Storage'!$AC$26:$AC$40</definedName>
    <definedName name="HybridStorageResourceToHybridVariableResource.interconnection_limit_mw" localSheetId="28">'Hybrid Storage'!$AE$26:$BI$40</definedName>
    <definedName name="HybridStorageResourceToHybridVariableResource.scenario" localSheetId="28">'Hybrid Storage'!$F$28:$F$40</definedName>
    <definedName name="HybridVariableResource" localSheetId="27">'Hybrid Variable'!$B$11:$B$25</definedName>
    <definedName name="HybridVariableResource.scenario" localSheetId="27">'Hybrid Variable'!$F$11:$F$25</definedName>
    <definedName name="HydroResource" localSheetId="25">Hydro!$B$11:$B$20</definedName>
    <definedName name="HydroResource.scenario" localSheetId="25">Hydro!$F$11:$F$20</definedName>
    <definedName name="increase_load_potential_profile" localSheetId="30">'Flexible Loads'!$IB$9:$IC$35</definedName>
    <definedName name="increase_load_potential_profile" localSheetId="28">'Hybrid Storage'!$PQ$9:$PR$20</definedName>
    <definedName name="increase_load_potential_profile" localSheetId="25">Hydro!$JI$9:$JJ$20</definedName>
    <definedName name="increase_load_potential_profile" localSheetId="29">'Shed DR'!$IW$9:$IX$35</definedName>
    <definedName name="increase_load_potential_profile" localSheetId="26">Storage!$PQ$9:$PR$38</definedName>
    <definedName name="incremental_last_in_resources" localSheetId="6">'RECAP Case Settings'!$F$56:$F$97</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L_DATE_SCHEDULE" hidden="1">"c2481"</definedName>
    <definedName name="IQ_CALL_FEATURE" hidden="1">"c2197"</definedName>
    <definedName name="IQ_CALL_PRICE_SCHEDULE" hidden="1">"c2482"</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K" hidden="1">"IQ_EBIT_10K"</definedName>
    <definedName name="IQ_EBIT_10Q" hidden="1">"IQ_EBIT_10Q"</definedName>
    <definedName name="IQ_EBIT_10Q1" hidden="1">"IQ_EBIT_10Q1"</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GROWTH_1" hidden="1">"IQ_EBIT_GROWTH_1"</definedName>
    <definedName name="IQ_EBIT_GROWTH_2" hidden="1">"IQ_EBIT_GROWTH_2"</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GROWTH_1" hidden="1">"IQ_EBITDA_GROWTH_1"</definedName>
    <definedName name="IQ_EBITDA_GROWTH_2" hidden="1">"IQ_EBITDA_GROWTH_2"</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ITDAR" hidden="1">"c2989"</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 hidden="1">"IQ_EPS"</definedName>
    <definedName name="IQ_EPS_10K" hidden="1">"IQ_EPS_10K"</definedName>
    <definedName name="IQ_EPS_10Q" hidden="1">"IQ_EPS_10Q"</definedName>
    <definedName name="IQ_EPS_10Q1" hidden="1">"IQ_EPS_10Q1"</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1" hidden="1">"IQ_EPS_EST_1"</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 hidden="1">"c1635"</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100000</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500</definedName>
    <definedName name="IQ_FUEL" hidden="1">"c449"</definedName>
    <definedName name="IQ_FULL_TIME" hidden="1">"c450"</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Y">1000</definedName>
    <definedName name="IQ_FY_DATE" hidden="1">"IQ_FY_DATE"</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DATE" hidden="1">"IQ_LTM_DATE"</definedName>
    <definedName name="IQ_LTM_REVENUE_OVER_EMPLOYEES" hidden="1">"c1437"</definedName>
    <definedName name="IQ_LTMMONTH" hidden="1">120000</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"IQ_NET_INC_GROWTH_1"</definedName>
    <definedName name="IQ_NET_INC_GROWTH_2" hidden="1">"IQ_NET_INC_GROWTH_2"</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UTSTANDING_FILING_DATE_TOTAL" hidden="1">"c2107"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EPS_EST" hidden="1">"IQ_PRICE_OVER_EPS_EST"</definedName>
    <definedName name="IQ_PRICE_OVER_EPS_EST_1" hidden="1">"IQ_PRICE_OVER_EPS_EST_1"</definedName>
    <definedName name="IQ_PRICE_OVER_LTM_EPS" hidden="1">"c1413"</definedName>
    <definedName name="IQ_PRICE_TARGET" hidden="1">"c82"</definedName>
    <definedName name="IQ_PRICEDATE" hidden="1">"c1069"</definedName>
    <definedName name="IQ_PRICEDATETIME" hidden="1">"IQ_PRICEDATETIME"</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EST" hidden="1">"IQ_REVENUE_EST"</definedName>
    <definedName name="IQ_REVENUE_EST_1" hidden="1">"IQ_REVENUE_EST_1"</definedName>
    <definedName name="IQ_REVENUE_GROWTH_1" hidden="1">"IQ_REVENUE_GROWTH_1"</definedName>
    <definedName name="IQ_REVENUE_GROWTH_2" hidden="1">"IQ_REVENUE_GROWTH_2"</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39146.6970023148</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DATE" hidden="1">"c2172"</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LASTCLOSE" hidden="1">"c1855"</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50000</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linkages_sheets">Lists!$CH$8:$CO$71</definedName>
    <definedName name="list_flexload_resources">Lists!$V$9:$V$208</definedName>
    <definedName name="list_hybridstorage_resources">Lists!$W$9:$W$208</definedName>
    <definedName name="list_hybridvariable_resources">Lists!$X$9:$X$208</definedName>
    <definedName name="list_resolve_result_case">Lists!$BT$9:$BT$118</definedName>
    <definedName name="list_resolve_result_run">Lists!$BV$9:$BV$118</definedName>
    <definedName name="list_resourcegroup_categories">Lists!$BX$9:$BX$118</definedName>
    <definedName name="list_saved_cases_recap">Lists!$BR$9:$BR$118</definedName>
    <definedName name="list_saved_cases_resolve">Lists!$BQ$9:$BQ$118</definedName>
    <definedName name="list_saved_system">Lists!$BO$9:$BO$26</definedName>
    <definedName name="lists_candidate_fuels">Lists!$F$9:$F$208</definedName>
    <definedName name="lists_components">Lists!$B$9:$B$208</definedName>
    <definedName name="lists_custom_constraint_groups_annual">Lists!$AE$9:$AE$208</definedName>
    <definedName name="lists_custom_constraint_groups_timepoint">Lists!$AG$9:$AG$208</definedName>
    <definedName name="lists_custom_constraints_annual">Lists!$AF$9:$AF$208</definedName>
    <definedName name="lists_custom_constraints_timepoint">Lists!$AH$9:$AH$208</definedName>
    <definedName name="lists_dr_resources">Lists!$U$9:$U$208</definedName>
    <definedName name="lists_elcc_surfaces">Lists!$E$9:$E$208</definedName>
    <definedName name="lists_emissions_targets">Lists!$K$9:$K$208</definedName>
    <definedName name="lists_hydro_resources">Lists!$T$9:$T$208</definedName>
    <definedName name="lists_linkages">Lists!$C$9:$C$208</definedName>
    <definedName name="lists_load_components">Lists!$G$9:$G$208</definedName>
    <definedName name="lists_non_emissions_policies">Lists!$N$9:$N$208</definedName>
    <definedName name="lists_outage_distributions">Lists!$H$9:$H$208</definedName>
    <definedName name="lists_policies">Lists!$O$9:$O$208</definedName>
    <definedName name="lists_prm">Lists!$M$9:$M$208</definedName>
    <definedName name="lists_reserves">Lists!$P$9:$P$208</definedName>
    <definedName name="lists_resources">Lists!$Y$9:$Y$208</definedName>
    <definedName name="lists_rps">Lists!$L$9:$L$208</definedName>
    <definedName name="lists_simultaneous_flow_groups">Lists!$AC$9:$AC$208</definedName>
    <definedName name="lists_storage_resources">Lists!$S$9:$S$208</definedName>
    <definedName name="lists_thermal_resources">Lists!$Q$9:$Q$208</definedName>
    <definedName name="lists_transmission_paths">Lists!$Z$9:$Z$208</definedName>
    <definedName name="lists_variable_resources">Lists!$R$9:$R$208</definedName>
    <definedName name="lists_zones">Lists!$AA$9:$AA$208</definedName>
    <definedName name="Load">Loads!$B$11:$B$60</definedName>
    <definedName name="Load.scenario" localSheetId="14">Loads!$F$11:$F$60</definedName>
    <definedName name="LoadToZone">Loads!$H$11:$H$60</definedName>
    <definedName name="map_to_rep_periods">'Temporal Settings'!$AC$8:$AD$45</definedName>
    <definedName name="marginal_ELCC_step_size" localSheetId="6">'RECAP Case Settings'!$D$49</definedName>
    <definedName name="marginal_resources" localSheetId="6">'RECAP Case Settings'!$C$56:$C$97</definedName>
    <definedName name="max_annual_calls" localSheetId="30">'Flexible Loads'!$IG$9:$IG$35</definedName>
    <definedName name="max_annual_calls" localSheetId="29">'Shed DR'!$JB$9:$JB$35</definedName>
    <definedName name="max_call_duration" localSheetId="30">'Flexible Loads'!$IJ$9:$IJ$35</definedName>
    <definedName name="max_call_duration" localSheetId="29">'Shed DR'!$JE$9:$JE$35</definedName>
    <definedName name="max_daily_calls" localSheetId="30">'Flexible Loads'!$II$9:$II$35</definedName>
    <definedName name="max_daily_calls" localSheetId="29">'Shed DR'!$JD$9:$JD$35</definedName>
    <definedName name="max_fraction_of_capacity">'Operating Reserves'!$J$42:$J$49</definedName>
    <definedName name="max_monthly_calls" localSheetId="30">'Flexible Loads'!$IH$9:$IH$35</definedName>
    <definedName name="max_monthly_calls" localSheetId="29">'Shed DR'!$JC$9:$JC$35</definedName>
    <definedName name="mean_time_to_repair" localSheetId="30">'Flexible Loads'!$IY$9:$IY$35</definedName>
    <definedName name="mean_time_to_repair" localSheetId="28">'Hybrid Storage'!$QA$9:$QA$20</definedName>
    <definedName name="mean_time_to_repair" localSheetId="27">'Hybrid Variable'!$JL$9:$JL$25</definedName>
    <definedName name="mean_time_to_repair" localSheetId="25">Hydro!$JT$9:$JT$20</definedName>
    <definedName name="mean_time_to_repair" localSheetId="29">'Shed DR'!$JL$9:$JL$35</definedName>
    <definedName name="mean_time_to_repair" localSheetId="26">Storage!$QA$9:$QA$38</definedName>
    <definedName name="mean_time_to_repair" localSheetId="23">Thermal!$JX$9:$JX$35</definedName>
    <definedName name="mean_time_to_repair" localSheetId="24">Variable!$JL$9:$JL$35</definedName>
    <definedName name="min_cumulative_new_build" localSheetId="30">'Flexible Loads'!$CS$9:$DW$35</definedName>
    <definedName name="min_cumulative_new_build" localSheetId="28">'Hybrid Storage'!$FC$9:$GG$20</definedName>
    <definedName name="min_cumulative_new_build" localSheetId="27">'Hybrid Variable'!$CU$9:$DY$25</definedName>
    <definedName name="min_cumulative_new_build" localSheetId="25">Hydro!$CQ$9:$DU$20</definedName>
    <definedName name="min_cumulative_new_build" localSheetId="29">'Shed DR'!$DW$9:$FA$35</definedName>
    <definedName name="min_cumulative_new_build" localSheetId="26">Storage!$FC$9:$GG$38</definedName>
    <definedName name="min_cumulative_new_build" localSheetId="23">Thermal!$CU$9:$DY$35</definedName>
    <definedName name="min_cumulative_new_build" localSheetId="24">Variable!$CU$9:$DY$35</definedName>
    <definedName name="min_down_time" localSheetId="30">'Flexible Loads'!$IK$9:$IK$35</definedName>
    <definedName name="min_down_time" localSheetId="29">'Shed DR'!$JF$9:$JF$35</definedName>
    <definedName name="min_down_time" localSheetId="23">Thermal!$JI$9:$JI$35</definedName>
    <definedName name="min_op_capacity" localSheetId="30">'Flexible Loads'!$BM$9:$CQ$35</definedName>
    <definedName name="min_op_capacity" localSheetId="28">'Hybrid Storage'!$DW$9:$FA$20</definedName>
    <definedName name="min_op_capacity" localSheetId="27">'Hybrid Variable'!$BO$9:$CS$25</definedName>
    <definedName name="min_op_capacity" localSheetId="25">Hydro!$BK$9:$CO$20</definedName>
    <definedName name="min_op_capacity" localSheetId="29">'Shed DR'!$CQ$9:$DU$35</definedName>
    <definedName name="min_op_capacity" localSheetId="26">Storage!$DW$9:$FA$38</definedName>
    <definedName name="min_op_capacity" localSheetId="24">Variable!$BO$9:$CS$35</definedName>
    <definedName name="min_stable_level" localSheetId="30">'Flexible Loads'!$IM$9:$IM$35</definedName>
    <definedName name="min_stable_level" localSheetId="29">'Shed DR'!$JH$9:$JH$35</definedName>
    <definedName name="min_stable_level" localSheetId="23">Thermal!$JC$9:$JC$35</definedName>
    <definedName name="min_up_time" localSheetId="30">'Flexible Loads'!$IL$9:$IL$35</definedName>
    <definedName name="min_up_time" localSheetId="29">'Shed DR'!$JG$9:$JG$35</definedName>
    <definedName name="min_up_time" localSheetId="23">Thermal!$JJ$9:$JJ$35</definedName>
    <definedName name="model_name">System!$B$11</definedName>
    <definedName name="monthly_budget">Hydro!$JN$9:$JO$20</definedName>
    <definedName name="monthly_price_multiplier">Fuels!$AN$6:$AY$23</definedName>
    <definedName name="new_capacity_annualized_all_in_fixed_cost_by_vintage" localSheetId="22">Assets!$DI$9:$EM$20</definedName>
    <definedName name="new_capacity_annualized_all_in_fixed_cost_by_vintage" localSheetId="28">'Hybrid Storage'!$HR$9:$IV$20</definedName>
    <definedName name="new_capacity_annualized_all_in_fixed_cost_by_vintage" localSheetId="27">'Hybrid Variable'!$FJ$9:$GN$25</definedName>
    <definedName name="new_capacity_annualized_all_in_fixed_cost_by_vintage" localSheetId="25">Hydro!$FF$9:$GJ$20</definedName>
    <definedName name="new_capacity_annualized_all_in_fixed_cost_by_vintage" localSheetId="26">Storage!$HR$9:$IV$38</definedName>
    <definedName name="new_capacity_annualized_all_in_fixed_cost_by_vintage" localSheetId="23">Thermal!$FI$9:$GM$35</definedName>
    <definedName name="new_capacity_annualized_all_in_fixed_cost_by_vintage" localSheetId="24">Variable!$FJ$9:$GN$35</definedName>
    <definedName name="new_capacity_fixed_om_by_vintage" localSheetId="30">'Flexible Loads'!$FE$9:$GI$35</definedName>
    <definedName name="new_capacity_fixed_om_by_vintage" localSheetId="28">'Hybrid Storage'!$IX$9:$KB$20</definedName>
    <definedName name="new_capacity_fixed_om_by_vintage" localSheetId="27">'Hybrid Variable'!$GP$9:$HT$25</definedName>
    <definedName name="new_capacity_fixed_om_by_vintage" localSheetId="25">Hydro!$GL$9:$HP$20</definedName>
    <definedName name="new_capacity_fixed_om_by_vintage" localSheetId="29">'Shed DR'!$GI$9:$HM$35</definedName>
    <definedName name="new_capacity_fixed_om_by_vintage" localSheetId="26">Storage!$IX$9:$KB$38</definedName>
    <definedName name="new_capacity_fixed_om_by_vintage" localSheetId="23">Thermal!$GO$9:$HS$35</definedName>
    <definedName name="new_capacity_fixed_om_by_vintage" localSheetId="24">Variable!$GP$9:$HT$35</definedName>
    <definedName name="new_storage_annual_fixed_cost_dollars_per_kwh_yr_by_vintage" localSheetId="28">'Hybrid Storage'!$LJ$9:$MN$20</definedName>
    <definedName name="new_storage_annual_fixed_cost_dollars_per_kwh_yr_by_vintage" localSheetId="26">Storage!$LJ$9:$MN$38</definedName>
    <definedName name="new_storage_capacity_fixed_om_by_vintage" localSheetId="28">'Hybrid Storage'!$MP$9:$NT$20</definedName>
    <definedName name="new_storage_capacity_fixed_om_by_vintage" localSheetId="26">Storage!$MP$9:$NT$38</definedName>
    <definedName name="OutageDistribution">'Outage Distributions'!$B$8:$C$31</definedName>
    <definedName name="OutageDistribution.dist_point">'Outage Distributions'!$C$8:$C$31</definedName>
    <definedName name="OutageDistribution.scenario">'Outage Distributions'!$G$8:$G$31</definedName>
    <definedName name="parasitic_loss" localSheetId="28">'Hybrid Storage'!$PF$9:$PF$20</definedName>
    <definedName name="parasitic_loss" localSheetId="26">Storage!$PF$9:$PF$38</definedName>
    <definedName name="parasitic_loss">'Flexible Loads'!$HU$9:$HU$35</definedName>
    <definedName name="penalty_unserved_reserve">'Operating Reserves'!$L$10:$L$17</definedName>
    <definedName name="planned_fixed_om_by_model_year" localSheetId="28">'Hybrid Storage'!$KD$9:$LH$20</definedName>
    <definedName name="planned_fixed_om_by_model_year" localSheetId="27">'Hybrid Variable'!$HV$9:$IZ$25</definedName>
    <definedName name="planned_fixed_om_by_model_year" localSheetId="25">Hydro!$HR$9:$IV$20</definedName>
    <definedName name="planned_fixed_om_by_model_year" localSheetId="26">Storage!$KD$9:$LH$38</definedName>
    <definedName name="planned_fixed_om_by_model_year" localSheetId="23">Thermal!$HU$9:$IY$35</definedName>
    <definedName name="planned_fixed_om_by_model_year" localSheetId="24">Variable!$HV$9:$IZ$35</definedName>
    <definedName name="planned_installed_capacity" localSheetId="22">Assets!$O$9:$AS$20</definedName>
    <definedName name="planned_installed_capacity" localSheetId="30">'Flexible Loads'!$AG$9:$BK$35</definedName>
    <definedName name="planned_installed_capacity" localSheetId="28">'Hybrid Storage'!$AE$9:$BI$20</definedName>
    <definedName name="planned_installed_capacity" localSheetId="27">'Hybrid Variable'!$AI$9:$BM$25</definedName>
    <definedName name="planned_installed_capacity" localSheetId="25">Hydro!$AE$9:$BI$20</definedName>
    <definedName name="planned_installed_capacity" localSheetId="29">'Shed DR'!$AE$9:$BI$35</definedName>
    <definedName name="planned_installed_capacity" localSheetId="26">Storage!$AE$9:$BI$38</definedName>
    <definedName name="planned_installed_capacity" localSheetId="23">Thermal!$AI$9:$BM$35</definedName>
    <definedName name="planned_installed_capacity" localSheetId="24">Variable!$AI$9:$BM$35</definedName>
    <definedName name="planned_storage_capacity" localSheetId="28">'Hybrid Storage'!$CQ$9:$DU$20</definedName>
    <definedName name="planned_storage_capacity" localSheetId="26">Storage!$CQ$9:$DU$38</definedName>
    <definedName name="planned_storage_capacity_fixed_om_by_model_year" localSheetId="28">'Hybrid Storage'!$NV$9:$OZ$20</definedName>
    <definedName name="planned_storage_capacity_fixed_om_by_model_year" localSheetId="26">Storage!$NV$9:$OZ$38</definedName>
    <definedName name="PlanningReserveMargin" localSheetId="19">PRM!$C$11:$C$22</definedName>
    <definedName name="PlanningReserveMargin.scenario" localSheetId="19">PRM!$I$11:$I$22</definedName>
    <definedName name="potential" localSheetId="22">Assets!$CC$9:$DG$20</definedName>
    <definedName name="potential" localSheetId="30">'Flexible Loads'!$DY$9:$FC$35</definedName>
    <definedName name="potential" localSheetId="28">'Hybrid Storage'!$GI$9:$HM$20</definedName>
    <definedName name="potential" localSheetId="27">'Hybrid Variable'!$EA$9:$FE$25</definedName>
    <definedName name="potential" localSheetId="25">Hydro!$DW$9:$FA$20</definedName>
    <definedName name="potential" localSheetId="29">'Shed DR'!$FC$9:$GG$35</definedName>
    <definedName name="potential" localSheetId="26">Storage!$GI$9:$HM$38</definedName>
    <definedName name="potential" localSheetId="23">Thermal!$EA$9:$FE$35</definedName>
    <definedName name="potential" localSheetId="24">Variable!$EA$9:$FE$35</definedName>
    <definedName name="price" localSheetId="18">'Emissions Price'!$J$9:$AN$15</definedName>
    <definedName name="profile" localSheetId="14">Loads!$J$9:$J$60</definedName>
    <definedName name="profile_model_years">Loads!$K$9:$K$60</definedName>
    <definedName name="provide_power_min_profile" localSheetId="30">'Flexible Loads'!$ID$9:$IE$35</definedName>
    <definedName name="provide_power_min_profile" localSheetId="28">'Hybrid Storage'!$PM$9:$PN$20</definedName>
    <definedName name="provide_power_min_profile" localSheetId="25">Hydro!$JE$9:$JF$20</definedName>
    <definedName name="provide_power_min_profile" localSheetId="29">'Shed DR'!$IY$9:$IZ$35</definedName>
    <definedName name="provide_power_min_profile" localSheetId="26">Storage!$PM$9:$PN$38</definedName>
    <definedName name="provide_power_min_profile" localSheetId="23">Thermal!$JQ$9:$JR$35</definedName>
    <definedName name="provide_power_potential_profile" localSheetId="30">'Flexible Loads'!$HZ$9:$IA$35</definedName>
    <definedName name="provide_power_potential_profile" localSheetId="28">'Hybrid Storage'!$PO$9:$PP$20</definedName>
    <definedName name="provide_power_potential_profile" localSheetId="27">'Hybrid Variable'!$JD$9:$JD$25</definedName>
    <definedName name="provide_power_potential_profile" localSheetId="25">Hydro!$JG$9:$JH$20</definedName>
    <definedName name="provide_power_potential_profile" localSheetId="29">'Shed DR'!$IU$9:$IV$35</definedName>
    <definedName name="provide_power_potential_profile" localSheetId="26">Storage!$PO$9:$PP$38</definedName>
    <definedName name="provide_power_potential_profile" localSheetId="23">Thermal!$JS$9:$JT$35</definedName>
    <definedName name="provide_power_potential_profile" localSheetId="24">Variable!$JD$9:$JD$35</definedName>
    <definedName name="PYTHONPATH">'Cover &amp; Configuration'!$H$7</definedName>
    <definedName name="ramp_rate" localSheetId="28">'Hybrid Storage'!$PH$9:$PH$20</definedName>
    <definedName name="ramp_rate" localSheetId="25">Hydro!$IZ$9:$IZ$20</definedName>
    <definedName name="ramp_rate" localSheetId="26">Storage!$PH$9:$PH$38</definedName>
    <definedName name="ramp_rate_2_hour" localSheetId="28">'Hybrid Storage'!$PI$9:$PI$20</definedName>
    <definedName name="ramp_rate_2_hour" localSheetId="25">Hydro!$JA$9:$JA$20</definedName>
    <definedName name="ramp_rate_2_hour" localSheetId="26">Storage!$PI$9:$PI$38</definedName>
    <definedName name="ramp_rate_3_hour" localSheetId="28">'Hybrid Storage'!$PJ$9:$PJ$20</definedName>
    <definedName name="ramp_rate_3_hour" localSheetId="25">Hydro!$JB$9:$JB$20</definedName>
    <definedName name="ramp_rate_3_hour" localSheetId="26">Storage!$PJ$9:$PJ$38</definedName>
    <definedName name="ramp_rate_4_hour" localSheetId="28">'Hybrid Storage'!$PK$9:$PK$20</definedName>
    <definedName name="ramp_rate_4_hour" localSheetId="25">Hydro!$JC$9:$JC$20</definedName>
    <definedName name="ramp_rate_4_hour" localSheetId="26">Storage!$PK$9:$PK$38</definedName>
    <definedName name="random_seed" localSheetId="30">'Flexible Loads'!$IZ$9:$IZ$35</definedName>
    <definedName name="random_seed" localSheetId="28">'Hybrid Storage'!$QB$9:$QB$20</definedName>
    <definedName name="random_seed" localSheetId="27">'Hybrid Variable'!$JM$9:$JM$25</definedName>
    <definedName name="random_seed" localSheetId="25">Hydro!$JU$9:$JU$20</definedName>
    <definedName name="random_seed" localSheetId="21">'Resources →'!$K$20:$K$36</definedName>
    <definedName name="random_seed" localSheetId="29">'Shed DR'!$JM$9:$JM$35</definedName>
    <definedName name="random_seed" localSheetId="26">Storage!$QB$9:$QB$38</definedName>
    <definedName name="random_seed" localSheetId="23">Thermal!$JY$9:$JY$35</definedName>
    <definedName name="random_seed" localSheetId="24">Variable!$JM$9:$JM$35</definedName>
    <definedName name="recap_case_to_load">'RECAP Case Settings'!$J$11</definedName>
    <definedName name="rep_period_weights">'Temporal Settings'!$BF$8:$BG$44</definedName>
    <definedName name="rep_periods">'Temporal Settings'!$AF$8:$BD$44</definedName>
    <definedName name="requirement">'Operating Reserves'!$N$10:$N$17</definedName>
    <definedName name="Reserve">'Operating Reserves'!$C$12:$C$17</definedName>
    <definedName name="Reserve.scenario" localSheetId="15">'Operating Reserves'!$H$12:$H$17</definedName>
    <definedName name="ReserveToZone">'Operating Reserves'!$C$32:$D$35</definedName>
    <definedName name="ReserveToZone.requirement_fraction_of_gross_load">'Operating Reserves'!$J$30:$J$35</definedName>
    <definedName name="ReserveToZone.scenario">'Operating Reserves'!$H$32:$H$35</definedName>
    <definedName name="Resource" localSheetId="30">'Flexible Loads'!$B$11:$B$35</definedName>
    <definedName name="Resource" localSheetId="28">'Hybrid Storage'!$B$11:$B$20</definedName>
    <definedName name="Resource" localSheetId="27">'Hybrid Variable'!$B$11:$B$25</definedName>
    <definedName name="Resource" localSheetId="25">Hydro!$B$11:$B$20</definedName>
    <definedName name="Resource" localSheetId="29">'Shed DR'!$B$11:$B$35</definedName>
    <definedName name="Resource" localSheetId="26">Storage!$B$11:$B$38</definedName>
    <definedName name="Resource" localSheetId="23">Thermal!$B$11:$B$35</definedName>
    <definedName name="Resource" localSheetId="24">Variable!$B$11:$B$35</definedName>
    <definedName name="ResourceGroup">'Resources →'!$C$22:$C$36</definedName>
    <definedName name="ResourceGroup.scenario">'Resources →'!$G$22:$G$36</definedName>
    <definedName name="ResourceToOutageDistribution" localSheetId="30">'Flexible Loads'!$L$11:$L$35</definedName>
    <definedName name="ResourceToOutageDistribution" localSheetId="28">'Hybrid Storage'!$L$11:$L$20</definedName>
    <definedName name="ResourceToOutageDistribution" localSheetId="27">'Hybrid Variable'!$L$11:$L$25</definedName>
    <definedName name="ResourceToOutageDistribution" localSheetId="25">Hydro!$L$11:$L$20</definedName>
    <definedName name="ResourceToOutageDistribution" localSheetId="29">'Shed DR'!$L$11:$L$35</definedName>
    <definedName name="ResourceToOutageDistribution" localSheetId="26">Storage!$L$11:$L$38</definedName>
    <definedName name="ResourceToOutageDistribution" localSheetId="23">Thermal!$L$11:$L$35</definedName>
    <definedName name="ResourceToOutageDistribution" localSheetId="24">Variable!$L$11:$L$35</definedName>
    <definedName name="ResourceToReserve" localSheetId="30">'Flexible Loads'!$N$11:$S$35</definedName>
    <definedName name="ResourceToReserve" localSheetId="28">'Hybrid Storage'!$N$11:$S$20</definedName>
    <definedName name="ResourceToReserve" localSheetId="27">'Hybrid Variable'!$N$11:$S$25</definedName>
    <definedName name="ResourceToReserve" localSheetId="25">Hydro!$N$11:$S$20</definedName>
    <definedName name="ResourceToReserve" localSheetId="29">'Shed DR'!$N$11:$S$35</definedName>
    <definedName name="ResourceToReserve" localSheetId="26">Storage!$N$11:$S$38</definedName>
    <definedName name="ResourceToReserve" localSheetId="23">Thermal!$P$11:$U$35</definedName>
    <definedName name="ResourceToReserve" localSheetId="24">Variable!$N$11:$S$35</definedName>
    <definedName name="ResourceToReserve">'Operating Reserves'!$C$44:$D$49</definedName>
    <definedName name="ResourceToReserve.scenario">'Operating Reserves'!$H$44:$H$49</definedName>
    <definedName name="ResourceToResourceGroup" localSheetId="30">'Flexible Loads'!$J$11:$J$35</definedName>
    <definedName name="ResourceToResourceGroup" localSheetId="28">'Hybrid Storage'!$J$11:$J$20</definedName>
    <definedName name="ResourceToResourceGroup" localSheetId="27">'Hybrid Variable'!$J$11:$J$25</definedName>
    <definedName name="ResourceToResourceGroup" localSheetId="25">Hydro!$J$11:$J$20</definedName>
    <definedName name="ResourceToResourceGroup" localSheetId="29">'Shed DR'!$J$11:$J$35</definedName>
    <definedName name="ResourceToResourceGroup" localSheetId="26">Storage!$J$11:$J$38</definedName>
    <definedName name="ResourceToResourceGroup" localSheetId="23">Thermal!$J$11:$J$35</definedName>
    <definedName name="ResourceToResourceGroup" localSheetId="24">Variable!$J$11:$J$35</definedName>
    <definedName name="ResourceToZone" localSheetId="30">'Flexible Loads'!$H$11:$H$35</definedName>
    <definedName name="ResourceToZone" localSheetId="28">'Hybrid Storage'!$H$11:$H$20</definedName>
    <definedName name="ResourceToZone" localSheetId="27">'Hybrid Variable'!$H$11:$H$25</definedName>
    <definedName name="ResourceToZone" localSheetId="25">Hydro!$H$11:$H$20</definedName>
    <definedName name="ResourceToZone" localSheetId="29">'Shed DR'!$H$11:$H$35</definedName>
    <definedName name="ResourceToZone" localSheetId="26">Storage!$H$11:$H$38</definedName>
    <definedName name="ResourceToZone" localSheetId="23">Thermal!$H$11:$H$35</definedName>
    <definedName name="ResourceToZone" localSheetId="24">Variable!$H$11:$H$35</definedName>
    <definedName name="scale_by_capacity">Loads!$AS$9:$AS$60</definedName>
    <definedName name="scale_by_energy">Loads!$CA$9:$CA$60</definedName>
    <definedName name="scenarios_all">Lists!$BF$9:$BF$118</definedName>
    <definedName name="sencount" hidden="1">1</definedName>
    <definedName name="settings_components_to_consider">'RESOLVE Case Settings'!$A$79:$F$117</definedName>
    <definedName name="settings_financial_attributes">'RESOLVE Case Settings'!$D$123:$E$125</definedName>
    <definedName name="settings_modeled_year_attributes">'RESOLVE Case Settings'!$C$128:$F$159</definedName>
    <definedName name="settings_name" localSheetId="6">'RECAP Case Settings'!$D$7</definedName>
    <definedName name="settings_name">'RESOLVE Case Settings'!$C$8</definedName>
    <definedName name="settings_rep_period_attributes">'RESOLVE Case Settings'!$D$48:$E$50</definedName>
    <definedName name="settings_rep_period_method">'RESOLVE Case Settings'!$E$49</definedName>
    <definedName name="settings_scenarios" localSheetId="6">'RECAP Case Settings'!$C$18:$C$39</definedName>
    <definedName name="settings_scenarios">'RESOLVE Case Settings'!$C$18:$C$42</definedName>
    <definedName name="settings_solver_attributes">'RESOLVE Case Settings'!$D$187:$E$194</definedName>
    <definedName name="settings_system">'RESOLVE Case Settings'!$B$11:$C$12</definedName>
    <definedName name="settings_weather_years_to_use">'RESOLVE Case Settings'!$C$53:$E$77</definedName>
    <definedName name="ShedDrResource" localSheetId="29">'Shed DR'!$B$11:$B$35</definedName>
    <definedName name="ShedDrResource.scenario" localSheetId="29">'Shed DR'!$F$11:$F$35</definedName>
    <definedName name="sheetnames">REPLACE(GET.WORKBOOK(1),1,FIND("]",GET.WORKBOOK(1)),"")</definedName>
    <definedName name="shift_direction" localSheetId="30">'Flexible Loads'!$HX$9:$HX$35</definedName>
    <definedName name="show_console">'Cover &amp; Configuration'!$H$10</definedName>
    <definedName name="shutdown_cost" localSheetId="23">Thermal!$JE$9:$JE$35</definedName>
    <definedName name="simultaneous_flow_limits">'Zones and Transmission'!$P$165:$AU$171</definedName>
    <definedName name="solver_cvg" hidden="1">0.001</definedName>
    <definedName name="solver_drv" hidden="1">1</definedName>
    <definedName name="solver_est" hidden="1">1</definedName>
    <definedName name="solver_itr" hidden="1">100</definedName>
    <definedName name="solver_lin" hidden="1">0</definedName>
    <definedName name="solver_name">'RESOLVE Case Settings'!$C$184</definedName>
    <definedName name="solver_neg" hidden="1">2</definedName>
    <definedName name="solver_num" hidden="1">0</definedName>
    <definedName name="solver_nwt" hidden="1">1</definedName>
    <definedName name="solver_pre" hidden="1">0.000001</definedName>
    <definedName name="solver_scl" hidden="1">2</definedName>
    <definedName name="solver_sho" hidden="1">2</definedName>
    <definedName name="solver_tim" hidden="1">100</definedName>
    <definedName name="solver_tol" hidden="1">0.05</definedName>
    <definedName name="solver_typ" hidden="1">3</definedName>
    <definedName name="solver_val" hidden="1">0</definedName>
    <definedName name="start_cost" localSheetId="23">Thermal!$JD$9:$JD$35</definedName>
    <definedName name="start_fuel_use" localSheetId="23">Thermal!$JF$9:$JF$35</definedName>
    <definedName name="start_year">Lists!$BM$9</definedName>
    <definedName name="stochastic_outage_rate" localSheetId="30">'Flexible Loads'!$IX$9:$IX$35</definedName>
    <definedName name="stochastic_outage_rate" localSheetId="28">'Hybrid Storage'!$PZ$9:$PZ$20</definedName>
    <definedName name="stochastic_outage_rate" localSheetId="27">'Hybrid Variable'!$JK$9:$JK$25</definedName>
    <definedName name="stochastic_outage_rate" localSheetId="25">Hydro!$JS$9:$JS$20</definedName>
    <definedName name="stochastic_outage_rate" localSheetId="29">'Shed DR'!$JK$9:$JK$35</definedName>
    <definedName name="stochastic_outage_rate" localSheetId="26">Storage!$PZ$9:$PZ$38</definedName>
    <definedName name="stochastic_outage_rate" localSheetId="23">Thermal!$JW$9:$JW$35</definedName>
    <definedName name="stochastic_outage_rate" localSheetId="24">Variable!$JK$9:$JK$35</definedName>
    <definedName name="StorageResource" localSheetId="26">Storage!$B$11:$B$38</definedName>
    <definedName name="StorageResource.scenario" localSheetId="26">Storage!$F$11:$F$38</definedName>
    <definedName name="System">'Non-Optimized System Costs'!$D$8:$D$22</definedName>
    <definedName name="system_name">System!$B$4</definedName>
    <definedName name="system_to_load">System!$M$11</definedName>
    <definedName name="System.scenario" localSheetId="10">'Non-Optimized System Costs'!$E$8:$E$22</definedName>
    <definedName name="SystemCost.annual_cost">'Non-Optimized System Costs'!$G$6:$AK$22</definedName>
    <definedName name="SystemCost.scenario">'Non-Optimized System Costs'!$E$8:$E$22</definedName>
    <definedName name="target" localSheetId="19">PRM!$M$9:$AQ$22</definedName>
    <definedName name="target" localSheetId="20">'RPS and CES'!$M$9:$AQ$15</definedName>
    <definedName name="target">'GHG Target'!$J$9:$AN$16</definedName>
    <definedName name="target_adjustment" localSheetId="18">'Emissions Price'!$AP$9:$BT$15</definedName>
    <definedName name="target_adjustment" localSheetId="19">PRM!$AS$9:$BW$22</definedName>
    <definedName name="target_adjustment" localSheetId="20">'RPS and CES'!$AS$9:$BW$15</definedName>
    <definedName name="target_adjustment">'GHG Target'!$AP$9:$BT$16</definedName>
    <definedName name="target_basis">'RPS and CES'!$K$9:$K$15</definedName>
    <definedName name="target_units" localSheetId="20">'RPS and CES'!$J$9:$J$15</definedName>
    <definedName name="target_units">PRM!$K$9:$K$22</definedName>
    <definedName name="td_losses_adjustment">Loads!$M$9:$AQ$60</definedName>
    <definedName name="ThermalResource" localSheetId="23">Thermal!$B$11:$B$35</definedName>
    <definedName name="ThermalResource.scenario" localSheetId="23">Thermal!$F$11:$F$35</definedName>
    <definedName name="TXPath">'Zones and Transmission'!$C$28:$C$47</definedName>
    <definedName name="TXPath.can_build_new" localSheetId="32">'Zones and Transmission'!$M$26:$M$47</definedName>
    <definedName name="TXPath.can_retire" localSheetId="32">'Zones and Transmission'!$N$26:$N$47</definedName>
    <definedName name="TXPath.forward_rating_profile">'Zones and Transmission'!$AW$26:$CA$47</definedName>
    <definedName name="TXPath.hurdle_rate_forward_direction">'Zones and Transmission'!$DI$26:$EM$47</definedName>
    <definedName name="TXPath.hurdle_rate_reverse_direction">'Zones and Transmission'!$EO$26:$FS$47</definedName>
    <definedName name="TXPath.planned_installed_capacity" localSheetId="32">'Zones and Transmission'!$Q$26:$AU$47</definedName>
    <definedName name="TXPath.reverse_rating_profile">'Zones and Transmission'!$CC$26:$DG$47</definedName>
    <definedName name="TXPath.scenario" localSheetId="32">'Zones and Transmission'!$H$28:$H$47</definedName>
    <definedName name="TXPath.simultaneous_flow_groups">'Zones and Transmission'!$C$138:$K$162</definedName>
    <definedName name="unit_commitment" localSheetId="30">'Flexible Loads'!$IN$9:$IN$35</definedName>
    <definedName name="unit_commitment" localSheetId="29">'Shed DR'!$JI$9:$JI$35</definedName>
    <definedName name="unit_commitment_linear" localSheetId="23">Thermal!$JA$9:$JA$35</definedName>
    <definedName name="unit_size" localSheetId="29">'Shed DR'!$BK$9:$CO$35</definedName>
    <definedName name="unit_size_mw" localSheetId="23">Thermal!$JB$9:$JB$35</definedName>
    <definedName name="Use_RECAP_2.0_Wrapper">'RECAP Case Settings'!$K$31</definedName>
    <definedName name="variable_cost_provide_power" localSheetId="28">'Hybrid Storage'!$HO$9:$HO$20</definedName>
    <definedName name="variable_cost_provide_power" localSheetId="27">'Hybrid Variable'!$FG$9:$FG$25</definedName>
    <definedName name="variable_cost_provide_power" localSheetId="25">Hydro!$FC$9:$FC$20</definedName>
    <definedName name="variable_cost_provide_power" localSheetId="26">Storage!$HO$9:$HO$38</definedName>
    <definedName name="variable_cost_provide_power" localSheetId="23">Thermal!$FG$9:$FG$35</definedName>
    <definedName name="variable_cost_provide_power" localSheetId="24">Variable!$FG$9:$FG$35</definedName>
    <definedName name="VariableResource" localSheetId="24">Variable!$B$11:$B$35</definedName>
    <definedName name="VariableResource.scenario" localSheetId="24">Variable!$F$11:$F$35</definedName>
    <definedName name="vars_and_expressions">Lists!$AL$9:$AL$208</definedName>
    <definedName name="VERSION_NUMBER">"0.5.0"</definedName>
    <definedName name="wrn.ALL." localSheetId="18" hidden="1">{#N/A,#N/A,FALSE,"ASSUMPTIONS";#N/A,#N/A,FALSE,"Valuation Summary";"page1",#N/A,FALSE,"PRESENTATION";"page2",#N/A,FALSE,"PRESENTATION";#N/A,#N/A,FALSE,"ORIGINAL_ROLLBACK"}</definedName>
    <definedName name="wrn.ALL." hidden="1">{#N/A,#N/A,FALSE,"ASSUMPTIONS";#N/A,#N/A,FALSE,"Valuation Summary";"page1",#N/A,FALSE,"PRESENTATION";"page2",#N/A,FALSE,"PRESENTATION";#N/A,#N/A,FALSE,"ORIGINAL_ROLLBACK"}</definedName>
    <definedName name="wrn.ALL._1" localSheetId="18" hidden="1">{#N/A,#N/A,FALSE,"ASSUMPTIONS";#N/A,#N/A,FALSE,"Valuation Summary";"page1",#N/A,FALSE,"PRESENTATION";"page2",#N/A,FALSE,"PRESENTATION";#N/A,#N/A,FALSE,"ORIGINAL_ROLLBACK"}</definedName>
    <definedName name="wrn.ALL._1" hidden="1">{#N/A,#N/A,FALSE,"ASSUMPTIONS";#N/A,#N/A,FALSE,"Valuation Summary";"page1",#N/A,FALSE,"PRESENTATION";"page2",#N/A,FALSE,"PRESENTATION";#N/A,#N/A,FALSE,"ORIGINAL_ROLLBACK"}</definedName>
    <definedName name="wrn.Earnings._.Model." localSheetId="1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_1" localSheetId="1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_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FullReport." localSheetId="18" hidden="1">{#N/A,#N/A,TRUE,"Cover";#N/A,#N/A,TRUE,"SummPTB";#N/A,#N/A,TRUE,"Vaccover";#N/A,#N/A,TRUE,"VacPTB";#N/A,#N/A,TRUE,"VacSumm";#N/A,#N/A,TRUE,"Vacbrkpg";#N/A,#N/A,TRUE,"Opt105";#N/A,#N/A,TRUE,"Opt95";#N/A,#N/A,TRUE,"Opt85";#N/A,#N/A,TRUE,"Opt75";#N/A,#N/A,TRUE,"Opt55LT";#N/A,#N/A,TRUE,"WPVAccrual";#N/A,#N/A,TRUE,"Sikcover";#N/A,#N/A,TRUE,"SikPTB";#N/A,#N/A,TRUE,"SikSumm";#N/A,#N/A,TRUE,"SikPgB";#N/A,#N/A,TRUE,"BH";#N/A,#N/A,TRUE,"Res";#N/A,#N/A,TRUE,"WPSAccrual"}</definedName>
    <definedName name="wrn.FullReport." hidden="1">{#N/A,#N/A,TRUE,"Cover";#N/A,#N/A,TRUE,"SummPTB";#N/A,#N/A,TRUE,"Vaccover";#N/A,#N/A,TRUE,"VacPTB";#N/A,#N/A,TRUE,"VacSumm";#N/A,#N/A,TRUE,"Vacbrkpg";#N/A,#N/A,TRUE,"Opt105";#N/A,#N/A,TRUE,"Opt95";#N/A,#N/A,TRUE,"Opt85";#N/A,#N/A,TRUE,"Opt75";#N/A,#N/A,TRUE,"Opt55LT";#N/A,#N/A,TRUE,"WPVAccrual";#N/A,#N/A,TRUE,"Sikcover";#N/A,#N/A,TRUE,"SikPTB";#N/A,#N/A,TRUE,"SikSumm";#N/A,#N/A,TRUE,"SikPgB";#N/A,#N/A,TRUE,"BH";#N/A,#N/A,TRUE,"Res";#N/A,#N/A,TRUE,"WPSAccrual"}</definedName>
    <definedName name="wrn.FullReport._1" localSheetId="18" hidden="1">{#N/A,#N/A,TRUE,"Cover";#N/A,#N/A,TRUE,"SummPTB";#N/A,#N/A,TRUE,"Vaccover";#N/A,#N/A,TRUE,"VacPTB";#N/A,#N/A,TRUE,"VacSumm";#N/A,#N/A,TRUE,"Vacbrkpg";#N/A,#N/A,TRUE,"Opt105";#N/A,#N/A,TRUE,"Opt95";#N/A,#N/A,TRUE,"Opt85";#N/A,#N/A,TRUE,"Opt75";#N/A,#N/A,TRUE,"Opt55LT";#N/A,#N/A,TRUE,"WPVAccrual";#N/A,#N/A,TRUE,"Sikcover";#N/A,#N/A,TRUE,"SikPTB";#N/A,#N/A,TRUE,"SikSumm";#N/A,#N/A,TRUE,"SikPgB";#N/A,#N/A,TRUE,"BH";#N/A,#N/A,TRUE,"Res";#N/A,#N/A,TRUE,"WPSAccrual"}</definedName>
    <definedName name="wrn.FullReport._1" hidden="1">{#N/A,#N/A,TRUE,"Cover";#N/A,#N/A,TRUE,"SummPTB";#N/A,#N/A,TRUE,"Vaccover";#N/A,#N/A,TRUE,"VacPTB";#N/A,#N/A,TRUE,"VacSumm";#N/A,#N/A,TRUE,"Vacbrkpg";#N/A,#N/A,TRUE,"Opt105";#N/A,#N/A,TRUE,"Opt95";#N/A,#N/A,TRUE,"Opt85";#N/A,#N/A,TRUE,"Opt75";#N/A,#N/A,TRUE,"Opt55LT";#N/A,#N/A,TRUE,"WPVAccrual";#N/A,#N/A,TRUE,"Sikcover";#N/A,#N/A,TRUE,"SikPTB";#N/A,#N/A,TRUE,"SikSumm";#N/A,#N/A,TRUE,"SikPgB";#N/A,#N/A,TRUE,"BH";#N/A,#N/A,TRUE,"Res";#N/A,#N/A,TRUE,"WPSAccrual"}</definedName>
    <definedName name="wrn.FY97SBP." localSheetId="18" hidden="1">{#N/A,#N/A,FALSE,"FY97";#N/A,#N/A,FALSE,"FY98";#N/A,#N/A,FALSE,"FY99";#N/A,#N/A,FALSE,"FY00";#N/A,#N/A,FALSE,"FY01"}</definedName>
    <definedName name="wrn.FY97SBP." hidden="1">{#N/A,#N/A,FALSE,"FY97";#N/A,#N/A,FALSE,"FY98";#N/A,#N/A,FALSE,"FY99";#N/A,#N/A,FALSE,"FY00";#N/A,#N/A,FALSE,"FY01"}</definedName>
    <definedName name="wrn.FY97SBP._1" localSheetId="18" hidden="1">{#N/A,#N/A,FALSE,"FY97";#N/A,#N/A,FALSE,"FY98";#N/A,#N/A,FALSE,"FY99";#N/A,#N/A,FALSE,"FY00";#N/A,#N/A,FALSE,"FY01"}</definedName>
    <definedName name="wrn.FY97SBP._1" hidden="1">{#N/A,#N/A,FALSE,"FY97";#N/A,#N/A,FALSE,"FY98";#N/A,#N/A,FALSE,"FY99";#N/A,#N/A,FALSE,"FY00";#N/A,#N/A,FALSE,"FY01"}</definedName>
    <definedName name="wrn.PRES_OUT." localSheetId="18" hidden="1">{"page1",#N/A,FALSE,"PRESENTATION";"page2",#N/A,FALSE,"PRESENTATION";#N/A,#N/A,FALSE,"Valuation Summary"}</definedName>
    <definedName name="wrn.PRES_OUT." hidden="1">{"page1",#N/A,FALSE,"PRESENTATION";"page2",#N/A,FALSE,"PRESENTATION";#N/A,#N/A,FALSE,"Valuation Summary"}</definedName>
    <definedName name="wrn.PRES_OUT._1" localSheetId="18" hidden="1">{"page1",#N/A,FALSE,"PRESENTATION";"page2",#N/A,FALSE,"PRESENTATION";#N/A,#N/A,FALSE,"Valuation Summary"}</definedName>
    <definedName name="wrn.PRES_OUT._1" hidden="1">{"page1",#N/A,FALSE,"PRESENTATION";"page2",#N/A,FALSE,"PRESENTATION";#N/A,#N/A,FALSE,"Valuation Summary"}</definedName>
    <definedName name="wrn.Presentation._.Version._.but._.No._.WC._.Slide." localSheetId="18" hidden="1">{"Presentation View",#N/A,TRUE,"Cover";"Presentation View",#N/A,TRUE,"Hilight_YTD";"Presentation View",#N/A,TRUE,"BridgeP";"Presentation View",#N/A,TRUE,"Bridge00";"Presentation View",#N/A,TRUE,"cnsoled_IS";"Presentation View",#N/A,TRUE,"cnsol_incYTD v plan";"Presentation View",#N/A,TRUE,"cnsol_incYTD v PY";"Presentation View",#N/A,TRUE,"Fcst1 qtrly";"Presentation View",#N/A,TRUE,"Fcst1 Qtrly Earnings";"Presentation View",#N/A,TRUE,"AR";"Presentation View",#N/A,TRUE,"INV";"Presentation View",#N/A,TRUE,"Inc Trend";"Presentation View",#N/A,TRUE,"cnsol_inc v p";"Presentation View",#N/A,TRUE,"cnsol_inc v PY";"Presentation View",#N/A,TRUE,"F1 BS";"Presentation View2",#N/A,TRUE,"cash flow";"Presentation View",#N/A,TRUE,"TITLE PF";"Presentation View",#N/A,TRUE,"cnsol_incYTDpf v PYpf";"Presentation View",#N/A,TRUE,"cnsol_inc v PYpf";"Presentation View",#N/A,TRUE,"CapExPF";"Presentation View",#N/A,TRUE,"Major Projects";"Presentation View",#N/A,TRUE,"MAR"}</definedName>
    <definedName name="wrn.Presentation._.Version._.but._.No._.WC._.Slide." hidden="1">{"Presentation View",#N/A,TRUE,"Cover";"Presentation View",#N/A,TRUE,"Hilight_YTD";"Presentation View",#N/A,TRUE,"BridgeP";"Presentation View",#N/A,TRUE,"Bridge00";"Presentation View",#N/A,TRUE,"cnsoled_IS";"Presentation View",#N/A,TRUE,"cnsol_incYTD v plan";"Presentation View",#N/A,TRUE,"cnsol_incYTD v PY";"Presentation View",#N/A,TRUE,"Fcst1 qtrly";"Presentation View",#N/A,TRUE,"Fcst1 Qtrly Earnings";"Presentation View",#N/A,TRUE,"AR";"Presentation View",#N/A,TRUE,"INV";"Presentation View",#N/A,TRUE,"Inc Trend";"Presentation View",#N/A,TRUE,"cnsol_inc v p";"Presentation View",#N/A,TRUE,"cnsol_inc v PY";"Presentation View",#N/A,TRUE,"F1 BS";"Presentation View2",#N/A,TRUE,"cash flow";"Presentation View",#N/A,TRUE,"TITLE PF";"Presentation View",#N/A,TRUE,"cnsol_incYTDpf v PYpf";"Presentation View",#N/A,TRUE,"cnsol_inc v PYpf";"Presentation View",#N/A,TRUE,"CapExPF";"Presentation View",#N/A,TRUE,"Major Projects";"Presentation View",#N/A,TRUE,"MAR"}</definedName>
    <definedName name="wrn.Presentation._.Version._.but._.No._.WC._.Slide._1" localSheetId="18" hidden="1">{"Presentation View",#N/A,TRUE,"Cover";"Presentation View",#N/A,TRUE,"Hilight_YTD";"Presentation View",#N/A,TRUE,"BridgeP";"Presentation View",#N/A,TRUE,"Bridge00";"Presentation View",#N/A,TRUE,"cnsoled_IS";"Presentation View",#N/A,TRUE,"cnsol_incYTD v plan";"Presentation View",#N/A,TRUE,"cnsol_incYTD v PY";"Presentation View",#N/A,TRUE,"Fcst1 qtrly";"Presentation View",#N/A,TRUE,"Fcst1 Qtrly Earnings";"Presentation View",#N/A,TRUE,"AR";"Presentation View",#N/A,TRUE,"INV";"Presentation View",#N/A,TRUE,"Inc Trend";"Presentation View",#N/A,TRUE,"cnsol_inc v p";"Presentation View",#N/A,TRUE,"cnsol_inc v PY";"Presentation View",#N/A,TRUE,"F1 BS";"Presentation View2",#N/A,TRUE,"cash flow";"Presentation View",#N/A,TRUE,"TITLE PF";"Presentation View",#N/A,TRUE,"cnsol_incYTDpf v PYpf";"Presentation View",#N/A,TRUE,"cnsol_inc v PYpf";"Presentation View",#N/A,TRUE,"CapExPF";"Presentation View",#N/A,TRUE,"Major Projects";"Presentation View",#N/A,TRUE,"MAR"}</definedName>
    <definedName name="wrn.Presentation._.Version._.but._.No._.WC._.Slide._1" hidden="1">{"Presentation View",#N/A,TRUE,"Cover";"Presentation View",#N/A,TRUE,"Hilight_YTD";"Presentation View",#N/A,TRUE,"BridgeP";"Presentation View",#N/A,TRUE,"Bridge00";"Presentation View",#N/A,TRUE,"cnsoled_IS";"Presentation View",#N/A,TRUE,"cnsol_incYTD v plan";"Presentation View",#N/A,TRUE,"cnsol_incYTD v PY";"Presentation View",#N/A,TRUE,"Fcst1 qtrly";"Presentation View",#N/A,TRUE,"Fcst1 Qtrly Earnings";"Presentation View",#N/A,TRUE,"AR";"Presentation View",#N/A,TRUE,"INV";"Presentation View",#N/A,TRUE,"Inc Trend";"Presentation View",#N/A,TRUE,"cnsol_inc v p";"Presentation View",#N/A,TRUE,"cnsol_inc v PY";"Presentation View",#N/A,TRUE,"F1 BS";"Presentation View2",#N/A,TRUE,"cash flow";"Presentation View",#N/A,TRUE,"TITLE PF";"Presentation View",#N/A,TRUE,"cnsol_incYTDpf v PYpf";"Presentation View",#N/A,TRUE,"cnsol_inc v PYpf";"Presentation View",#N/A,TRUE,"CapExPF";"Presentation View",#N/A,TRUE,"Major Projects";"Presentation View",#N/A,TRUE,"MAR"}</definedName>
    <definedName name="wrn.PRINT_CURRENT._.PAGE." localSheetId="18" hidden="1">{"CURRENT",#N/A,FALSE,"REGISTER"}</definedName>
    <definedName name="wrn.PRINT_CURRENT._.PAGE." hidden="1">{"CURRENT",#N/A,FALSE,"REGISTER"}</definedName>
    <definedName name="wrn.PRINT_CURRENT._.PAGE._1" localSheetId="18" hidden="1">{"CURRENT",#N/A,FALSE,"REGISTER"}</definedName>
    <definedName name="wrn.PRINT_CURRENT._.PAGE._1" hidden="1">{"CURRENT",#N/A,FALSE,"REGISTER"}</definedName>
    <definedName name="wrn.PRINT_HISTORY." localSheetId="18" hidden="1">{"HISTORY",#N/A,FALSE,"REGISTER"}</definedName>
    <definedName name="wrn.PRINT_HISTORY." hidden="1">{"HISTORY",#N/A,FALSE,"REGISTER"}</definedName>
    <definedName name="wrn.PRINT_HISTORY._1" localSheetId="18" hidden="1">{"HISTORY",#N/A,FALSE,"REGISTER"}</definedName>
    <definedName name="wrn.PRINT_HISTORY._1" hidden="1">{"HISTORY",#N/A,FALSE,"REGISTER"}</definedName>
    <definedName name="wrn.printall." localSheetId="18" hidden="1">{"page1",#N/A,FALSE,"DCM";"page2",#N/A,FALSE,"DCM";"page3",#N/A,FALSE,"DCM";"page4",#N/A,FALSE,"DCM";"page5",#N/A,FALSE,"DCM";"page6",#N/A,FALSE,"DCM";"page7",#N/A,FALSE,"DCM";"page8",#N/A,FALSE,"DCM"}</definedName>
    <definedName name="wrn.printall." hidden="1">{"page1",#N/A,FALSE,"DCM";"page2",#N/A,FALSE,"DCM";"page3",#N/A,FALSE,"DCM";"page4",#N/A,FALSE,"DCM";"page5",#N/A,FALSE,"DCM";"page6",#N/A,FALSE,"DCM";"page7",#N/A,FALSE,"DCM";"page8",#N/A,FALSE,"DCM"}</definedName>
    <definedName name="wrn.printall._1" localSheetId="18" hidden="1">{"page1",#N/A,FALSE,"DCM";"page2",#N/A,FALSE,"DCM";"page3",#N/A,FALSE,"DCM";"page4",#N/A,FALSE,"DCM";"page5",#N/A,FALSE,"DCM";"page6",#N/A,FALSE,"DCM";"page7",#N/A,FALSE,"DCM";"page8",#N/A,FALSE,"DCM"}</definedName>
    <definedName name="wrn.printall._1" hidden="1">{"page1",#N/A,FALSE,"DCM";"page2",#N/A,FALSE,"DCM";"page3",#N/A,FALSE,"DCM";"page4",#N/A,FALSE,"DCM";"page5",#N/A,FALSE,"DCM";"page6",#N/A,FALSE,"DCM";"page7",#N/A,FALSE,"DCM";"page8",#N/A,FALSE,"DCM"}</definedName>
    <definedName name="wrn.Summary." localSheetId="18" hidden="1">{"page1",#N/A,FALSE,"DCM";"page3",#N/A,FALSE,"DCM"}</definedName>
    <definedName name="wrn.Summary." hidden="1">{"page1",#N/A,FALSE,"DCM";"page3",#N/A,FALSE,"DCM"}</definedName>
    <definedName name="wrn.Summary._1" localSheetId="18" hidden="1">{"page1",#N/A,FALSE,"DCM";"page3",#N/A,FALSE,"DCM"}</definedName>
    <definedName name="wrn.Summary._1" hidden="1">{"page1",#N/A,FALSE,"DCM";"page3",#N/A,FALSE,"DCM"}</definedName>
    <definedName name="wrn.Working._.Version." localSheetId="18" hidden="1">{"Working View with Notes2",#N/A,TRUE,"Hilight_YTD";"Working View with Notes2",#N/A,TRUE,"BridgeP";"Working View with Notes2",#N/A,TRUE,"Bridge00";"Working View with Notes2",#N/A,TRUE,"cnsoled_IS";"Working View with Notes2",#N/A,TRUE,"cnsol_incYTD v plan";"Working View with Notes2",#N/A,TRUE,"cnsol_incYTD v PY";"Working View with Notes2",#N/A,TRUE,"Fcst1 qtrly";"Working View with Notes2",#N/A,TRUE,"Fcst1 Qtrly Earnings";"Working View with Notes2",#N/A,TRUE,"AR";"Working View with Notes2",#N/A,TRUE,"INV";"Working View with Notes2",#N/A,TRUE,"Inc Trend";"Working View with Notes2",#N/A,TRUE,"cnsol_inc v p";"Working View with Notes2",#N/A,TRUE,"cnsol_inc v PY";"Working View with Notes2",#N/A,TRUE,"F1 BS";"Working View with Notes2",#N/A,TRUE,"cash flow";"Working View with Notes2",#N/A,TRUE,"TITLE PF";"Working View with Notes2",#N/A,TRUE,"cnsol_incYTDpf v PYpf";"Working View with Notes2",#N/A,TRUE,"cnsol_inc v PYpf";"Working View with Notes2",#N/A,TRUE,"CapExPF";"Working View with Notes2",#N/A,TRUE,"Major Projects";"Working View with Notes2",#N/A,TRUE,"MAR"}</definedName>
    <definedName name="wrn.Working._.Version." hidden="1">{"Working View with Notes2",#N/A,TRUE,"Hilight_YTD";"Working View with Notes2",#N/A,TRUE,"BridgeP";"Working View with Notes2",#N/A,TRUE,"Bridge00";"Working View with Notes2",#N/A,TRUE,"cnsoled_IS";"Working View with Notes2",#N/A,TRUE,"cnsol_incYTD v plan";"Working View with Notes2",#N/A,TRUE,"cnsol_incYTD v PY";"Working View with Notes2",#N/A,TRUE,"Fcst1 qtrly";"Working View with Notes2",#N/A,TRUE,"Fcst1 Qtrly Earnings";"Working View with Notes2",#N/A,TRUE,"AR";"Working View with Notes2",#N/A,TRUE,"INV";"Working View with Notes2",#N/A,TRUE,"Inc Trend";"Working View with Notes2",#N/A,TRUE,"cnsol_inc v p";"Working View with Notes2",#N/A,TRUE,"cnsol_inc v PY";"Working View with Notes2",#N/A,TRUE,"F1 BS";"Working View with Notes2",#N/A,TRUE,"cash flow";"Working View with Notes2",#N/A,TRUE,"TITLE PF";"Working View with Notes2",#N/A,TRUE,"cnsol_incYTDpf v PYpf";"Working View with Notes2",#N/A,TRUE,"cnsol_inc v PYpf";"Working View with Notes2",#N/A,TRUE,"CapExPF";"Working View with Notes2",#N/A,TRUE,"Major Projects";"Working View with Notes2",#N/A,TRUE,"MAR"}</definedName>
    <definedName name="wrn.Working._.Version._1" localSheetId="18" hidden="1">{"Working View with Notes2",#N/A,TRUE,"Hilight_YTD";"Working View with Notes2",#N/A,TRUE,"BridgeP";"Working View with Notes2",#N/A,TRUE,"Bridge00";"Working View with Notes2",#N/A,TRUE,"cnsoled_IS";"Working View with Notes2",#N/A,TRUE,"cnsol_incYTD v plan";"Working View with Notes2",#N/A,TRUE,"cnsol_incYTD v PY";"Working View with Notes2",#N/A,TRUE,"Fcst1 qtrly";"Working View with Notes2",#N/A,TRUE,"Fcst1 Qtrly Earnings";"Working View with Notes2",#N/A,TRUE,"AR";"Working View with Notes2",#N/A,TRUE,"INV";"Working View with Notes2",#N/A,TRUE,"Inc Trend";"Working View with Notes2",#N/A,TRUE,"cnsol_inc v p";"Working View with Notes2",#N/A,TRUE,"cnsol_inc v PY";"Working View with Notes2",#N/A,TRUE,"F1 BS";"Working View with Notes2",#N/A,TRUE,"cash flow";"Working View with Notes2",#N/A,TRUE,"TITLE PF";"Working View with Notes2",#N/A,TRUE,"cnsol_incYTDpf v PYpf";"Working View with Notes2",#N/A,TRUE,"cnsol_inc v PYpf";"Working View with Notes2",#N/A,TRUE,"CapExPF";"Working View with Notes2",#N/A,TRUE,"Major Projects";"Working View with Notes2",#N/A,TRUE,"MAR"}</definedName>
    <definedName name="wrn.Working._.Version._1" hidden="1">{"Working View with Notes2",#N/A,TRUE,"Hilight_YTD";"Working View with Notes2",#N/A,TRUE,"BridgeP";"Working View with Notes2",#N/A,TRUE,"Bridge00";"Working View with Notes2",#N/A,TRUE,"cnsoled_IS";"Working View with Notes2",#N/A,TRUE,"cnsol_incYTD v plan";"Working View with Notes2",#N/A,TRUE,"cnsol_incYTD v PY";"Working View with Notes2",#N/A,TRUE,"Fcst1 qtrly";"Working View with Notes2",#N/A,TRUE,"Fcst1 Qtrly Earnings";"Working View with Notes2",#N/A,TRUE,"AR";"Working View with Notes2",#N/A,TRUE,"INV";"Working View with Notes2",#N/A,TRUE,"Inc Trend";"Working View with Notes2",#N/A,TRUE,"cnsol_inc v p";"Working View with Notes2",#N/A,TRUE,"cnsol_inc v PY";"Working View with Notes2",#N/A,TRUE,"F1 BS";"Working View with Notes2",#N/A,TRUE,"cash flow";"Working View with Notes2",#N/A,TRUE,"TITLE PF";"Working View with Notes2",#N/A,TRUE,"cnsol_incYTDpf v PYpf";"Working View with Notes2",#N/A,TRUE,"cnsol_inc v PYpf";"Working View with Notes2",#N/A,TRUE,"CapExPF";"Working View with Notes2",#N/A,TRUE,"Major Projects";"Working View with Notes2",#N/A,TRUE,"MAR"}</definedName>
    <definedName name="wrn1.fullreport" localSheetId="18" hidden="1">{#N/A,#N/A,TRUE,"Cover";#N/A,#N/A,TRUE,"SummPTB";#N/A,#N/A,TRUE,"Vaccover";#N/A,#N/A,TRUE,"VacPTB";#N/A,#N/A,TRUE,"VacSumm";#N/A,#N/A,TRUE,"Vacbrkpg";#N/A,#N/A,TRUE,"Opt105";#N/A,#N/A,TRUE,"Opt95";#N/A,#N/A,TRUE,"Opt85";#N/A,#N/A,TRUE,"Opt75";#N/A,#N/A,TRUE,"Opt55LT";#N/A,#N/A,TRUE,"WPVAccrual";#N/A,#N/A,TRUE,"Sikcover";#N/A,#N/A,TRUE,"SikPTB";#N/A,#N/A,TRUE,"SikSumm";#N/A,#N/A,TRUE,"SikPgB";#N/A,#N/A,TRUE,"BH";#N/A,#N/A,TRUE,"Res";#N/A,#N/A,TRUE,"WPSAccrual"}</definedName>
    <definedName name="wrn1.fullreport" hidden="1">{#N/A,#N/A,TRUE,"Cover";#N/A,#N/A,TRUE,"SummPTB";#N/A,#N/A,TRUE,"Vaccover";#N/A,#N/A,TRUE,"VacPTB";#N/A,#N/A,TRUE,"VacSumm";#N/A,#N/A,TRUE,"Vacbrkpg";#N/A,#N/A,TRUE,"Opt105";#N/A,#N/A,TRUE,"Opt95";#N/A,#N/A,TRUE,"Opt85";#N/A,#N/A,TRUE,"Opt75";#N/A,#N/A,TRUE,"Opt55LT";#N/A,#N/A,TRUE,"WPVAccrual";#N/A,#N/A,TRUE,"Sikcover";#N/A,#N/A,TRUE,"SikPTB";#N/A,#N/A,TRUE,"SikSumm";#N/A,#N/A,TRUE,"SikPgB";#N/A,#N/A,TRUE,"BH";#N/A,#N/A,TRUE,"Res";#N/A,#N/A,TRUE,"WPSAccrual"}</definedName>
    <definedName name="wrn1.fullreport_1" localSheetId="18" hidden="1">{#N/A,#N/A,TRUE,"Cover";#N/A,#N/A,TRUE,"SummPTB";#N/A,#N/A,TRUE,"Vaccover";#N/A,#N/A,TRUE,"VacPTB";#N/A,#N/A,TRUE,"VacSumm";#N/A,#N/A,TRUE,"Vacbrkpg";#N/A,#N/A,TRUE,"Opt105";#N/A,#N/A,TRUE,"Opt95";#N/A,#N/A,TRUE,"Opt85";#N/A,#N/A,TRUE,"Opt75";#N/A,#N/A,TRUE,"Opt55LT";#N/A,#N/A,TRUE,"WPVAccrual";#N/A,#N/A,TRUE,"Sikcover";#N/A,#N/A,TRUE,"SikPTB";#N/A,#N/A,TRUE,"SikSumm";#N/A,#N/A,TRUE,"SikPgB";#N/A,#N/A,TRUE,"BH";#N/A,#N/A,TRUE,"Res";#N/A,#N/A,TRUE,"WPSAccrual"}</definedName>
    <definedName name="wrn1.fullreport_1" hidden="1">{#N/A,#N/A,TRUE,"Cover";#N/A,#N/A,TRUE,"SummPTB";#N/A,#N/A,TRUE,"Vaccover";#N/A,#N/A,TRUE,"VacPTB";#N/A,#N/A,TRUE,"VacSumm";#N/A,#N/A,TRUE,"Vacbrkpg";#N/A,#N/A,TRUE,"Opt105";#N/A,#N/A,TRUE,"Opt95";#N/A,#N/A,TRUE,"Opt85";#N/A,#N/A,TRUE,"Opt75";#N/A,#N/A,TRUE,"Opt55LT";#N/A,#N/A,TRUE,"WPVAccrual";#N/A,#N/A,TRUE,"Sikcover";#N/A,#N/A,TRUE,"SikPTB";#N/A,#N/A,TRUE,"SikSumm";#N/A,#N/A,TRUE,"SikPgB";#N/A,#N/A,TRUE,"BH";#N/A,#N/A,TRUE,"Res";#N/A,#N/A,TRUE,"WPSAccrual"}</definedName>
    <definedName name="wrn1.printall" localSheetId="18" hidden="1">{"page1",#N/A,FALSE,"DCM";"page2",#N/A,FALSE,"DCM";"page3",#N/A,FALSE,"DCM";"page4",#N/A,FALSE,"DCM";"page5",#N/A,FALSE,"DCM";"page6",#N/A,FALSE,"DCM";"page7",#N/A,FALSE,"DCM";"page8",#N/A,FALSE,"DCM"}</definedName>
    <definedName name="wrn1.printall" hidden="1">{"page1",#N/A,FALSE,"DCM";"page2",#N/A,FALSE,"DCM";"page3",#N/A,FALSE,"DCM";"page4",#N/A,FALSE,"DCM";"page5",#N/A,FALSE,"DCM";"page6",#N/A,FALSE,"DCM";"page7",#N/A,FALSE,"DCM";"page8",#N/A,FALSE,"DCM"}</definedName>
    <definedName name="wrn1.printall_1" localSheetId="18" hidden="1">{"page1",#N/A,FALSE,"DCM";"page2",#N/A,FALSE,"DCM";"page3",#N/A,FALSE,"DCM";"page4",#N/A,FALSE,"DCM";"page5",#N/A,FALSE,"DCM";"page6",#N/A,FALSE,"DCM";"page7",#N/A,FALSE,"DCM";"page8",#N/A,FALSE,"DCM"}</definedName>
    <definedName name="wrn1.printall_1" hidden="1">{"page1",#N/A,FALSE,"DCM";"page2",#N/A,FALSE,"DCM";"page3",#N/A,FALSE,"DCM";"page4",#N/A,FALSE,"DCM";"page5",#N/A,FALSE,"DCM";"page6",#N/A,FALSE,"DCM";"page7",#N/A,FALSE,"DCM";"page8",#N/A,FALSE,"DCM"}</definedName>
    <definedName name="Zone">'Zones and Transmission'!$C$10:$C$18</definedName>
    <definedName name="Zone.penalty_overgen">'Zones and Transmission'!$K$8:$K$18</definedName>
    <definedName name="Zone.penalty_unserved_energy">'Zones and Transmission'!$J$8:$J$18</definedName>
    <definedName name="Zone.scenario">'Zones and Transmission'!$H$10:$H$18</definedName>
    <definedName name="ZoneToTransmissionPath">'Zones and Transmission'!$C$95:$D$134</definedName>
    <definedName name="ZoneToTransmissionPath.from_zone">'Zones and Transmission'!$J$93:$J$134</definedName>
    <definedName name="ZoneToTransmissionPath.scenario">'Zones and Transmission'!$H$95:$H$134</definedName>
    <definedName name="ZoneToTransmissionPath.to_zone">'Zones and Transmission'!$K$93:$K$134</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S10" i="79" l="1"/>
  <c r="JQ10" i="79"/>
  <c r="JO10" i="79"/>
  <c r="AC9" i="64" a="1"/>
  <c r="AC9" i="64" s="1"/>
  <c r="M9" i="64" a="1"/>
  <c r="M9" i="64" s="1"/>
  <c r="L9" i="64" a="1"/>
  <c r="L9" i="64" s="1"/>
  <c r="N9" i="64" s="1" a="1"/>
  <c r="N9" i="64" s="1"/>
  <c r="J9" i="64" a="1"/>
  <c r="J9" i="64" s="1"/>
  <c r="BI9" i="64" a="1"/>
  <c r="BI9" i="64" s="1"/>
  <c r="BH9" i="64" a="1"/>
  <c r="BH9" i="64" s="1"/>
  <c r="X9" i="64" a="1"/>
  <c r="X9" i="64" s="1"/>
  <c r="W9" i="64" a="1"/>
  <c r="W9" i="64"/>
  <c r="V9" i="64" a="1"/>
  <c r="V9" i="64" s="1"/>
  <c r="U9" i="64" a="1"/>
  <c r="U9" i="64" s="1"/>
  <c r="T9" i="64" a="1"/>
  <c r="T9" i="64" s="1"/>
  <c r="S9" i="64" a="1"/>
  <c r="S9" i="64" s="1"/>
  <c r="R9" i="64" a="1"/>
  <c r="R9" i="64" s="1"/>
  <c r="Q9" i="64" a="1"/>
  <c r="Q9" i="64" s="1"/>
  <c r="BK9" i="64" a="1"/>
  <c r="BK9" i="64" s="1"/>
  <c r="BJ9" i="64" a="1"/>
  <c r="BJ9" i="64" s="1"/>
  <c r="AL9" i="64" a="1"/>
  <c r="AL9" i="64" s="1"/>
  <c r="AH9" i="64" a="1"/>
  <c r="AH9" i="64" s="1"/>
  <c r="AG9" i="64" a="1"/>
  <c r="AG9" i="64" s="1"/>
  <c r="AF9" i="64" a="1"/>
  <c r="AF9" i="64" s="1"/>
  <c r="AE9" i="64" a="1"/>
  <c r="AE9" i="64" s="1"/>
  <c r="AA9" i="64" a="1"/>
  <c r="AA9" i="64" s="1"/>
  <c r="Z9" i="64" a="1"/>
  <c r="Z9" i="64" s="1"/>
  <c r="P9" i="64" a="1"/>
  <c r="P9" i="64" s="1"/>
  <c r="I9" i="64" a="1"/>
  <c r="I9" i="64" s="1"/>
  <c r="K9" i="64" s="1" a="1"/>
  <c r="K9" i="64" s="1"/>
  <c r="H9" i="64" a="1"/>
  <c r="H9" i="64" s="1"/>
  <c r="G9" i="64" a="1"/>
  <c r="G9" i="64" s="1"/>
  <c r="F9" i="64" a="1"/>
  <c r="F9" i="64" s="1"/>
  <c r="E9" i="64" a="1"/>
  <c r="E9" i="64" s="1"/>
  <c r="AV9" i="64" a="1"/>
  <c r="AT9" i="64" a="1"/>
  <c r="AU9" i="64" a="1"/>
  <c r="AZ9" i="64" a="1"/>
  <c r="BB9" i="64" a="1"/>
  <c r="AY9" i="64" a="1"/>
  <c r="AX9" i="64" a="1"/>
  <c r="AP9" i="64" a="1"/>
  <c r="AW9" i="64" a="1"/>
  <c r="BE9" i="64" a="1"/>
  <c r="AS9" i="64" a="1"/>
  <c r="AN9" i="64" a="1"/>
  <c r="AR9" i="64" a="1"/>
  <c r="AO9" i="64" a="1"/>
  <c r="BA9" i="64" a="1"/>
  <c r="BD9" i="64" a="1"/>
  <c r="BC9" i="64" a="1"/>
  <c r="AQ9" i="64" a="1"/>
  <c r="O9" i="64" l="1" a="1"/>
  <c r="O9" i="64" s="1"/>
  <c r="Y9" i="64" a="1"/>
  <c r="Y9" i="64" s="1"/>
  <c r="AN9" i="64"/>
  <c r="AS9" i="64"/>
  <c r="AX9" i="64"/>
  <c r="BC9" i="64"/>
  <c r="AQ9" i="64"/>
  <c r="AV9" i="64"/>
  <c r="BA9" i="64"/>
  <c r="AO9" i="64"/>
  <c r="AT9" i="64"/>
  <c r="AY9" i="64"/>
  <c r="BD9" i="64"/>
  <c r="AP9" i="64"/>
  <c r="AU9" i="64"/>
  <c r="AZ9" i="64"/>
  <c r="BE9" i="64"/>
  <c r="AR9" i="64"/>
  <c r="AW9" i="64"/>
  <c r="BB9" i="64"/>
  <c r="BF9" i="64" l="1" a="1"/>
  <c r="BF9" i="64" s="1"/>
  <c r="JN10" i="78" l="1"/>
  <c r="IR10" i="94"/>
  <c r="PD10" i="77"/>
  <c r="PB10" i="77"/>
  <c r="PD10" i="106"/>
  <c r="PB10" i="106"/>
  <c r="HS10" i="94"/>
  <c r="HQ10" i="94"/>
  <c r="ID10" i="94"/>
  <c r="IB10" i="94"/>
  <c r="HZ10" i="94"/>
  <c r="N11" i="52"/>
  <c r="O11" i="52" s="1"/>
  <c r="P11" i="52" s="1"/>
  <c r="Q11" i="52" s="1"/>
  <c r="R11" i="52" s="1"/>
  <c r="S11" i="52" s="1"/>
  <c r="T11" i="52" s="1"/>
  <c r="U11" i="52" s="1"/>
  <c r="V11" i="52" s="1"/>
  <c r="W11" i="52" s="1"/>
  <c r="X11" i="52" s="1"/>
  <c r="Y11" i="52" s="1"/>
  <c r="Z11" i="52" s="1"/>
  <c r="AA11" i="52" s="1"/>
  <c r="AB11" i="52" s="1"/>
  <c r="AC11" i="52" s="1"/>
  <c r="AD11" i="52" s="1"/>
  <c r="AE11" i="52" s="1"/>
  <c r="AF11" i="52" s="1"/>
  <c r="AG11" i="52" s="1"/>
  <c r="AH11" i="52" s="1"/>
  <c r="AI11" i="52" s="1"/>
  <c r="AJ11" i="52" s="1"/>
  <c r="AK11" i="52" s="1"/>
  <c r="AL11" i="52" s="1"/>
  <c r="AM11" i="52" s="1"/>
  <c r="AN11" i="52" s="1"/>
  <c r="AO11" i="52" s="1"/>
  <c r="AP11" i="52" s="1"/>
  <c r="AQ11" i="52" s="1"/>
  <c r="AR11" i="52" s="1"/>
  <c r="BK10" i="79"/>
  <c r="BL10" i="79" s="1"/>
  <c r="BM10" i="79" s="1"/>
  <c r="BN10" i="79" s="1"/>
  <c r="BO10" i="79" s="1"/>
  <c r="BP10" i="79" s="1"/>
  <c r="BQ10" i="79" s="1"/>
  <c r="BR10" i="79" s="1"/>
  <c r="BS10" i="79" s="1"/>
  <c r="BT10" i="79" s="1"/>
  <c r="BU10" i="79" s="1"/>
  <c r="BV10" i="79" s="1"/>
  <c r="BW10" i="79" s="1"/>
  <c r="BX10" i="79" s="1"/>
  <c r="BY10" i="79" s="1"/>
  <c r="BZ10" i="79" s="1"/>
  <c r="CA10" i="79" s="1"/>
  <c r="CB10" i="79" s="1"/>
  <c r="CC10" i="79" s="1"/>
  <c r="CD10" i="79" s="1"/>
  <c r="CE10" i="79" s="1"/>
  <c r="CF10" i="79" s="1"/>
  <c r="CG10" i="79" s="1"/>
  <c r="CH10" i="79" s="1"/>
  <c r="CI10" i="79" s="1"/>
  <c r="CJ10" i="79" s="1"/>
  <c r="CK10" i="79" s="1"/>
  <c r="CL10" i="79" s="1"/>
  <c r="CM10" i="79" s="1"/>
  <c r="CN10" i="79" s="1"/>
  <c r="CO10" i="79" s="1"/>
  <c r="D11" i="94"/>
  <c r="J98" i="50" a="1"/>
  <c r="J98" i="50"/>
  <c r="D51" i="50" a="1"/>
  <c r="D51" i="50"/>
  <c r="C51" i="50" a="1"/>
  <c r="C51" i="50" s="1"/>
  <c r="B9" i="109"/>
  <c r="H15" i="32"/>
  <c r="B8" i="109" s="1"/>
  <c r="H14" i="32"/>
  <c r="B6" i="109" s="1"/>
  <c r="H8" i="32"/>
  <c r="H7" i="32"/>
  <c r="B1" i="109" s="1"/>
  <c r="F10" i="50"/>
  <c r="B5" i="109" l="1"/>
  <c r="B2" i="109"/>
  <c r="B7" i="109"/>
  <c r="F11" i="50"/>
  <c r="E34" i="44" l="1" a="1"/>
  <c r="E34" i="44" s="1"/>
  <c r="S106" i="103"/>
  <c r="R106" i="103"/>
  <c r="Q106" i="103"/>
  <c r="P106" i="103"/>
  <c r="O106" i="103"/>
  <c r="N106" i="103"/>
  <c r="M106" i="103"/>
  <c r="L106" i="103"/>
  <c r="K106" i="103"/>
  <c r="J106" i="103"/>
  <c r="I106" i="103"/>
  <c r="H106" i="103"/>
  <c r="G106" i="103"/>
  <c r="F106" i="103"/>
  <c r="E106" i="103"/>
  <c r="K58" i="103"/>
  <c r="K59" i="103"/>
  <c r="K60" i="103"/>
  <c r="K61" i="103"/>
  <c r="K62" i="103"/>
  <c r="K63" i="103"/>
  <c r="K64" i="103"/>
  <c r="K65" i="103"/>
  <c r="K66" i="103"/>
  <c r="K67" i="103"/>
  <c r="K68" i="103"/>
  <c r="K69" i="103"/>
  <c r="K70" i="103"/>
  <c r="K71" i="103"/>
  <c r="K72" i="103"/>
  <c r="K73" i="103"/>
  <c r="K74" i="103"/>
  <c r="K75" i="103"/>
  <c r="K76" i="103"/>
  <c r="K77" i="103"/>
  <c r="K78" i="103"/>
  <c r="K79" i="103"/>
  <c r="K80" i="103"/>
  <c r="K81" i="103"/>
  <c r="K82" i="103"/>
  <c r="K83" i="103"/>
  <c r="K84" i="103"/>
  <c r="K85" i="103"/>
  <c r="K86" i="103"/>
  <c r="K87" i="103"/>
  <c r="K88" i="103"/>
  <c r="K89" i="103"/>
  <c r="K90" i="103"/>
  <c r="K91" i="103"/>
  <c r="K92" i="103"/>
  <c r="K93" i="103"/>
  <c r="K94" i="103"/>
  <c r="K95" i="103"/>
  <c r="K96" i="103"/>
  <c r="K97" i="103"/>
  <c r="K57" i="103"/>
  <c r="G58" i="103"/>
  <c r="G59" i="103"/>
  <c r="G60" i="103"/>
  <c r="G61" i="103"/>
  <c r="G62" i="103"/>
  <c r="G63" i="103"/>
  <c r="G64" i="103"/>
  <c r="G65" i="103"/>
  <c r="G66" i="103"/>
  <c r="G67" i="103"/>
  <c r="G68" i="103"/>
  <c r="G69" i="103"/>
  <c r="G70" i="103"/>
  <c r="G71" i="103"/>
  <c r="G72" i="103"/>
  <c r="G73" i="103"/>
  <c r="G74" i="103"/>
  <c r="G75" i="103"/>
  <c r="G76" i="103"/>
  <c r="G77" i="103"/>
  <c r="G78" i="103"/>
  <c r="G79" i="103"/>
  <c r="G80" i="103"/>
  <c r="G81" i="103"/>
  <c r="G82" i="103"/>
  <c r="G83" i="103"/>
  <c r="G84" i="103"/>
  <c r="G85" i="103"/>
  <c r="G86" i="103"/>
  <c r="G87" i="103"/>
  <c r="G88" i="103"/>
  <c r="G89" i="103"/>
  <c r="G90" i="103"/>
  <c r="G91" i="103"/>
  <c r="G92" i="103"/>
  <c r="G93" i="103"/>
  <c r="G94" i="103"/>
  <c r="G95" i="103"/>
  <c r="G96" i="103"/>
  <c r="G97" i="103"/>
  <c r="G57" i="103"/>
  <c r="D58" i="103"/>
  <c r="D59" i="103"/>
  <c r="D60" i="103"/>
  <c r="D61" i="103"/>
  <c r="D62" i="103"/>
  <c r="D63" i="103"/>
  <c r="D64" i="103"/>
  <c r="D65" i="103"/>
  <c r="D66" i="103"/>
  <c r="D67" i="103"/>
  <c r="D68" i="103"/>
  <c r="D69" i="103"/>
  <c r="D70" i="103"/>
  <c r="D71" i="103"/>
  <c r="D72" i="103"/>
  <c r="D73" i="103"/>
  <c r="D74" i="103"/>
  <c r="D75" i="103"/>
  <c r="D76" i="103"/>
  <c r="D77" i="103"/>
  <c r="D78" i="103"/>
  <c r="D79" i="103"/>
  <c r="D80" i="103"/>
  <c r="D81" i="103"/>
  <c r="D82" i="103"/>
  <c r="D83" i="103"/>
  <c r="D84" i="103"/>
  <c r="D85" i="103"/>
  <c r="D86" i="103"/>
  <c r="D87" i="103"/>
  <c r="D88" i="103"/>
  <c r="D89" i="103"/>
  <c r="D90" i="103"/>
  <c r="D91" i="103"/>
  <c r="D92" i="103"/>
  <c r="D93" i="103"/>
  <c r="D94" i="103"/>
  <c r="D95" i="103"/>
  <c r="D96" i="103"/>
  <c r="D97" i="103"/>
  <c r="D57" i="103"/>
  <c r="BK10" i="77"/>
  <c r="BL10" i="77" s="1"/>
  <c r="BM10" i="77" s="1"/>
  <c r="BN10" i="77" s="1"/>
  <c r="BO10" i="77" s="1"/>
  <c r="BP10" i="77" s="1"/>
  <c r="BQ10" i="77" s="1"/>
  <c r="BR10" i="77" s="1"/>
  <c r="BS10" i="77" s="1"/>
  <c r="BT10" i="77" s="1"/>
  <c r="BU10" i="77" s="1"/>
  <c r="BV10" i="77" s="1"/>
  <c r="BW10" i="77" s="1"/>
  <c r="BX10" i="77" s="1"/>
  <c r="BY10" i="77" s="1"/>
  <c r="BZ10" i="77" s="1"/>
  <c r="CA10" i="77" s="1"/>
  <c r="CB10" i="77" s="1"/>
  <c r="CC10" i="77" s="1"/>
  <c r="CD10" i="77" s="1"/>
  <c r="CE10" i="77" s="1"/>
  <c r="CF10" i="77" s="1"/>
  <c r="CG10" i="77" s="1"/>
  <c r="CH10" i="77" s="1"/>
  <c r="CI10" i="77" s="1"/>
  <c r="CJ10" i="77" s="1"/>
  <c r="CK10" i="77" s="1"/>
  <c r="CL10" i="77" s="1"/>
  <c r="CM10" i="77" s="1"/>
  <c r="CN10" i="77" s="1"/>
  <c r="CO10" i="77" s="1"/>
  <c r="AE27" i="106"/>
  <c r="AF27" i="106" s="1"/>
  <c r="AG27" i="106" s="1"/>
  <c r="AH27" i="106" s="1"/>
  <c r="AI27" i="106" s="1"/>
  <c r="AJ27" i="106" s="1"/>
  <c r="AK27" i="106" s="1"/>
  <c r="AL27" i="106" s="1"/>
  <c r="AM27" i="106" s="1"/>
  <c r="AN27" i="106" s="1"/>
  <c r="AO27" i="106" s="1"/>
  <c r="AP27" i="106" s="1"/>
  <c r="AQ27" i="106" s="1"/>
  <c r="AR27" i="106" s="1"/>
  <c r="AS27" i="106" s="1"/>
  <c r="AT27" i="106" s="1"/>
  <c r="AU27" i="106" s="1"/>
  <c r="AV27" i="106" s="1"/>
  <c r="AW27" i="106" s="1"/>
  <c r="AX27" i="106" s="1"/>
  <c r="AY27" i="106" s="1"/>
  <c r="AZ27" i="106" s="1"/>
  <c r="BA27" i="106" s="1"/>
  <c r="BB27" i="106" s="1"/>
  <c r="BC27" i="106" s="1"/>
  <c r="BD27" i="106" s="1"/>
  <c r="BE27" i="106" s="1"/>
  <c r="BF27" i="106" s="1"/>
  <c r="BG27" i="106" s="1"/>
  <c r="BH27" i="106" s="1"/>
  <c r="BI27" i="106" s="1"/>
  <c r="D25" i="107"/>
  <c r="D24" i="107"/>
  <c r="D23" i="107"/>
  <c r="D22" i="107"/>
  <c r="D21" i="107"/>
  <c r="D20" i="107"/>
  <c r="D19" i="107"/>
  <c r="D18" i="107"/>
  <c r="D17" i="107"/>
  <c r="D16" i="107"/>
  <c r="D15" i="107"/>
  <c r="D14" i="107"/>
  <c r="D13" i="107"/>
  <c r="D12" i="107"/>
  <c r="D11" i="107"/>
  <c r="JH10" i="107"/>
  <c r="JF10" i="107"/>
  <c r="HV10" i="107"/>
  <c r="HW10" i="107" s="1"/>
  <c r="HX10" i="107" s="1"/>
  <c r="HY10" i="107" s="1"/>
  <c r="HZ10" i="107" s="1"/>
  <c r="IA10" i="107" s="1"/>
  <c r="IB10" i="107" s="1"/>
  <c r="IC10" i="107" s="1"/>
  <c r="ID10" i="107" s="1"/>
  <c r="IE10" i="107" s="1"/>
  <c r="IF10" i="107" s="1"/>
  <c r="IG10" i="107" s="1"/>
  <c r="IH10" i="107" s="1"/>
  <c r="II10" i="107" s="1"/>
  <c r="IJ10" i="107" s="1"/>
  <c r="IK10" i="107" s="1"/>
  <c r="IL10" i="107" s="1"/>
  <c r="IM10" i="107" s="1"/>
  <c r="IN10" i="107" s="1"/>
  <c r="IO10" i="107" s="1"/>
  <c r="IP10" i="107" s="1"/>
  <c r="IQ10" i="107" s="1"/>
  <c r="IR10" i="107" s="1"/>
  <c r="IS10" i="107" s="1"/>
  <c r="IT10" i="107" s="1"/>
  <c r="IU10" i="107" s="1"/>
  <c r="IV10" i="107" s="1"/>
  <c r="IW10" i="107" s="1"/>
  <c r="IX10" i="107" s="1"/>
  <c r="IY10" i="107" s="1"/>
  <c r="IZ10" i="107" s="1"/>
  <c r="GP10" i="107"/>
  <c r="GQ10" i="107" s="1"/>
  <c r="GR10" i="107" s="1"/>
  <c r="GS10" i="107" s="1"/>
  <c r="GT10" i="107" s="1"/>
  <c r="GU10" i="107" s="1"/>
  <c r="GV10" i="107" s="1"/>
  <c r="GW10" i="107" s="1"/>
  <c r="GX10" i="107" s="1"/>
  <c r="GY10" i="107" s="1"/>
  <c r="GZ10" i="107" s="1"/>
  <c r="HA10" i="107" s="1"/>
  <c r="HB10" i="107" s="1"/>
  <c r="HC10" i="107" s="1"/>
  <c r="HD10" i="107" s="1"/>
  <c r="HE10" i="107" s="1"/>
  <c r="HF10" i="107" s="1"/>
  <c r="HG10" i="107" s="1"/>
  <c r="HH10" i="107" s="1"/>
  <c r="HI10" i="107" s="1"/>
  <c r="HJ10" i="107" s="1"/>
  <c r="HK10" i="107" s="1"/>
  <c r="HL10" i="107" s="1"/>
  <c r="HM10" i="107" s="1"/>
  <c r="HN10" i="107" s="1"/>
  <c r="HO10" i="107" s="1"/>
  <c r="HP10" i="107" s="1"/>
  <c r="HQ10" i="107" s="1"/>
  <c r="HR10" i="107" s="1"/>
  <c r="HS10" i="107" s="1"/>
  <c r="HT10" i="107" s="1"/>
  <c r="FJ10" i="107"/>
  <c r="FK10" i="107" s="1"/>
  <c r="FL10" i="107" s="1"/>
  <c r="FM10" i="107" s="1"/>
  <c r="FN10" i="107" s="1"/>
  <c r="FO10" i="107" s="1"/>
  <c r="FP10" i="107" s="1"/>
  <c r="FQ10" i="107" s="1"/>
  <c r="FR10" i="107" s="1"/>
  <c r="FS10" i="107" s="1"/>
  <c r="FT10" i="107" s="1"/>
  <c r="FU10" i="107" s="1"/>
  <c r="FV10" i="107" s="1"/>
  <c r="FW10" i="107" s="1"/>
  <c r="FX10" i="107" s="1"/>
  <c r="FY10" i="107" s="1"/>
  <c r="FZ10" i="107" s="1"/>
  <c r="GA10" i="107" s="1"/>
  <c r="GB10" i="107" s="1"/>
  <c r="GC10" i="107" s="1"/>
  <c r="GD10" i="107" s="1"/>
  <c r="GE10" i="107" s="1"/>
  <c r="GF10" i="107" s="1"/>
  <c r="GG10" i="107" s="1"/>
  <c r="GH10" i="107" s="1"/>
  <c r="GI10" i="107" s="1"/>
  <c r="GJ10" i="107" s="1"/>
  <c r="GK10" i="107" s="1"/>
  <c r="GL10" i="107" s="1"/>
  <c r="GM10" i="107" s="1"/>
  <c r="GN10" i="107" s="1"/>
  <c r="FH10" i="107"/>
  <c r="FG10" i="107"/>
  <c r="EA10" i="107"/>
  <c r="EB10" i="107" s="1"/>
  <c r="EC10" i="107" s="1"/>
  <c r="ED10" i="107" s="1"/>
  <c r="EE10" i="107" s="1"/>
  <c r="EF10" i="107" s="1"/>
  <c r="EG10" i="107" s="1"/>
  <c r="EH10" i="107" s="1"/>
  <c r="EI10" i="107" s="1"/>
  <c r="EJ10" i="107" s="1"/>
  <c r="EK10" i="107" s="1"/>
  <c r="EL10" i="107" s="1"/>
  <c r="EM10" i="107" s="1"/>
  <c r="EN10" i="107" s="1"/>
  <c r="EO10" i="107" s="1"/>
  <c r="EP10" i="107" s="1"/>
  <c r="EQ10" i="107" s="1"/>
  <c r="ER10" i="107" s="1"/>
  <c r="ES10" i="107" s="1"/>
  <c r="ET10" i="107" s="1"/>
  <c r="EU10" i="107" s="1"/>
  <c r="EV10" i="107" s="1"/>
  <c r="EW10" i="107" s="1"/>
  <c r="EX10" i="107" s="1"/>
  <c r="EY10" i="107" s="1"/>
  <c r="EZ10" i="107" s="1"/>
  <c r="FA10" i="107" s="1"/>
  <c r="FB10" i="107" s="1"/>
  <c r="FC10" i="107" s="1"/>
  <c r="FD10" i="107" s="1"/>
  <c r="FE10" i="107" s="1"/>
  <c r="CU10" i="107"/>
  <c r="CV10" i="107" s="1"/>
  <c r="CW10" i="107" s="1"/>
  <c r="CX10" i="107" s="1"/>
  <c r="CY10" i="107" s="1"/>
  <c r="CZ10" i="107" s="1"/>
  <c r="DA10" i="107" s="1"/>
  <c r="DB10" i="107" s="1"/>
  <c r="DC10" i="107" s="1"/>
  <c r="DD10" i="107" s="1"/>
  <c r="DE10" i="107" s="1"/>
  <c r="DF10" i="107" s="1"/>
  <c r="DG10" i="107" s="1"/>
  <c r="DH10" i="107" s="1"/>
  <c r="DI10" i="107" s="1"/>
  <c r="DJ10" i="107" s="1"/>
  <c r="DK10" i="107" s="1"/>
  <c r="DL10" i="107" s="1"/>
  <c r="DM10" i="107" s="1"/>
  <c r="DN10" i="107" s="1"/>
  <c r="DO10" i="107" s="1"/>
  <c r="DP10" i="107" s="1"/>
  <c r="DQ10" i="107" s="1"/>
  <c r="DR10" i="107" s="1"/>
  <c r="DS10" i="107" s="1"/>
  <c r="DT10" i="107" s="1"/>
  <c r="DU10" i="107" s="1"/>
  <c r="DV10" i="107" s="1"/>
  <c r="DW10" i="107" s="1"/>
  <c r="DX10" i="107" s="1"/>
  <c r="DY10" i="107" s="1"/>
  <c r="BO10" i="107"/>
  <c r="BP10" i="107" s="1"/>
  <c r="BQ10" i="107" s="1"/>
  <c r="BR10" i="107" s="1"/>
  <c r="BS10" i="107" s="1"/>
  <c r="BT10" i="107" s="1"/>
  <c r="BU10" i="107" s="1"/>
  <c r="BV10" i="107" s="1"/>
  <c r="BW10" i="107" s="1"/>
  <c r="BX10" i="107" s="1"/>
  <c r="BY10" i="107" s="1"/>
  <c r="BZ10" i="107" s="1"/>
  <c r="CA10" i="107" s="1"/>
  <c r="CB10" i="107" s="1"/>
  <c r="CC10" i="107" s="1"/>
  <c r="CD10" i="107" s="1"/>
  <c r="CE10" i="107" s="1"/>
  <c r="CF10" i="107" s="1"/>
  <c r="CG10" i="107" s="1"/>
  <c r="CH10" i="107" s="1"/>
  <c r="CI10" i="107" s="1"/>
  <c r="CJ10" i="107" s="1"/>
  <c r="CK10" i="107" s="1"/>
  <c r="CL10" i="107" s="1"/>
  <c r="CM10" i="107" s="1"/>
  <c r="CN10" i="107" s="1"/>
  <c r="CO10" i="107" s="1"/>
  <c r="CP10" i="107" s="1"/>
  <c r="CQ10" i="107" s="1"/>
  <c r="CR10" i="107" s="1"/>
  <c r="CS10" i="107" s="1"/>
  <c r="AI10" i="107"/>
  <c r="AJ10" i="107" s="1"/>
  <c r="AK10" i="107" s="1"/>
  <c r="AL10" i="107" s="1"/>
  <c r="AM10" i="107" s="1"/>
  <c r="AN10" i="107" s="1"/>
  <c r="AO10" i="107" s="1"/>
  <c r="AP10" i="107" s="1"/>
  <c r="AQ10" i="107" s="1"/>
  <c r="AR10" i="107" s="1"/>
  <c r="AS10" i="107" s="1"/>
  <c r="AT10" i="107" s="1"/>
  <c r="AU10" i="107" s="1"/>
  <c r="AV10" i="107" s="1"/>
  <c r="AW10" i="107" s="1"/>
  <c r="AX10" i="107" s="1"/>
  <c r="AY10" i="107" s="1"/>
  <c r="AZ10" i="107" s="1"/>
  <c r="BA10" i="107" s="1"/>
  <c r="BB10" i="107" s="1"/>
  <c r="BC10" i="107" s="1"/>
  <c r="BD10" i="107" s="1"/>
  <c r="BE10" i="107" s="1"/>
  <c r="BF10" i="107" s="1"/>
  <c r="BG10" i="107" s="1"/>
  <c r="BH10" i="107" s="1"/>
  <c r="BI10" i="107" s="1"/>
  <c r="BJ10" i="107" s="1"/>
  <c r="BK10" i="107" s="1"/>
  <c r="BL10" i="107" s="1"/>
  <c r="BM10" i="107" s="1"/>
  <c r="D10" i="107"/>
  <c r="M34" i="44" a="1"/>
  <c r="M34" i="44" l="1"/>
  <c r="D20" i="106"/>
  <c r="D19" i="106"/>
  <c r="D18" i="106"/>
  <c r="D17" i="106"/>
  <c r="D16" i="106"/>
  <c r="D15" i="106"/>
  <c r="D14" i="106"/>
  <c r="D13" i="106"/>
  <c r="D12" i="106"/>
  <c r="D11" i="106"/>
  <c r="PV10" i="106"/>
  <c r="PT10" i="106"/>
  <c r="PQ10" i="106"/>
  <c r="PO10" i="106"/>
  <c r="PM10" i="106"/>
  <c r="NV10" i="106"/>
  <c r="NW10" i="106" s="1"/>
  <c r="NX10" i="106" s="1"/>
  <c r="NY10" i="106" s="1"/>
  <c r="NZ10" i="106" s="1"/>
  <c r="OA10" i="106" s="1"/>
  <c r="OB10" i="106" s="1"/>
  <c r="OC10" i="106" s="1"/>
  <c r="OD10" i="106" s="1"/>
  <c r="OE10" i="106" s="1"/>
  <c r="OF10" i="106" s="1"/>
  <c r="OG10" i="106" s="1"/>
  <c r="OH10" i="106" s="1"/>
  <c r="OI10" i="106" s="1"/>
  <c r="OJ10" i="106" s="1"/>
  <c r="OK10" i="106" s="1"/>
  <c r="OL10" i="106" s="1"/>
  <c r="OM10" i="106" s="1"/>
  <c r="ON10" i="106" s="1"/>
  <c r="OO10" i="106" s="1"/>
  <c r="OP10" i="106" s="1"/>
  <c r="OQ10" i="106" s="1"/>
  <c r="OR10" i="106" s="1"/>
  <c r="OS10" i="106" s="1"/>
  <c r="OT10" i="106" s="1"/>
  <c r="OU10" i="106" s="1"/>
  <c r="OV10" i="106" s="1"/>
  <c r="OW10" i="106" s="1"/>
  <c r="OX10" i="106" s="1"/>
  <c r="OY10" i="106" s="1"/>
  <c r="OZ10" i="106" s="1"/>
  <c r="MP10" i="106"/>
  <c r="MQ10" i="106" s="1"/>
  <c r="MR10" i="106" s="1"/>
  <c r="MS10" i="106" s="1"/>
  <c r="MT10" i="106" s="1"/>
  <c r="MU10" i="106" s="1"/>
  <c r="MV10" i="106" s="1"/>
  <c r="MW10" i="106" s="1"/>
  <c r="MX10" i="106" s="1"/>
  <c r="MY10" i="106" s="1"/>
  <c r="MZ10" i="106" s="1"/>
  <c r="NA10" i="106" s="1"/>
  <c r="NB10" i="106" s="1"/>
  <c r="NC10" i="106" s="1"/>
  <c r="ND10" i="106" s="1"/>
  <c r="NE10" i="106" s="1"/>
  <c r="NF10" i="106" s="1"/>
  <c r="NG10" i="106" s="1"/>
  <c r="NH10" i="106" s="1"/>
  <c r="NI10" i="106" s="1"/>
  <c r="NJ10" i="106" s="1"/>
  <c r="NK10" i="106" s="1"/>
  <c r="NL10" i="106" s="1"/>
  <c r="NM10" i="106" s="1"/>
  <c r="NN10" i="106" s="1"/>
  <c r="NO10" i="106" s="1"/>
  <c r="NP10" i="106" s="1"/>
  <c r="NQ10" i="106" s="1"/>
  <c r="NR10" i="106" s="1"/>
  <c r="NS10" i="106" s="1"/>
  <c r="NT10" i="106" s="1"/>
  <c r="LJ10" i="106"/>
  <c r="LK10" i="106" s="1"/>
  <c r="LL10" i="106" s="1"/>
  <c r="LM10" i="106" s="1"/>
  <c r="LN10" i="106" s="1"/>
  <c r="LO10" i="106" s="1"/>
  <c r="LP10" i="106" s="1"/>
  <c r="LQ10" i="106" s="1"/>
  <c r="LR10" i="106" s="1"/>
  <c r="LS10" i="106" s="1"/>
  <c r="LT10" i="106" s="1"/>
  <c r="LU10" i="106" s="1"/>
  <c r="LV10" i="106" s="1"/>
  <c r="LW10" i="106" s="1"/>
  <c r="LX10" i="106" s="1"/>
  <c r="LY10" i="106" s="1"/>
  <c r="LZ10" i="106" s="1"/>
  <c r="MA10" i="106" s="1"/>
  <c r="MB10" i="106" s="1"/>
  <c r="MC10" i="106" s="1"/>
  <c r="MD10" i="106" s="1"/>
  <c r="ME10" i="106" s="1"/>
  <c r="MF10" i="106" s="1"/>
  <c r="MG10" i="106" s="1"/>
  <c r="MH10" i="106" s="1"/>
  <c r="MI10" i="106" s="1"/>
  <c r="MJ10" i="106" s="1"/>
  <c r="MK10" i="106" s="1"/>
  <c r="ML10" i="106" s="1"/>
  <c r="MM10" i="106" s="1"/>
  <c r="MN10" i="106" s="1"/>
  <c r="KD10" i="106"/>
  <c r="KE10" i="106" s="1"/>
  <c r="KF10" i="106" s="1"/>
  <c r="KG10" i="106" s="1"/>
  <c r="KH10" i="106" s="1"/>
  <c r="KI10" i="106" s="1"/>
  <c r="KJ10" i="106" s="1"/>
  <c r="KK10" i="106" s="1"/>
  <c r="KL10" i="106" s="1"/>
  <c r="KM10" i="106" s="1"/>
  <c r="KN10" i="106" s="1"/>
  <c r="KO10" i="106" s="1"/>
  <c r="KP10" i="106" s="1"/>
  <c r="KQ10" i="106" s="1"/>
  <c r="KR10" i="106" s="1"/>
  <c r="KS10" i="106" s="1"/>
  <c r="KT10" i="106" s="1"/>
  <c r="KU10" i="106" s="1"/>
  <c r="KV10" i="106" s="1"/>
  <c r="KW10" i="106" s="1"/>
  <c r="KX10" i="106" s="1"/>
  <c r="KY10" i="106" s="1"/>
  <c r="KZ10" i="106" s="1"/>
  <c r="LA10" i="106" s="1"/>
  <c r="LB10" i="106" s="1"/>
  <c r="LC10" i="106" s="1"/>
  <c r="LD10" i="106" s="1"/>
  <c r="LE10" i="106" s="1"/>
  <c r="LF10" i="106" s="1"/>
  <c r="LG10" i="106" s="1"/>
  <c r="LH10" i="106" s="1"/>
  <c r="IX10" i="106"/>
  <c r="IY10" i="106" s="1"/>
  <c r="IZ10" i="106" s="1"/>
  <c r="JA10" i="106" s="1"/>
  <c r="JB10" i="106" s="1"/>
  <c r="JC10" i="106" s="1"/>
  <c r="JD10" i="106" s="1"/>
  <c r="JE10" i="106" s="1"/>
  <c r="JF10" i="106" s="1"/>
  <c r="JG10" i="106" s="1"/>
  <c r="JH10" i="106" s="1"/>
  <c r="JI10" i="106" s="1"/>
  <c r="JJ10" i="106" s="1"/>
  <c r="JK10" i="106" s="1"/>
  <c r="JL10" i="106" s="1"/>
  <c r="JM10" i="106" s="1"/>
  <c r="JN10" i="106" s="1"/>
  <c r="JO10" i="106" s="1"/>
  <c r="JP10" i="106" s="1"/>
  <c r="JQ10" i="106" s="1"/>
  <c r="JR10" i="106" s="1"/>
  <c r="JS10" i="106" s="1"/>
  <c r="JT10" i="106" s="1"/>
  <c r="JU10" i="106" s="1"/>
  <c r="JV10" i="106" s="1"/>
  <c r="JW10" i="106" s="1"/>
  <c r="JX10" i="106" s="1"/>
  <c r="JY10" i="106" s="1"/>
  <c r="JZ10" i="106" s="1"/>
  <c r="KA10" i="106" s="1"/>
  <c r="KB10" i="106" s="1"/>
  <c r="HR10" i="106"/>
  <c r="HS10" i="106" s="1"/>
  <c r="HT10" i="106" s="1"/>
  <c r="HU10" i="106" s="1"/>
  <c r="HV10" i="106" s="1"/>
  <c r="HW10" i="106" s="1"/>
  <c r="HX10" i="106" s="1"/>
  <c r="HY10" i="106" s="1"/>
  <c r="HZ10" i="106" s="1"/>
  <c r="IA10" i="106" s="1"/>
  <c r="IB10" i="106" s="1"/>
  <c r="IC10" i="106" s="1"/>
  <c r="ID10" i="106" s="1"/>
  <c r="IE10" i="106" s="1"/>
  <c r="IF10" i="106" s="1"/>
  <c r="IG10" i="106" s="1"/>
  <c r="IH10" i="106" s="1"/>
  <c r="II10" i="106" s="1"/>
  <c r="IJ10" i="106" s="1"/>
  <c r="IK10" i="106" s="1"/>
  <c r="IL10" i="106" s="1"/>
  <c r="IM10" i="106" s="1"/>
  <c r="IN10" i="106" s="1"/>
  <c r="IO10" i="106" s="1"/>
  <c r="IP10" i="106" s="1"/>
  <c r="IQ10" i="106" s="1"/>
  <c r="IR10" i="106" s="1"/>
  <c r="IS10" i="106" s="1"/>
  <c r="IT10" i="106" s="1"/>
  <c r="IU10" i="106" s="1"/>
  <c r="IV10" i="106" s="1"/>
  <c r="HP10" i="106"/>
  <c r="HO10" i="106"/>
  <c r="GI10" i="106"/>
  <c r="GJ10" i="106" s="1"/>
  <c r="GK10" i="106" s="1"/>
  <c r="GL10" i="106" s="1"/>
  <c r="GM10" i="106" s="1"/>
  <c r="GN10" i="106" s="1"/>
  <c r="GO10" i="106" s="1"/>
  <c r="GP10" i="106" s="1"/>
  <c r="GQ10" i="106" s="1"/>
  <c r="GR10" i="106" s="1"/>
  <c r="GS10" i="106" s="1"/>
  <c r="GT10" i="106" s="1"/>
  <c r="GU10" i="106" s="1"/>
  <c r="GV10" i="106" s="1"/>
  <c r="GW10" i="106" s="1"/>
  <c r="GX10" i="106" s="1"/>
  <c r="GY10" i="106" s="1"/>
  <c r="GZ10" i="106" s="1"/>
  <c r="HA10" i="106" s="1"/>
  <c r="HB10" i="106" s="1"/>
  <c r="HC10" i="106" s="1"/>
  <c r="HD10" i="106" s="1"/>
  <c r="HE10" i="106" s="1"/>
  <c r="HF10" i="106" s="1"/>
  <c r="HG10" i="106" s="1"/>
  <c r="HH10" i="106" s="1"/>
  <c r="HI10" i="106" s="1"/>
  <c r="HJ10" i="106" s="1"/>
  <c r="HK10" i="106" s="1"/>
  <c r="HL10" i="106" s="1"/>
  <c r="HM10" i="106" s="1"/>
  <c r="FC10" i="106"/>
  <c r="FD10" i="106" s="1"/>
  <c r="FE10" i="106" s="1"/>
  <c r="FF10" i="106" s="1"/>
  <c r="FG10" i="106" s="1"/>
  <c r="FH10" i="106" s="1"/>
  <c r="FI10" i="106" s="1"/>
  <c r="FJ10" i="106" s="1"/>
  <c r="FK10" i="106" s="1"/>
  <c r="FL10" i="106" s="1"/>
  <c r="FM10" i="106" s="1"/>
  <c r="FN10" i="106" s="1"/>
  <c r="FO10" i="106" s="1"/>
  <c r="FP10" i="106" s="1"/>
  <c r="FQ10" i="106" s="1"/>
  <c r="FR10" i="106" s="1"/>
  <c r="FS10" i="106" s="1"/>
  <c r="FT10" i="106" s="1"/>
  <c r="FU10" i="106" s="1"/>
  <c r="FV10" i="106" s="1"/>
  <c r="FW10" i="106" s="1"/>
  <c r="FX10" i="106" s="1"/>
  <c r="FY10" i="106" s="1"/>
  <c r="FZ10" i="106" s="1"/>
  <c r="GA10" i="106" s="1"/>
  <c r="GB10" i="106" s="1"/>
  <c r="GC10" i="106" s="1"/>
  <c r="GD10" i="106" s="1"/>
  <c r="GE10" i="106" s="1"/>
  <c r="GF10" i="106" s="1"/>
  <c r="GG10" i="106" s="1"/>
  <c r="DW10" i="106"/>
  <c r="DX10" i="106" s="1"/>
  <c r="DY10" i="106" s="1"/>
  <c r="DZ10" i="106" s="1"/>
  <c r="EA10" i="106" s="1"/>
  <c r="EB10" i="106" s="1"/>
  <c r="EC10" i="106" s="1"/>
  <c r="ED10" i="106" s="1"/>
  <c r="EE10" i="106" s="1"/>
  <c r="EF10" i="106" s="1"/>
  <c r="EG10" i="106" s="1"/>
  <c r="EH10" i="106" s="1"/>
  <c r="EI10" i="106" s="1"/>
  <c r="EJ10" i="106" s="1"/>
  <c r="EK10" i="106" s="1"/>
  <c r="EL10" i="106" s="1"/>
  <c r="EM10" i="106" s="1"/>
  <c r="EN10" i="106" s="1"/>
  <c r="EO10" i="106" s="1"/>
  <c r="EP10" i="106" s="1"/>
  <c r="EQ10" i="106" s="1"/>
  <c r="ER10" i="106" s="1"/>
  <c r="ES10" i="106" s="1"/>
  <c r="ET10" i="106" s="1"/>
  <c r="EU10" i="106" s="1"/>
  <c r="EV10" i="106" s="1"/>
  <c r="EW10" i="106" s="1"/>
  <c r="EX10" i="106" s="1"/>
  <c r="EY10" i="106" s="1"/>
  <c r="EZ10" i="106" s="1"/>
  <c r="FA10" i="106" s="1"/>
  <c r="CQ10" i="106"/>
  <c r="CR10" i="106" s="1"/>
  <c r="CS10" i="106" s="1"/>
  <c r="CT10" i="106" s="1"/>
  <c r="CU10" i="106" s="1"/>
  <c r="CV10" i="106" s="1"/>
  <c r="CW10" i="106" s="1"/>
  <c r="CX10" i="106" s="1"/>
  <c r="CY10" i="106" s="1"/>
  <c r="CZ10" i="106" s="1"/>
  <c r="DA10" i="106" s="1"/>
  <c r="DB10" i="106" s="1"/>
  <c r="DC10" i="106" s="1"/>
  <c r="DD10" i="106" s="1"/>
  <c r="DE10" i="106" s="1"/>
  <c r="DF10" i="106" s="1"/>
  <c r="DG10" i="106" s="1"/>
  <c r="DH10" i="106" s="1"/>
  <c r="DI10" i="106" s="1"/>
  <c r="DJ10" i="106" s="1"/>
  <c r="DK10" i="106" s="1"/>
  <c r="DL10" i="106" s="1"/>
  <c r="DM10" i="106" s="1"/>
  <c r="DN10" i="106" s="1"/>
  <c r="DO10" i="106" s="1"/>
  <c r="DP10" i="106" s="1"/>
  <c r="DQ10" i="106" s="1"/>
  <c r="DR10" i="106" s="1"/>
  <c r="DS10" i="106" s="1"/>
  <c r="DT10" i="106" s="1"/>
  <c r="DU10" i="106" s="1"/>
  <c r="AE10" i="106"/>
  <c r="AF10" i="106" s="1"/>
  <c r="AG10" i="106" s="1"/>
  <c r="AH10" i="106" s="1"/>
  <c r="AI10" i="106" s="1"/>
  <c r="AJ10" i="106" s="1"/>
  <c r="AK10" i="106" s="1"/>
  <c r="AL10" i="106" s="1"/>
  <c r="AM10" i="106" s="1"/>
  <c r="AN10" i="106" s="1"/>
  <c r="AO10" i="106" s="1"/>
  <c r="AP10" i="106" s="1"/>
  <c r="AQ10" i="106" s="1"/>
  <c r="AR10" i="106" s="1"/>
  <c r="AS10" i="106" s="1"/>
  <c r="AT10" i="106" s="1"/>
  <c r="AU10" i="106" s="1"/>
  <c r="AV10" i="106" s="1"/>
  <c r="AW10" i="106" s="1"/>
  <c r="AX10" i="106" s="1"/>
  <c r="AY10" i="106" s="1"/>
  <c r="AZ10" i="106" s="1"/>
  <c r="BA10" i="106" s="1"/>
  <c r="BB10" i="106" s="1"/>
  <c r="BC10" i="106" s="1"/>
  <c r="BD10" i="106" s="1"/>
  <c r="BE10" i="106" s="1"/>
  <c r="BF10" i="106" s="1"/>
  <c r="BG10" i="106" s="1"/>
  <c r="BH10" i="106" s="1"/>
  <c r="BI10" i="106" s="1"/>
  <c r="D10" i="106"/>
  <c r="JH10" i="76"/>
  <c r="JF10" i="76"/>
  <c r="H114" i="50" l="1"/>
  <c r="IY10" i="79"/>
  <c r="IW10" i="79"/>
  <c r="IU10" i="79"/>
  <c r="IP10" i="94"/>
  <c r="IT10" i="94"/>
  <c r="C106" i="103" l="1"/>
  <c r="K54" i="103"/>
  <c r="G54" i="103"/>
  <c r="D54" i="103"/>
  <c r="E31" i="101"/>
  <c r="E30" i="101"/>
  <c r="E29" i="101"/>
  <c r="E28" i="101"/>
  <c r="E27" i="101"/>
  <c r="E26" i="101"/>
  <c r="E25" i="101"/>
  <c r="E24" i="101"/>
  <c r="E23" i="101"/>
  <c r="E22" i="101"/>
  <c r="E21" i="101"/>
  <c r="E20" i="101"/>
  <c r="E19" i="101"/>
  <c r="E18" i="101"/>
  <c r="E17" i="101"/>
  <c r="E16" i="101"/>
  <c r="E15" i="101"/>
  <c r="E14" i="101"/>
  <c r="E13" i="101"/>
  <c r="E12" i="101"/>
  <c r="E11" i="101"/>
  <c r="E10" i="101"/>
  <c r="E9" i="101"/>
  <c r="E8" i="101"/>
  <c r="E7" i="101"/>
  <c r="F18" i="50" l="1"/>
  <c r="F17" i="50"/>
  <c r="F16" i="50"/>
  <c r="F15" i="50"/>
  <c r="F14" i="50"/>
  <c r="F13" i="50"/>
  <c r="F12" i="50"/>
  <c r="F7" i="50"/>
  <c r="D12" i="77"/>
  <c r="D13" i="77"/>
  <c r="D14" i="77"/>
  <c r="D15" i="77"/>
  <c r="D16" i="77"/>
  <c r="D17" i="77"/>
  <c r="D18" i="77"/>
  <c r="D19" i="77"/>
  <c r="D20" i="77"/>
  <c r="D21" i="77"/>
  <c r="D22" i="77"/>
  <c r="D23" i="77"/>
  <c r="D24" i="77"/>
  <c r="D25" i="77"/>
  <c r="D26" i="77"/>
  <c r="D27" i="77"/>
  <c r="D28" i="77"/>
  <c r="D29" i="77"/>
  <c r="D30" i="77"/>
  <c r="D31" i="77"/>
  <c r="D32" i="77"/>
  <c r="D33" i="77"/>
  <c r="D34" i="77"/>
  <c r="D35" i="77"/>
  <c r="D36" i="77"/>
  <c r="D37" i="77"/>
  <c r="D38" i="77"/>
  <c r="D11" i="77"/>
  <c r="F10" i="100" l="1"/>
  <c r="J10" i="100"/>
  <c r="K10" i="100" s="1"/>
  <c r="L10" i="100" s="1"/>
  <c r="M10" i="100" s="1"/>
  <c r="N10" i="100" s="1"/>
  <c r="O10" i="100" s="1"/>
  <c r="P10" i="100" s="1"/>
  <c r="Q10" i="100" s="1"/>
  <c r="R10" i="100" s="1"/>
  <c r="S10" i="100" s="1"/>
  <c r="T10" i="100" s="1"/>
  <c r="U10" i="100" s="1"/>
  <c r="V10" i="100" s="1"/>
  <c r="W10" i="100" s="1"/>
  <c r="X10" i="100" s="1"/>
  <c r="Y10" i="100" s="1"/>
  <c r="Z10" i="100" s="1"/>
  <c r="AA10" i="100" s="1"/>
  <c r="AB10" i="100" s="1"/>
  <c r="AC10" i="100" s="1"/>
  <c r="AD10" i="100" s="1"/>
  <c r="AE10" i="100" s="1"/>
  <c r="AF10" i="100" s="1"/>
  <c r="AG10" i="100" s="1"/>
  <c r="AH10" i="100" s="1"/>
  <c r="AI10" i="100" s="1"/>
  <c r="AJ10" i="100" s="1"/>
  <c r="AK10" i="100" s="1"/>
  <c r="AL10" i="100" s="1"/>
  <c r="AM10" i="100" s="1"/>
  <c r="AN10" i="100" s="1"/>
  <c r="F11" i="100"/>
  <c r="F12" i="100"/>
  <c r="F13" i="100"/>
  <c r="F14" i="100"/>
  <c r="F15" i="100"/>
  <c r="J22" i="100"/>
  <c r="K22" i="100" s="1"/>
  <c r="L22" i="100" s="1"/>
  <c r="M22" i="100" s="1"/>
  <c r="N22" i="100" s="1"/>
  <c r="O22" i="100" s="1"/>
  <c r="P22" i="100" s="1"/>
  <c r="Q22" i="100" s="1"/>
  <c r="R22" i="100" s="1"/>
  <c r="S22" i="100" s="1"/>
  <c r="T22" i="100" s="1"/>
  <c r="U22" i="100" s="1"/>
  <c r="V22" i="100" s="1"/>
  <c r="W22" i="100" s="1"/>
  <c r="X22" i="100" s="1"/>
  <c r="Y22" i="100" s="1"/>
  <c r="Z22" i="100" s="1"/>
  <c r="AA22" i="100" s="1"/>
  <c r="AB22" i="100" s="1"/>
  <c r="AC22" i="100" s="1"/>
  <c r="AD22" i="100" s="1"/>
  <c r="AE22" i="100" s="1"/>
  <c r="AF22" i="100" s="1"/>
  <c r="AG22" i="100" s="1"/>
  <c r="AH22" i="100" s="1"/>
  <c r="AI22" i="100" s="1"/>
  <c r="AJ22" i="100" s="1"/>
  <c r="AK22" i="100" s="1"/>
  <c r="AL22" i="100" s="1"/>
  <c r="AM22" i="100" s="1"/>
  <c r="AN22" i="100" s="1"/>
  <c r="J34" i="100"/>
  <c r="K34" i="100" s="1"/>
  <c r="L34" i="100" s="1"/>
  <c r="M34" i="100" s="1"/>
  <c r="N34" i="100" s="1"/>
  <c r="O34" i="100" s="1"/>
  <c r="P34" i="100" s="1"/>
  <c r="Q34" i="100" s="1"/>
  <c r="R34" i="100" s="1"/>
  <c r="S34" i="100" s="1"/>
  <c r="T34" i="100" s="1"/>
  <c r="U34" i="100" s="1"/>
  <c r="V34" i="100" s="1"/>
  <c r="W34" i="100" s="1"/>
  <c r="X34" i="100" s="1"/>
  <c r="Y34" i="100" s="1"/>
  <c r="Z34" i="100" s="1"/>
  <c r="AA34" i="100" s="1"/>
  <c r="AB34" i="100" s="1"/>
  <c r="AC34" i="100" s="1"/>
  <c r="AD34" i="100" s="1"/>
  <c r="AE34" i="100" s="1"/>
  <c r="AF34" i="100" s="1"/>
  <c r="AG34" i="100" s="1"/>
  <c r="AH34" i="100" s="1"/>
  <c r="AI34" i="100" s="1"/>
  <c r="AJ34" i="100" s="1"/>
  <c r="AK34" i="100" s="1"/>
  <c r="AL34" i="100" s="1"/>
  <c r="AM34" i="100" s="1"/>
  <c r="AN34" i="100" s="1"/>
  <c r="J63" i="100"/>
  <c r="K63" i="100" s="1"/>
  <c r="L63" i="100" s="1"/>
  <c r="M63" i="100" s="1"/>
  <c r="N63" i="100" s="1"/>
  <c r="O63" i="100" s="1"/>
  <c r="P63" i="100" s="1"/>
  <c r="Q63" i="100" s="1"/>
  <c r="R63" i="100" s="1"/>
  <c r="S63" i="100" s="1"/>
  <c r="T63" i="100" s="1"/>
  <c r="U63" i="100" s="1"/>
  <c r="V63" i="100" s="1"/>
  <c r="W63" i="100" s="1"/>
  <c r="X63" i="100" s="1"/>
  <c r="Y63" i="100" s="1"/>
  <c r="Z63" i="100" s="1"/>
  <c r="AA63" i="100" s="1"/>
  <c r="AB63" i="100" s="1"/>
  <c r="AC63" i="100" s="1"/>
  <c r="AD63" i="100" s="1"/>
  <c r="AE63" i="100" s="1"/>
  <c r="AF63" i="100" s="1"/>
  <c r="AG63" i="100" s="1"/>
  <c r="AH63" i="100" s="1"/>
  <c r="AI63" i="100" s="1"/>
  <c r="AJ63" i="100" s="1"/>
  <c r="AK63" i="100" s="1"/>
  <c r="AL63" i="100" s="1"/>
  <c r="AM63" i="100" s="1"/>
  <c r="AN63" i="100" s="1"/>
  <c r="AP63" i="100"/>
  <c r="AQ63" i="100" s="1"/>
  <c r="AR63" i="100" s="1"/>
  <c r="AS63" i="100" s="1"/>
  <c r="AT63" i="100" s="1"/>
  <c r="AU63" i="100" s="1"/>
  <c r="AV63" i="100" s="1"/>
  <c r="AW63" i="100" s="1"/>
  <c r="AX63" i="100" s="1"/>
  <c r="AY63" i="100" s="1"/>
  <c r="AZ63" i="100" s="1"/>
  <c r="BA63" i="100" s="1"/>
  <c r="BB63" i="100" s="1"/>
  <c r="BC63" i="100" s="1"/>
  <c r="BD63" i="100" s="1"/>
  <c r="BE63" i="100" s="1"/>
  <c r="BF63" i="100" s="1"/>
  <c r="BG63" i="100" s="1"/>
  <c r="BH63" i="100" s="1"/>
  <c r="BI63" i="100" s="1"/>
  <c r="BJ63" i="100" s="1"/>
  <c r="BK63" i="100" s="1"/>
  <c r="BL63" i="100" s="1"/>
  <c r="BM63" i="100" s="1"/>
  <c r="BN63" i="100" s="1"/>
  <c r="BO63" i="100" s="1"/>
  <c r="BP63" i="100" s="1"/>
  <c r="BQ63" i="100" s="1"/>
  <c r="BR63" i="100" s="1"/>
  <c r="BS63" i="100" s="1"/>
  <c r="BT63" i="100" s="1"/>
  <c r="D12" i="49"/>
  <c r="D13" i="49"/>
  <c r="D14" i="49"/>
  <c r="D15" i="49"/>
  <c r="D16" i="49"/>
  <c r="D17" i="49"/>
  <c r="D18" i="49"/>
  <c r="D19" i="49"/>
  <c r="D20" i="49"/>
  <c r="D21" i="49"/>
  <c r="D22" i="49"/>
  <c r="D23" i="49"/>
  <c r="D24" i="49"/>
  <c r="D25" i="49"/>
  <c r="D26" i="49"/>
  <c r="D27" i="49"/>
  <c r="D28" i="49"/>
  <c r="D29" i="49"/>
  <c r="D30" i="49"/>
  <c r="D31" i="49"/>
  <c r="D32" i="49"/>
  <c r="D33" i="49"/>
  <c r="D34" i="49"/>
  <c r="D35" i="49"/>
  <c r="D36" i="49"/>
  <c r="D37" i="49"/>
  <c r="D38" i="49"/>
  <c r="D39" i="49"/>
  <c r="D40" i="49"/>
  <c r="D41" i="49"/>
  <c r="D42" i="49"/>
  <c r="D43" i="49"/>
  <c r="D44" i="49"/>
  <c r="D45" i="49"/>
  <c r="D46" i="49"/>
  <c r="D47" i="49"/>
  <c r="D48" i="49"/>
  <c r="D49" i="49"/>
  <c r="D50" i="49"/>
  <c r="D51" i="49"/>
  <c r="D52" i="49"/>
  <c r="D53" i="49"/>
  <c r="D54" i="49"/>
  <c r="D55" i="49"/>
  <c r="D56" i="49"/>
  <c r="D57" i="49"/>
  <c r="D58" i="49"/>
  <c r="D59" i="49"/>
  <c r="D60" i="49"/>
  <c r="BG9" i="70"/>
  <c r="BG10" i="70"/>
  <c r="BG11" i="70"/>
  <c r="BG12" i="70"/>
  <c r="BG13" i="70"/>
  <c r="BG14" i="70"/>
  <c r="BG15" i="70"/>
  <c r="BG16" i="70"/>
  <c r="BG17" i="70"/>
  <c r="BG18" i="70"/>
  <c r="BG19" i="70"/>
  <c r="BG20" i="70"/>
  <c r="BG21" i="70"/>
  <c r="BG22" i="70"/>
  <c r="BG23" i="70"/>
  <c r="BG24" i="70"/>
  <c r="BG25" i="70"/>
  <c r="BG26" i="70"/>
  <c r="BG27" i="70"/>
  <c r="BG28" i="70"/>
  <c r="BG29" i="70"/>
  <c r="BG30" i="70"/>
  <c r="BG31" i="70"/>
  <c r="BG32" i="70"/>
  <c r="BG33" i="70"/>
  <c r="BG34" i="70"/>
  <c r="BG35" i="70"/>
  <c r="BG36" i="70"/>
  <c r="BG37" i="70"/>
  <c r="BG38" i="70"/>
  <c r="BG39" i="70"/>
  <c r="BG40" i="70"/>
  <c r="BG41" i="70"/>
  <c r="BG42" i="70"/>
  <c r="BG43" i="70"/>
  <c r="BG44" i="70"/>
  <c r="BF9" i="70"/>
  <c r="BF10" i="70"/>
  <c r="BF11" i="70"/>
  <c r="BF12" i="70"/>
  <c r="BF13" i="70"/>
  <c r="BF14" i="70"/>
  <c r="BF15" i="70"/>
  <c r="BF16" i="70"/>
  <c r="BF17" i="70"/>
  <c r="BF18" i="70"/>
  <c r="BF19" i="70"/>
  <c r="BF20" i="70"/>
  <c r="BF21" i="70"/>
  <c r="BF22" i="70"/>
  <c r="BF23" i="70"/>
  <c r="BF24" i="70"/>
  <c r="BF25" i="70"/>
  <c r="BF26" i="70"/>
  <c r="BF27" i="70"/>
  <c r="BF28" i="70"/>
  <c r="BF29" i="70"/>
  <c r="BF30" i="70"/>
  <c r="BF31" i="70"/>
  <c r="BF32" i="70"/>
  <c r="BF33" i="70"/>
  <c r="BF34" i="70"/>
  <c r="BF35" i="70"/>
  <c r="BF36" i="70"/>
  <c r="BF37" i="70"/>
  <c r="BF38" i="70"/>
  <c r="BF39" i="70"/>
  <c r="BF40" i="70"/>
  <c r="BF41" i="70"/>
  <c r="BF42" i="70"/>
  <c r="BF43" i="70"/>
  <c r="BF44" i="70"/>
  <c r="AG9" i="70"/>
  <c r="AH9" i="70"/>
  <c r="AI9" i="70"/>
  <c r="AJ9" i="70"/>
  <c r="AK9" i="70"/>
  <c r="AL9" i="70"/>
  <c r="AM9" i="70"/>
  <c r="AN9" i="70"/>
  <c r="AO9" i="70"/>
  <c r="AP9" i="70"/>
  <c r="AQ9" i="70"/>
  <c r="AR9" i="70"/>
  <c r="AS9" i="70"/>
  <c r="AT9" i="70"/>
  <c r="AU9" i="70"/>
  <c r="AV9" i="70"/>
  <c r="AW9" i="70"/>
  <c r="AX9" i="70"/>
  <c r="AY9" i="70"/>
  <c r="AZ9" i="70"/>
  <c r="BA9" i="70"/>
  <c r="BB9" i="70"/>
  <c r="BC9" i="70"/>
  <c r="BD9" i="70"/>
  <c r="AG10" i="70"/>
  <c r="AH10" i="70"/>
  <c r="AI10" i="70"/>
  <c r="AJ10" i="70"/>
  <c r="AK10" i="70"/>
  <c r="AL10" i="70"/>
  <c r="AM10" i="70"/>
  <c r="AN10" i="70"/>
  <c r="AO10" i="70"/>
  <c r="AP10" i="70"/>
  <c r="AQ10" i="70"/>
  <c r="AR10" i="70"/>
  <c r="AS10" i="70"/>
  <c r="AT10" i="70"/>
  <c r="AU10" i="70"/>
  <c r="AV10" i="70"/>
  <c r="AW10" i="70"/>
  <c r="AX10" i="70"/>
  <c r="AY10" i="70"/>
  <c r="AZ10" i="70"/>
  <c r="BA10" i="70"/>
  <c r="BB10" i="70"/>
  <c r="BC10" i="70"/>
  <c r="BD10" i="70"/>
  <c r="AG11" i="70"/>
  <c r="AH11" i="70"/>
  <c r="AI11" i="70"/>
  <c r="AJ11" i="70"/>
  <c r="AK11" i="70"/>
  <c r="AL11" i="70"/>
  <c r="AM11" i="70"/>
  <c r="AN11" i="70"/>
  <c r="AO11" i="70"/>
  <c r="AP11" i="70"/>
  <c r="AQ11" i="70"/>
  <c r="AR11" i="70"/>
  <c r="AS11" i="70"/>
  <c r="AT11" i="70"/>
  <c r="AU11" i="70"/>
  <c r="AV11" i="70"/>
  <c r="AW11" i="70"/>
  <c r="AX11" i="70"/>
  <c r="AY11" i="70"/>
  <c r="AZ11" i="70"/>
  <c r="BA11" i="70"/>
  <c r="BB11" i="70"/>
  <c r="BC11" i="70"/>
  <c r="BD11" i="70"/>
  <c r="AG12" i="70"/>
  <c r="AH12" i="70"/>
  <c r="AI12" i="70"/>
  <c r="AJ12" i="70"/>
  <c r="AK12" i="70"/>
  <c r="AL12" i="70"/>
  <c r="AM12" i="70"/>
  <c r="AN12" i="70"/>
  <c r="AO12" i="70"/>
  <c r="AP12" i="70"/>
  <c r="AQ12" i="70"/>
  <c r="AR12" i="70"/>
  <c r="AS12" i="70"/>
  <c r="AT12" i="70"/>
  <c r="AU12" i="70"/>
  <c r="AV12" i="70"/>
  <c r="AW12" i="70"/>
  <c r="AX12" i="70"/>
  <c r="AY12" i="70"/>
  <c r="AZ12" i="70"/>
  <c r="BA12" i="70"/>
  <c r="BB12" i="70"/>
  <c r="BC12" i="70"/>
  <c r="BD12" i="70"/>
  <c r="AG13" i="70"/>
  <c r="AH13" i="70"/>
  <c r="AI13" i="70"/>
  <c r="AJ13" i="70"/>
  <c r="AK13" i="70"/>
  <c r="AL13" i="70"/>
  <c r="AM13" i="70"/>
  <c r="AN13" i="70"/>
  <c r="AO13" i="70"/>
  <c r="AP13" i="70"/>
  <c r="AQ13" i="70"/>
  <c r="AR13" i="70"/>
  <c r="AS13" i="70"/>
  <c r="AT13" i="70"/>
  <c r="AU13" i="70"/>
  <c r="AV13" i="70"/>
  <c r="AW13" i="70"/>
  <c r="AX13" i="70"/>
  <c r="AY13" i="70"/>
  <c r="AZ13" i="70"/>
  <c r="BA13" i="70"/>
  <c r="BB13" i="70"/>
  <c r="BC13" i="70"/>
  <c r="BD13" i="70"/>
  <c r="AG14" i="70"/>
  <c r="AH14" i="70"/>
  <c r="AI14" i="70"/>
  <c r="AJ14" i="70"/>
  <c r="AK14" i="70"/>
  <c r="AL14" i="70"/>
  <c r="AM14" i="70"/>
  <c r="AN14" i="70"/>
  <c r="AO14" i="70"/>
  <c r="AP14" i="70"/>
  <c r="AQ14" i="70"/>
  <c r="AR14" i="70"/>
  <c r="AS14" i="70"/>
  <c r="AT14" i="70"/>
  <c r="AU14" i="70"/>
  <c r="AV14" i="70"/>
  <c r="AW14" i="70"/>
  <c r="AX14" i="70"/>
  <c r="AY14" i="70"/>
  <c r="AZ14" i="70"/>
  <c r="BA14" i="70"/>
  <c r="BB14" i="70"/>
  <c r="BC14" i="70"/>
  <c r="BD14" i="70"/>
  <c r="AG15" i="70"/>
  <c r="AH15" i="70"/>
  <c r="AI15" i="70"/>
  <c r="AJ15" i="70"/>
  <c r="AK15" i="70"/>
  <c r="AL15" i="70"/>
  <c r="AM15" i="70"/>
  <c r="AN15" i="70"/>
  <c r="AO15" i="70"/>
  <c r="AP15" i="70"/>
  <c r="AQ15" i="70"/>
  <c r="AR15" i="70"/>
  <c r="AS15" i="70"/>
  <c r="AT15" i="70"/>
  <c r="AU15" i="70"/>
  <c r="AV15" i="70"/>
  <c r="AW15" i="70"/>
  <c r="AX15" i="70"/>
  <c r="AY15" i="70"/>
  <c r="AZ15" i="70"/>
  <c r="BA15" i="70"/>
  <c r="BB15" i="70"/>
  <c r="BC15" i="70"/>
  <c r="BD15" i="70"/>
  <c r="AG16" i="70"/>
  <c r="AH16" i="70"/>
  <c r="AI16" i="70"/>
  <c r="AJ16" i="70"/>
  <c r="AK16" i="70"/>
  <c r="AL16" i="70"/>
  <c r="AM16" i="70"/>
  <c r="AN16" i="70"/>
  <c r="AO16" i="70"/>
  <c r="AP16" i="70"/>
  <c r="AQ16" i="70"/>
  <c r="AR16" i="70"/>
  <c r="AS16" i="70"/>
  <c r="AT16" i="70"/>
  <c r="AU16" i="70"/>
  <c r="AV16" i="70"/>
  <c r="AW16" i="70"/>
  <c r="AX16" i="70"/>
  <c r="AY16" i="70"/>
  <c r="AZ16" i="70"/>
  <c r="BA16" i="70"/>
  <c r="BB16" i="70"/>
  <c r="BC16" i="70"/>
  <c r="BD16" i="70"/>
  <c r="AG17" i="70"/>
  <c r="AH17" i="70"/>
  <c r="AI17" i="70"/>
  <c r="AJ17" i="70"/>
  <c r="AK17" i="70"/>
  <c r="AL17" i="70"/>
  <c r="AM17" i="70"/>
  <c r="AN17" i="70"/>
  <c r="AO17" i="70"/>
  <c r="AP17" i="70"/>
  <c r="AQ17" i="70"/>
  <c r="AR17" i="70"/>
  <c r="AS17" i="70"/>
  <c r="AT17" i="70"/>
  <c r="AU17" i="70"/>
  <c r="AV17" i="70"/>
  <c r="AW17" i="70"/>
  <c r="AX17" i="70"/>
  <c r="AY17" i="70"/>
  <c r="AZ17" i="70"/>
  <c r="BA17" i="70"/>
  <c r="BB17" i="70"/>
  <c r="BC17" i="70"/>
  <c r="BD17" i="70"/>
  <c r="AG18" i="70"/>
  <c r="AH18" i="70"/>
  <c r="AI18" i="70"/>
  <c r="AJ18" i="70"/>
  <c r="AK18" i="70"/>
  <c r="AL18" i="70"/>
  <c r="AM18" i="70"/>
  <c r="AN18" i="70"/>
  <c r="AO18" i="70"/>
  <c r="AP18" i="70"/>
  <c r="AQ18" i="70"/>
  <c r="AR18" i="70"/>
  <c r="AS18" i="70"/>
  <c r="AT18" i="70"/>
  <c r="AU18" i="70"/>
  <c r="AV18" i="70"/>
  <c r="AW18" i="70"/>
  <c r="AX18" i="70"/>
  <c r="AY18" i="70"/>
  <c r="AZ18" i="70"/>
  <c r="BA18" i="70"/>
  <c r="BB18" i="70"/>
  <c r="BC18" i="70"/>
  <c r="BD18" i="70"/>
  <c r="AG19" i="70"/>
  <c r="AH19" i="70"/>
  <c r="AI19" i="70"/>
  <c r="AJ19" i="70"/>
  <c r="AK19" i="70"/>
  <c r="AL19" i="70"/>
  <c r="AM19" i="70"/>
  <c r="AN19" i="70"/>
  <c r="AO19" i="70"/>
  <c r="AP19" i="70"/>
  <c r="AQ19" i="70"/>
  <c r="AR19" i="70"/>
  <c r="AS19" i="70"/>
  <c r="AT19" i="70"/>
  <c r="AU19" i="70"/>
  <c r="AV19" i="70"/>
  <c r="AW19" i="70"/>
  <c r="AX19" i="70"/>
  <c r="AY19" i="70"/>
  <c r="AZ19" i="70"/>
  <c r="BA19" i="70"/>
  <c r="BB19" i="70"/>
  <c r="BC19" i="70"/>
  <c r="BD19" i="70"/>
  <c r="AG20" i="70"/>
  <c r="AH20" i="70"/>
  <c r="AI20" i="70"/>
  <c r="AJ20" i="70"/>
  <c r="AK20" i="70"/>
  <c r="AL20" i="70"/>
  <c r="AM20" i="70"/>
  <c r="AN20" i="70"/>
  <c r="AO20" i="70"/>
  <c r="AP20" i="70"/>
  <c r="AQ20" i="70"/>
  <c r="AR20" i="70"/>
  <c r="AS20" i="70"/>
  <c r="AT20" i="70"/>
  <c r="AU20" i="70"/>
  <c r="AV20" i="70"/>
  <c r="AW20" i="70"/>
  <c r="AX20" i="70"/>
  <c r="AY20" i="70"/>
  <c r="AZ20" i="70"/>
  <c r="BA20" i="70"/>
  <c r="BB20" i="70"/>
  <c r="BC20" i="70"/>
  <c r="BD20" i="70"/>
  <c r="AG21" i="70"/>
  <c r="AH21" i="70"/>
  <c r="AI21" i="70"/>
  <c r="AJ21" i="70"/>
  <c r="AK21" i="70"/>
  <c r="AL21" i="70"/>
  <c r="AM21" i="70"/>
  <c r="AN21" i="70"/>
  <c r="AO21" i="70"/>
  <c r="AP21" i="70"/>
  <c r="AQ21" i="70"/>
  <c r="AR21" i="70"/>
  <c r="AS21" i="70"/>
  <c r="AT21" i="70"/>
  <c r="AU21" i="70"/>
  <c r="AV21" i="70"/>
  <c r="AW21" i="70"/>
  <c r="AX21" i="70"/>
  <c r="AY21" i="70"/>
  <c r="AZ21" i="70"/>
  <c r="BA21" i="70"/>
  <c r="BB21" i="70"/>
  <c r="BC21" i="70"/>
  <c r="BD21" i="70"/>
  <c r="AG22" i="70"/>
  <c r="AH22" i="70"/>
  <c r="AI22" i="70"/>
  <c r="AJ22" i="70"/>
  <c r="AK22" i="70"/>
  <c r="AL22" i="70"/>
  <c r="AM22" i="70"/>
  <c r="AN22" i="70"/>
  <c r="AO22" i="70"/>
  <c r="AP22" i="70"/>
  <c r="AQ22" i="70"/>
  <c r="AR22" i="70"/>
  <c r="AS22" i="70"/>
  <c r="AT22" i="70"/>
  <c r="AU22" i="70"/>
  <c r="AV22" i="70"/>
  <c r="AW22" i="70"/>
  <c r="AX22" i="70"/>
  <c r="AY22" i="70"/>
  <c r="AZ22" i="70"/>
  <c r="BA22" i="70"/>
  <c r="BB22" i="70"/>
  <c r="BC22" i="70"/>
  <c r="BD22" i="70"/>
  <c r="AG23" i="70"/>
  <c r="AH23" i="70"/>
  <c r="AI23" i="70"/>
  <c r="AJ23" i="70"/>
  <c r="AK23" i="70"/>
  <c r="AL23" i="70"/>
  <c r="AM23" i="70"/>
  <c r="AN23" i="70"/>
  <c r="AO23" i="70"/>
  <c r="AP23" i="70"/>
  <c r="AQ23" i="70"/>
  <c r="AR23" i="70"/>
  <c r="AS23" i="70"/>
  <c r="AT23" i="70"/>
  <c r="AU23" i="70"/>
  <c r="AV23" i="70"/>
  <c r="AW23" i="70"/>
  <c r="AX23" i="70"/>
  <c r="AY23" i="70"/>
  <c r="AZ23" i="70"/>
  <c r="BA23" i="70"/>
  <c r="BB23" i="70"/>
  <c r="BC23" i="70"/>
  <c r="BD23" i="70"/>
  <c r="AG24" i="70"/>
  <c r="AH24" i="70"/>
  <c r="AI24" i="70"/>
  <c r="AJ24" i="70"/>
  <c r="AK24" i="70"/>
  <c r="AL24" i="70"/>
  <c r="AM24" i="70"/>
  <c r="AN24" i="70"/>
  <c r="AO24" i="70"/>
  <c r="AP24" i="70"/>
  <c r="AQ24" i="70"/>
  <c r="AR24" i="70"/>
  <c r="AS24" i="70"/>
  <c r="AT24" i="70"/>
  <c r="AU24" i="70"/>
  <c r="AV24" i="70"/>
  <c r="AW24" i="70"/>
  <c r="AX24" i="70"/>
  <c r="AY24" i="70"/>
  <c r="AZ24" i="70"/>
  <c r="BA24" i="70"/>
  <c r="BB24" i="70"/>
  <c r="BC24" i="70"/>
  <c r="BD24" i="70"/>
  <c r="AG25" i="70"/>
  <c r="AH25" i="70"/>
  <c r="AI25" i="70"/>
  <c r="AJ25" i="70"/>
  <c r="AK25" i="70"/>
  <c r="AL25" i="70"/>
  <c r="AM25" i="70"/>
  <c r="AN25" i="70"/>
  <c r="AO25" i="70"/>
  <c r="AP25" i="70"/>
  <c r="AQ25" i="70"/>
  <c r="AR25" i="70"/>
  <c r="AS25" i="70"/>
  <c r="AT25" i="70"/>
  <c r="AU25" i="70"/>
  <c r="AV25" i="70"/>
  <c r="AW25" i="70"/>
  <c r="AX25" i="70"/>
  <c r="AY25" i="70"/>
  <c r="AZ25" i="70"/>
  <c r="BA25" i="70"/>
  <c r="BB25" i="70"/>
  <c r="BC25" i="70"/>
  <c r="BD25" i="70"/>
  <c r="AG26" i="70"/>
  <c r="AH26" i="70"/>
  <c r="AI26" i="70"/>
  <c r="AJ26" i="70"/>
  <c r="AK26" i="70"/>
  <c r="AL26" i="70"/>
  <c r="AM26" i="70"/>
  <c r="AN26" i="70"/>
  <c r="AO26" i="70"/>
  <c r="AP26" i="70"/>
  <c r="AQ26" i="70"/>
  <c r="AR26" i="70"/>
  <c r="AS26" i="70"/>
  <c r="AT26" i="70"/>
  <c r="AU26" i="70"/>
  <c r="AV26" i="70"/>
  <c r="AW26" i="70"/>
  <c r="AX26" i="70"/>
  <c r="AY26" i="70"/>
  <c r="AZ26" i="70"/>
  <c r="BA26" i="70"/>
  <c r="BB26" i="70"/>
  <c r="BC26" i="70"/>
  <c r="BD26" i="70"/>
  <c r="AG27" i="70"/>
  <c r="AH27" i="70"/>
  <c r="AI27" i="70"/>
  <c r="AJ27" i="70"/>
  <c r="AK27" i="70"/>
  <c r="AL27" i="70"/>
  <c r="AM27" i="70"/>
  <c r="AN27" i="70"/>
  <c r="AO27" i="70"/>
  <c r="AP27" i="70"/>
  <c r="AQ27" i="70"/>
  <c r="AR27" i="70"/>
  <c r="AS27" i="70"/>
  <c r="AT27" i="70"/>
  <c r="AU27" i="70"/>
  <c r="AV27" i="70"/>
  <c r="AW27" i="70"/>
  <c r="AX27" i="70"/>
  <c r="AY27" i="70"/>
  <c r="AZ27" i="70"/>
  <c r="BA27" i="70"/>
  <c r="BB27" i="70"/>
  <c r="BC27" i="70"/>
  <c r="BD27" i="70"/>
  <c r="AG28" i="70"/>
  <c r="AH28" i="70"/>
  <c r="AI28" i="70"/>
  <c r="AJ28" i="70"/>
  <c r="AK28" i="70"/>
  <c r="AL28" i="70"/>
  <c r="AM28" i="70"/>
  <c r="AN28" i="70"/>
  <c r="AO28" i="70"/>
  <c r="AP28" i="70"/>
  <c r="AQ28" i="70"/>
  <c r="AR28" i="70"/>
  <c r="AS28" i="70"/>
  <c r="AT28" i="70"/>
  <c r="AU28" i="70"/>
  <c r="AV28" i="70"/>
  <c r="AW28" i="70"/>
  <c r="AX28" i="70"/>
  <c r="AY28" i="70"/>
  <c r="AZ28" i="70"/>
  <c r="BA28" i="70"/>
  <c r="BB28" i="70"/>
  <c r="BC28" i="70"/>
  <c r="BD28" i="70"/>
  <c r="AG29" i="70"/>
  <c r="AH29" i="70"/>
  <c r="AI29" i="70"/>
  <c r="AJ29" i="70"/>
  <c r="AK29" i="70"/>
  <c r="AL29" i="70"/>
  <c r="AM29" i="70"/>
  <c r="AN29" i="70"/>
  <c r="AO29" i="70"/>
  <c r="AP29" i="70"/>
  <c r="AQ29" i="70"/>
  <c r="AR29" i="70"/>
  <c r="AS29" i="70"/>
  <c r="AT29" i="70"/>
  <c r="AU29" i="70"/>
  <c r="AV29" i="70"/>
  <c r="AW29" i="70"/>
  <c r="AX29" i="70"/>
  <c r="AY29" i="70"/>
  <c r="AZ29" i="70"/>
  <c r="BA29" i="70"/>
  <c r="BB29" i="70"/>
  <c r="BC29" i="70"/>
  <c r="BD29" i="70"/>
  <c r="AG30" i="70"/>
  <c r="AH30" i="70"/>
  <c r="AI30" i="70"/>
  <c r="AJ30" i="70"/>
  <c r="AK30" i="70"/>
  <c r="AL30" i="70"/>
  <c r="AM30" i="70"/>
  <c r="AN30" i="70"/>
  <c r="AO30" i="70"/>
  <c r="AP30" i="70"/>
  <c r="AQ30" i="70"/>
  <c r="AR30" i="70"/>
  <c r="AS30" i="70"/>
  <c r="AT30" i="70"/>
  <c r="AU30" i="70"/>
  <c r="AV30" i="70"/>
  <c r="AW30" i="70"/>
  <c r="AX30" i="70"/>
  <c r="AY30" i="70"/>
  <c r="AZ30" i="70"/>
  <c r="BA30" i="70"/>
  <c r="BB30" i="70"/>
  <c r="BC30" i="70"/>
  <c r="BD30" i="70"/>
  <c r="AG31" i="70"/>
  <c r="AH31" i="70"/>
  <c r="AI31" i="70"/>
  <c r="AJ31" i="70"/>
  <c r="AK31" i="70"/>
  <c r="AL31" i="70"/>
  <c r="AM31" i="70"/>
  <c r="AN31" i="70"/>
  <c r="AO31" i="70"/>
  <c r="AP31" i="70"/>
  <c r="AQ31" i="70"/>
  <c r="AR31" i="70"/>
  <c r="AS31" i="70"/>
  <c r="AT31" i="70"/>
  <c r="AU31" i="70"/>
  <c r="AV31" i="70"/>
  <c r="AW31" i="70"/>
  <c r="AX31" i="70"/>
  <c r="AY31" i="70"/>
  <c r="AZ31" i="70"/>
  <c r="BA31" i="70"/>
  <c r="BB31" i="70"/>
  <c r="BC31" i="70"/>
  <c r="BD31" i="70"/>
  <c r="AG32" i="70"/>
  <c r="AH32" i="70"/>
  <c r="AI32" i="70"/>
  <c r="AJ32" i="70"/>
  <c r="AK32" i="70"/>
  <c r="AL32" i="70"/>
  <c r="AM32" i="70"/>
  <c r="AN32" i="70"/>
  <c r="AO32" i="70"/>
  <c r="AP32" i="70"/>
  <c r="AQ32" i="70"/>
  <c r="AR32" i="70"/>
  <c r="AS32" i="70"/>
  <c r="AT32" i="70"/>
  <c r="AU32" i="70"/>
  <c r="AV32" i="70"/>
  <c r="AW32" i="70"/>
  <c r="AX32" i="70"/>
  <c r="AY32" i="70"/>
  <c r="AZ32" i="70"/>
  <c r="BA32" i="70"/>
  <c r="BB32" i="70"/>
  <c r="BC32" i="70"/>
  <c r="BD32" i="70"/>
  <c r="AG33" i="70"/>
  <c r="AH33" i="70"/>
  <c r="AI33" i="70"/>
  <c r="AJ33" i="70"/>
  <c r="AK33" i="70"/>
  <c r="AL33" i="70"/>
  <c r="AM33" i="70"/>
  <c r="AN33" i="70"/>
  <c r="AO33" i="70"/>
  <c r="AP33" i="70"/>
  <c r="AQ33" i="70"/>
  <c r="AR33" i="70"/>
  <c r="AS33" i="70"/>
  <c r="AT33" i="70"/>
  <c r="AU33" i="70"/>
  <c r="AV33" i="70"/>
  <c r="AW33" i="70"/>
  <c r="AX33" i="70"/>
  <c r="AY33" i="70"/>
  <c r="AZ33" i="70"/>
  <c r="BA33" i="70"/>
  <c r="BB33" i="70"/>
  <c r="BC33" i="70"/>
  <c r="BD33" i="70"/>
  <c r="AG34" i="70"/>
  <c r="AH34" i="70"/>
  <c r="AI34" i="70"/>
  <c r="AJ34" i="70"/>
  <c r="AK34" i="70"/>
  <c r="AL34" i="70"/>
  <c r="AM34" i="70"/>
  <c r="AN34" i="70"/>
  <c r="AO34" i="70"/>
  <c r="AP34" i="70"/>
  <c r="AQ34" i="70"/>
  <c r="AR34" i="70"/>
  <c r="AS34" i="70"/>
  <c r="AT34" i="70"/>
  <c r="AU34" i="70"/>
  <c r="AV34" i="70"/>
  <c r="AW34" i="70"/>
  <c r="AX34" i="70"/>
  <c r="AY34" i="70"/>
  <c r="AZ34" i="70"/>
  <c r="BA34" i="70"/>
  <c r="BB34" i="70"/>
  <c r="BC34" i="70"/>
  <c r="BD34" i="70"/>
  <c r="AG35" i="70"/>
  <c r="AH35" i="70"/>
  <c r="AI35" i="70"/>
  <c r="AJ35" i="70"/>
  <c r="AK35" i="70"/>
  <c r="AL35" i="70"/>
  <c r="AM35" i="70"/>
  <c r="AN35" i="70"/>
  <c r="AO35" i="70"/>
  <c r="AP35" i="70"/>
  <c r="AQ35" i="70"/>
  <c r="AR35" i="70"/>
  <c r="AS35" i="70"/>
  <c r="AT35" i="70"/>
  <c r="AU35" i="70"/>
  <c r="AV35" i="70"/>
  <c r="AW35" i="70"/>
  <c r="AX35" i="70"/>
  <c r="AY35" i="70"/>
  <c r="AZ35" i="70"/>
  <c r="BA35" i="70"/>
  <c r="BB35" i="70"/>
  <c r="BC35" i="70"/>
  <c r="BD35" i="70"/>
  <c r="AG36" i="70"/>
  <c r="AH36" i="70"/>
  <c r="AI36" i="70"/>
  <c r="AJ36" i="70"/>
  <c r="AK36" i="70"/>
  <c r="AL36" i="70"/>
  <c r="AM36" i="70"/>
  <c r="AN36" i="70"/>
  <c r="AO36" i="70"/>
  <c r="AP36" i="70"/>
  <c r="AQ36" i="70"/>
  <c r="AR36" i="70"/>
  <c r="AS36" i="70"/>
  <c r="AT36" i="70"/>
  <c r="AU36" i="70"/>
  <c r="AV36" i="70"/>
  <c r="AW36" i="70"/>
  <c r="AX36" i="70"/>
  <c r="AY36" i="70"/>
  <c r="AZ36" i="70"/>
  <c r="BA36" i="70"/>
  <c r="BB36" i="70"/>
  <c r="BC36" i="70"/>
  <c r="BD36" i="70"/>
  <c r="AG37" i="70"/>
  <c r="AH37" i="70"/>
  <c r="AI37" i="70"/>
  <c r="AJ37" i="70"/>
  <c r="AK37" i="70"/>
  <c r="AL37" i="70"/>
  <c r="AM37" i="70"/>
  <c r="AN37" i="70"/>
  <c r="AO37" i="70"/>
  <c r="AP37" i="70"/>
  <c r="AQ37" i="70"/>
  <c r="AR37" i="70"/>
  <c r="AS37" i="70"/>
  <c r="AT37" i="70"/>
  <c r="AU37" i="70"/>
  <c r="AV37" i="70"/>
  <c r="AW37" i="70"/>
  <c r="AX37" i="70"/>
  <c r="AY37" i="70"/>
  <c r="AZ37" i="70"/>
  <c r="BA37" i="70"/>
  <c r="BB37" i="70"/>
  <c r="BC37" i="70"/>
  <c r="BD37" i="70"/>
  <c r="AG38" i="70"/>
  <c r="AH38" i="70"/>
  <c r="AI38" i="70"/>
  <c r="AJ38" i="70"/>
  <c r="AK38" i="70"/>
  <c r="AL38" i="70"/>
  <c r="AM38" i="70"/>
  <c r="AN38" i="70"/>
  <c r="AO38" i="70"/>
  <c r="AP38" i="70"/>
  <c r="AQ38" i="70"/>
  <c r="AR38" i="70"/>
  <c r="AS38" i="70"/>
  <c r="AT38" i="70"/>
  <c r="AU38" i="70"/>
  <c r="AV38" i="70"/>
  <c r="AW38" i="70"/>
  <c r="AX38" i="70"/>
  <c r="AY38" i="70"/>
  <c r="AZ38" i="70"/>
  <c r="BA38" i="70"/>
  <c r="BB38" i="70"/>
  <c r="BC38" i="70"/>
  <c r="BD38" i="70"/>
  <c r="AG39" i="70"/>
  <c r="AH39" i="70"/>
  <c r="AI39" i="70"/>
  <c r="AJ39" i="70"/>
  <c r="AK39" i="70"/>
  <c r="AL39" i="70"/>
  <c r="AM39" i="70"/>
  <c r="AN39" i="70"/>
  <c r="AO39" i="70"/>
  <c r="AP39" i="70"/>
  <c r="AQ39" i="70"/>
  <c r="AR39" i="70"/>
  <c r="AS39" i="70"/>
  <c r="AT39" i="70"/>
  <c r="AU39" i="70"/>
  <c r="AV39" i="70"/>
  <c r="AW39" i="70"/>
  <c r="AX39" i="70"/>
  <c r="AY39" i="70"/>
  <c r="AZ39" i="70"/>
  <c r="BA39" i="70"/>
  <c r="BB39" i="70"/>
  <c r="BC39" i="70"/>
  <c r="BD39" i="70"/>
  <c r="AG40" i="70"/>
  <c r="AH40" i="70"/>
  <c r="AI40" i="70"/>
  <c r="AJ40" i="70"/>
  <c r="AK40" i="70"/>
  <c r="AL40" i="70"/>
  <c r="AM40" i="70"/>
  <c r="AN40" i="70"/>
  <c r="AO40" i="70"/>
  <c r="AP40" i="70"/>
  <c r="AQ40" i="70"/>
  <c r="AR40" i="70"/>
  <c r="AS40" i="70"/>
  <c r="AT40" i="70"/>
  <c r="AU40" i="70"/>
  <c r="AV40" i="70"/>
  <c r="AW40" i="70"/>
  <c r="AX40" i="70"/>
  <c r="AY40" i="70"/>
  <c r="AZ40" i="70"/>
  <c r="BA40" i="70"/>
  <c r="BB40" i="70"/>
  <c r="BC40" i="70"/>
  <c r="BD40" i="70"/>
  <c r="AG41" i="70"/>
  <c r="AH41" i="70"/>
  <c r="AI41" i="70"/>
  <c r="AJ41" i="70"/>
  <c r="AK41" i="70"/>
  <c r="AL41" i="70"/>
  <c r="AM41" i="70"/>
  <c r="AN41" i="70"/>
  <c r="AO41" i="70"/>
  <c r="AP41" i="70"/>
  <c r="AQ41" i="70"/>
  <c r="AR41" i="70"/>
  <c r="AS41" i="70"/>
  <c r="AT41" i="70"/>
  <c r="AU41" i="70"/>
  <c r="AV41" i="70"/>
  <c r="AW41" i="70"/>
  <c r="AX41" i="70"/>
  <c r="AY41" i="70"/>
  <c r="AZ41" i="70"/>
  <c r="BA41" i="70"/>
  <c r="BB41" i="70"/>
  <c r="BC41" i="70"/>
  <c r="BD41" i="70"/>
  <c r="AG42" i="70"/>
  <c r="AH42" i="70"/>
  <c r="AI42" i="70"/>
  <c r="AJ42" i="70"/>
  <c r="AK42" i="70"/>
  <c r="AL42" i="70"/>
  <c r="AM42" i="70"/>
  <c r="AN42" i="70"/>
  <c r="AO42" i="70"/>
  <c r="AP42" i="70"/>
  <c r="AQ42" i="70"/>
  <c r="AR42" i="70"/>
  <c r="AS42" i="70"/>
  <c r="AT42" i="70"/>
  <c r="AU42" i="70"/>
  <c r="AV42" i="70"/>
  <c r="AW42" i="70"/>
  <c r="AX42" i="70"/>
  <c r="AY42" i="70"/>
  <c r="AZ42" i="70"/>
  <c r="BA42" i="70"/>
  <c r="BB42" i="70"/>
  <c r="BC42" i="70"/>
  <c r="BD42" i="70"/>
  <c r="AG43" i="70"/>
  <c r="AH43" i="70"/>
  <c r="AI43" i="70"/>
  <c r="AJ43" i="70"/>
  <c r="AK43" i="70"/>
  <c r="AL43" i="70"/>
  <c r="AM43" i="70"/>
  <c r="AN43" i="70"/>
  <c r="AO43" i="70"/>
  <c r="AP43" i="70"/>
  <c r="AQ43" i="70"/>
  <c r="AR43" i="70"/>
  <c r="AS43" i="70"/>
  <c r="AT43" i="70"/>
  <c r="AU43" i="70"/>
  <c r="AV43" i="70"/>
  <c r="AW43" i="70"/>
  <c r="AX43" i="70"/>
  <c r="AY43" i="70"/>
  <c r="AZ43" i="70"/>
  <c r="BA43" i="70"/>
  <c r="BB43" i="70"/>
  <c r="BC43" i="70"/>
  <c r="BD43" i="70"/>
  <c r="AG44" i="70"/>
  <c r="AH44" i="70"/>
  <c r="AI44" i="70"/>
  <c r="AJ44" i="70"/>
  <c r="AK44" i="70"/>
  <c r="AL44" i="70"/>
  <c r="AM44" i="70"/>
  <c r="AN44" i="70"/>
  <c r="AO44" i="70"/>
  <c r="AP44" i="70"/>
  <c r="AQ44" i="70"/>
  <c r="AR44" i="70"/>
  <c r="AS44" i="70"/>
  <c r="AT44" i="70"/>
  <c r="AU44" i="70"/>
  <c r="AV44" i="70"/>
  <c r="AW44" i="70"/>
  <c r="AX44" i="70"/>
  <c r="AY44" i="70"/>
  <c r="AZ44" i="70"/>
  <c r="BA44" i="70"/>
  <c r="BB44" i="70"/>
  <c r="BC44" i="70"/>
  <c r="BD44" i="70"/>
  <c r="G19" i="85" l="1"/>
  <c r="G18" i="85"/>
  <c r="G17" i="85"/>
  <c r="AF9" i="70" a="1"/>
  <c r="AF9" i="70" s="1"/>
  <c r="D34" i="75" l="1"/>
  <c r="D33" i="75"/>
  <c r="AC10" i="70" l="1"/>
  <c r="AC11" i="70"/>
  <c r="AC12" i="70"/>
  <c r="AC13" i="70"/>
  <c r="AC14" i="70"/>
  <c r="AC15" i="70"/>
  <c r="AC16" i="70"/>
  <c r="AC17" i="70"/>
  <c r="AC18" i="70"/>
  <c r="AC19" i="70"/>
  <c r="AC20" i="70"/>
  <c r="AC21" i="70"/>
  <c r="AC22" i="70"/>
  <c r="AC23" i="70"/>
  <c r="AC24" i="70"/>
  <c r="AC25" i="70"/>
  <c r="AC26" i="70"/>
  <c r="AC27" i="70"/>
  <c r="AC28" i="70"/>
  <c r="AC29" i="70"/>
  <c r="AC30" i="70"/>
  <c r="AC31" i="70"/>
  <c r="AC32" i="70"/>
  <c r="AC33" i="70"/>
  <c r="AC34" i="70"/>
  <c r="AC35" i="70"/>
  <c r="AC36" i="70"/>
  <c r="AC37" i="70"/>
  <c r="AC38" i="70"/>
  <c r="AC39" i="70"/>
  <c r="AC40" i="70"/>
  <c r="AC41" i="70"/>
  <c r="AC42" i="70"/>
  <c r="AC43" i="70"/>
  <c r="AC44" i="70"/>
  <c r="AC45" i="70"/>
  <c r="AC46" i="70"/>
  <c r="AC47" i="70"/>
  <c r="AC48" i="70"/>
  <c r="AC49" i="70"/>
  <c r="AC50" i="70"/>
  <c r="AC51" i="70"/>
  <c r="AC52" i="70"/>
  <c r="AC53" i="70"/>
  <c r="AC54" i="70"/>
  <c r="AC55" i="70"/>
  <c r="AC56" i="70"/>
  <c r="AC57" i="70"/>
  <c r="AC58" i="70"/>
  <c r="AC59" i="70"/>
  <c r="AC60" i="70"/>
  <c r="AC61" i="70"/>
  <c r="AC62" i="70"/>
  <c r="AC63" i="70"/>
  <c r="AC64" i="70"/>
  <c r="AC65" i="70"/>
  <c r="AC66" i="70"/>
  <c r="AC67" i="70"/>
  <c r="AC68" i="70"/>
  <c r="AC69" i="70"/>
  <c r="AC70" i="70"/>
  <c r="AC71" i="70"/>
  <c r="AC72" i="70"/>
  <c r="AC73" i="70"/>
  <c r="AC74" i="70"/>
  <c r="AC75" i="70"/>
  <c r="AC76" i="70"/>
  <c r="AC77" i="70"/>
  <c r="AC78" i="70"/>
  <c r="AC79" i="70"/>
  <c r="AC80" i="70"/>
  <c r="AC81" i="70"/>
  <c r="AC82" i="70"/>
  <c r="AC83" i="70"/>
  <c r="AC84" i="70"/>
  <c r="AC85" i="70"/>
  <c r="AC86" i="70"/>
  <c r="AC87" i="70"/>
  <c r="AC88" i="70"/>
  <c r="AC89" i="70"/>
  <c r="AC90" i="70"/>
  <c r="AC91" i="70"/>
  <c r="AC92" i="70"/>
  <c r="AC93" i="70"/>
  <c r="AC94" i="70"/>
  <c r="AC95" i="70"/>
  <c r="AC96" i="70"/>
  <c r="AC97" i="70"/>
  <c r="AC98" i="70"/>
  <c r="AC99" i="70"/>
  <c r="AC100" i="70"/>
  <c r="AC101" i="70"/>
  <c r="AC102" i="70"/>
  <c r="AC103" i="70"/>
  <c r="AC104" i="70"/>
  <c r="AC105" i="70"/>
  <c r="AC106" i="70"/>
  <c r="AC107" i="70"/>
  <c r="AC108" i="70"/>
  <c r="AC109" i="70"/>
  <c r="AC110" i="70"/>
  <c r="AC111" i="70"/>
  <c r="AC112" i="70"/>
  <c r="AC113" i="70"/>
  <c r="AC114" i="70"/>
  <c r="AC115" i="70"/>
  <c r="AC116" i="70"/>
  <c r="AC117" i="70"/>
  <c r="AC118" i="70"/>
  <c r="AC119" i="70"/>
  <c r="AC120" i="70"/>
  <c r="AC121" i="70"/>
  <c r="AC122" i="70"/>
  <c r="AC123" i="70"/>
  <c r="AC124" i="70"/>
  <c r="AC125" i="70"/>
  <c r="AC126" i="70"/>
  <c r="AC127" i="70"/>
  <c r="AC128" i="70"/>
  <c r="AC129" i="70"/>
  <c r="AC130" i="70"/>
  <c r="AC131" i="70"/>
  <c r="AC132" i="70"/>
  <c r="AC133" i="70"/>
  <c r="AC134" i="70"/>
  <c r="AC135" i="70"/>
  <c r="AC136" i="70"/>
  <c r="AC137" i="70"/>
  <c r="AC138" i="70"/>
  <c r="AC139" i="70"/>
  <c r="AC140" i="70"/>
  <c r="AC141" i="70"/>
  <c r="AC142" i="70"/>
  <c r="AC143" i="70"/>
  <c r="AC144" i="70"/>
  <c r="AC145" i="70"/>
  <c r="AC146" i="70"/>
  <c r="AC147" i="70"/>
  <c r="AC148" i="70"/>
  <c r="AC149" i="70"/>
  <c r="AC150" i="70"/>
  <c r="AC151" i="70"/>
  <c r="AC152" i="70"/>
  <c r="AC153" i="70"/>
  <c r="AC154" i="70"/>
  <c r="AC155" i="70"/>
  <c r="AC156" i="70"/>
  <c r="AC157" i="70"/>
  <c r="AC158" i="70"/>
  <c r="AC159" i="70"/>
  <c r="AC160" i="70"/>
  <c r="AC161" i="70"/>
  <c r="AC162" i="70"/>
  <c r="AC163" i="70"/>
  <c r="AC164" i="70"/>
  <c r="AC165" i="70"/>
  <c r="AC166" i="70"/>
  <c r="AC167" i="70"/>
  <c r="AC168" i="70"/>
  <c r="AC169" i="70"/>
  <c r="AC170" i="70"/>
  <c r="AC171" i="70"/>
  <c r="AC172" i="70"/>
  <c r="AC173" i="70"/>
  <c r="AC174" i="70"/>
  <c r="AC175" i="70"/>
  <c r="AC176" i="70"/>
  <c r="AC177" i="70"/>
  <c r="AC178" i="70"/>
  <c r="AC179" i="70"/>
  <c r="AC180" i="70"/>
  <c r="AC181" i="70"/>
  <c r="AC182" i="70"/>
  <c r="AC183" i="70"/>
  <c r="AC184" i="70"/>
  <c r="AC185" i="70"/>
  <c r="AC186" i="70"/>
  <c r="AC187" i="70"/>
  <c r="AC188" i="70"/>
  <c r="AC189" i="70"/>
  <c r="AC190" i="70"/>
  <c r="AC191" i="70"/>
  <c r="AC192" i="70"/>
  <c r="AC193" i="70"/>
  <c r="AC194" i="70"/>
  <c r="AC195" i="70"/>
  <c r="AC196" i="70"/>
  <c r="AC197" i="70"/>
  <c r="AC198" i="70"/>
  <c r="AC199" i="70"/>
  <c r="AC200" i="70"/>
  <c r="AC201" i="70"/>
  <c r="AC202" i="70"/>
  <c r="AC203" i="70"/>
  <c r="AC204" i="70"/>
  <c r="AC205" i="70"/>
  <c r="AC206" i="70"/>
  <c r="AC207" i="70"/>
  <c r="AC208" i="70"/>
  <c r="AC209" i="70"/>
  <c r="AC210" i="70"/>
  <c r="AC211" i="70"/>
  <c r="AC212" i="70"/>
  <c r="AC213" i="70"/>
  <c r="AC214" i="70"/>
  <c r="AC215" i="70"/>
  <c r="AC216" i="70"/>
  <c r="AC217" i="70"/>
  <c r="AC218" i="70"/>
  <c r="AC219" i="70"/>
  <c r="AC220" i="70"/>
  <c r="AC221" i="70"/>
  <c r="AC222" i="70"/>
  <c r="AC223" i="70"/>
  <c r="AC224" i="70"/>
  <c r="AC225" i="70"/>
  <c r="AC226" i="70"/>
  <c r="AC227" i="70"/>
  <c r="AC228" i="70"/>
  <c r="AC229" i="70"/>
  <c r="AC230" i="70"/>
  <c r="AC231" i="70"/>
  <c r="AC232" i="70"/>
  <c r="AC233" i="70"/>
  <c r="AC234" i="70"/>
  <c r="AC235" i="70"/>
  <c r="AC236" i="70"/>
  <c r="AC237" i="70"/>
  <c r="AC238" i="70"/>
  <c r="AC239" i="70"/>
  <c r="AC240" i="70"/>
  <c r="AC241" i="70"/>
  <c r="AC242" i="70"/>
  <c r="AC243" i="70"/>
  <c r="AC244" i="70"/>
  <c r="AC245" i="70"/>
  <c r="AC246" i="70"/>
  <c r="AC247" i="70"/>
  <c r="AC248" i="70"/>
  <c r="AC249" i="70"/>
  <c r="AC250" i="70"/>
  <c r="AC251" i="70"/>
  <c r="AC252" i="70"/>
  <c r="AC253" i="70"/>
  <c r="AC254" i="70"/>
  <c r="AC255" i="70"/>
  <c r="AC256" i="70"/>
  <c r="AC257" i="70"/>
  <c r="AC258" i="70"/>
  <c r="AC259" i="70"/>
  <c r="AC260" i="70"/>
  <c r="AC261" i="70"/>
  <c r="AC262" i="70"/>
  <c r="AC263" i="70"/>
  <c r="AC264" i="70"/>
  <c r="AC265" i="70"/>
  <c r="AC266" i="70"/>
  <c r="AC267" i="70"/>
  <c r="AC268" i="70"/>
  <c r="AC269" i="70"/>
  <c r="AC270" i="70"/>
  <c r="AC271" i="70"/>
  <c r="AC272" i="70"/>
  <c r="AC273" i="70"/>
  <c r="AC274" i="70"/>
  <c r="AC275" i="70"/>
  <c r="AC276" i="70"/>
  <c r="AC277" i="70"/>
  <c r="AC278" i="70"/>
  <c r="AC279" i="70"/>
  <c r="AC280" i="70"/>
  <c r="AC281" i="70"/>
  <c r="AC282" i="70"/>
  <c r="AC283" i="70"/>
  <c r="AC284" i="70"/>
  <c r="AC285" i="70"/>
  <c r="AC286" i="70"/>
  <c r="AC287" i="70"/>
  <c r="AC288" i="70"/>
  <c r="AC289" i="70"/>
  <c r="AC290" i="70"/>
  <c r="AC291" i="70"/>
  <c r="AC292" i="70"/>
  <c r="AC293" i="70"/>
  <c r="AC294" i="70"/>
  <c r="AC295" i="70"/>
  <c r="AC296" i="70"/>
  <c r="AC297" i="70"/>
  <c r="AC298" i="70"/>
  <c r="AC299" i="70"/>
  <c r="AC300" i="70"/>
  <c r="AC301" i="70"/>
  <c r="AC302" i="70"/>
  <c r="AC303" i="70"/>
  <c r="AC304" i="70"/>
  <c r="AC305" i="70"/>
  <c r="AC306" i="70"/>
  <c r="AC307" i="70"/>
  <c r="AC308" i="70"/>
  <c r="AC309" i="70"/>
  <c r="AC310" i="70"/>
  <c r="AC311" i="70"/>
  <c r="AC312" i="70"/>
  <c r="AC313" i="70"/>
  <c r="AC314" i="70"/>
  <c r="AC315" i="70"/>
  <c r="AC316" i="70"/>
  <c r="AC317" i="70"/>
  <c r="AC318" i="70"/>
  <c r="AC319" i="70"/>
  <c r="AC320" i="70"/>
  <c r="AC321" i="70"/>
  <c r="AC322" i="70"/>
  <c r="AC323" i="70"/>
  <c r="AC324" i="70"/>
  <c r="AC325" i="70"/>
  <c r="AC326" i="70"/>
  <c r="AC327" i="70"/>
  <c r="AC328" i="70"/>
  <c r="AC329" i="70"/>
  <c r="AC330" i="70"/>
  <c r="AC331" i="70"/>
  <c r="AC332" i="70"/>
  <c r="AC333" i="70"/>
  <c r="AC334" i="70"/>
  <c r="AC335" i="70"/>
  <c r="AC336" i="70"/>
  <c r="AC337" i="70"/>
  <c r="AC338" i="70"/>
  <c r="AC339" i="70"/>
  <c r="AC340" i="70"/>
  <c r="AC341" i="70"/>
  <c r="AC342" i="70"/>
  <c r="AC343" i="70"/>
  <c r="AC344" i="70"/>
  <c r="AC345" i="70"/>
  <c r="AC346" i="70"/>
  <c r="AC347" i="70"/>
  <c r="AC348" i="70"/>
  <c r="AC349" i="70"/>
  <c r="AC350" i="70"/>
  <c r="AC351" i="70"/>
  <c r="AC352" i="70"/>
  <c r="AC353" i="70"/>
  <c r="AC354" i="70"/>
  <c r="AC355" i="70"/>
  <c r="AC356" i="70"/>
  <c r="AC357" i="70"/>
  <c r="AC358" i="70"/>
  <c r="AC359" i="70"/>
  <c r="AC360" i="70"/>
  <c r="AC361" i="70"/>
  <c r="AC362" i="70"/>
  <c r="AC363" i="70"/>
  <c r="AC364" i="70"/>
  <c r="AC365" i="70"/>
  <c r="AC366" i="70"/>
  <c r="AC367" i="70"/>
  <c r="AC368" i="70"/>
  <c r="AC369" i="70"/>
  <c r="AC370" i="70"/>
  <c r="AC371" i="70"/>
  <c r="AC372" i="70"/>
  <c r="AC373" i="70"/>
  <c r="D12" i="93"/>
  <c r="D11" i="93"/>
  <c r="D13" i="93"/>
  <c r="D14" i="93"/>
  <c r="D15" i="93"/>
  <c r="D16" i="93"/>
  <c r="D17" i="93"/>
  <c r="E23" i="44" a="1"/>
  <c r="E23" i="44" s="1"/>
  <c r="E24" i="44" a="1"/>
  <c r="E24" i="44" s="1"/>
  <c r="G12" i="85"/>
  <c r="G14" i="85"/>
  <c r="G21" i="85"/>
  <c r="G16" i="85"/>
  <c r="G15" i="85"/>
  <c r="M24" i="44" a="1"/>
  <c r="M23" i="44" a="1"/>
  <c r="M23" i="44" l="1"/>
  <c r="M24" i="44"/>
  <c r="F11" i="53"/>
  <c r="D12" i="79"/>
  <c r="D13" i="79"/>
  <c r="D12" i="76"/>
  <c r="D15" i="78" l="1"/>
  <c r="E41" i="45" l="1"/>
  <c r="E42" i="45"/>
  <c r="D21" i="75"/>
  <c r="D23" i="75"/>
  <c r="D28" i="75"/>
  <c r="D22" i="51" l="1"/>
  <c r="AS157" i="85" l="1"/>
  <c r="AT157" i="85" s="1"/>
  <c r="AU157" i="85" s="1"/>
  <c r="AV157" i="85" s="1"/>
  <c r="AW157" i="85" s="1"/>
  <c r="AX157" i="85" s="1"/>
  <c r="AY157" i="85" s="1"/>
  <c r="AZ157" i="85" s="1"/>
  <c r="BA157" i="85" s="1"/>
  <c r="BB157" i="85" s="1"/>
  <c r="BC157" i="85" s="1"/>
  <c r="BD157" i="85" s="1"/>
  <c r="BE157" i="85" s="1"/>
  <c r="BF157" i="85" s="1"/>
  <c r="BG157" i="85" s="1"/>
  <c r="BH157" i="85" s="1"/>
  <c r="BI157" i="85" s="1"/>
  <c r="BJ157" i="85" s="1"/>
  <c r="BK157" i="85" s="1"/>
  <c r="BL157" i="85" s="1"/>
  <c r="BM157" i="85" s="1"/>
  <c r="BN157" i="85" s="1"/>
  <c r="BO157" i="85" s="1"/>
  <c r="BP157" i="85" s="1"/>
  <c r="BQ157" i="85" s="1"/>
  <c r="BR157" i="85" s="1"/>
  <c r="BS157" i="85" s="1"/>
  <c r="BT157" i="85" s="1"/>
  <c r="BU157" i="85" s="1"/>
  <c r="BV157" i="85" s="1"/>
  <c r="BW157" i="85" s="1"/>
  <c r="D13" i="76"/>
  <c r="D14" i="76"/>
  <c r="D15" i="76"/>
  <c r="D16" i="76"/>
  <c r="D17" i="76"/>
  <c r="D22" i="75" l="1"/>
  <c r="D18" i="76" l="1"/>
  <c r="D19" i="76"/>
  <c r="D20" i="76"/>
  <c r="D21" i="76"/>
  <c r="D22" i="76"/>
  <c r="D23" i="76"/>
  <c r="D24" i="76"/>
  <c r="D25" i="76"/>
  <c r="D26" i="76"/>
  <c r="D27" i="76"/>
  <c r="D28" i="76"/>
  <c r="D29" i="76"/>
  <c r="D30" i="76"/>
  <c r="D31" i="76"/>
  <c r="D32" i="76"/>
  <c r="D33" i="76"/>
  <c r="D34" i="76"/>
  <c r="D35" i="76"/>
  <c r="D11" i="76"/>
  <c r="D12" i="75"/>
  <c r="D13" i="75"/>
  <c r="D14" i="75"/>
  <c r="D15" i="75"/>
  <c r="D16" i="75"/>
  <c r="D17" i="75"/>
  <c r="D18" i="75"/>
  <c r="D24" i="75"/>
  <c r="D25" i="75"/>
  <c r="D29" i="75"/>
  <c r="D30" i="75"/>
  <c r="D31" i="75"/>
  <c r="D32" i="75"/>
  <c r="D35" i="75"/>
  <c r="D19" i="75"/>
  <c r="D26" i="75"/>
  <c r="D20" i="75"/>
  <c r="D27" i="75"/>
  <c r="D11" i="75"/>
  <c r="H123" i="50" l="1"/>
  <c r="H124" i="50"/>
  <c r="H125" i="50"/>
  <c r="H126" i="50"/>
  <c r="H127" i="50"/>
  <c r="H128" i="50"/>
  <c r="H129" i="50"/>
  <c r="H130" i="50"/>
  <c r="H131" i="50"/>
  <c r="H132" i="50"/>
  <c r="H133" i="50"/>
  <c r="H134" i="50"/>
  <c r="D9" i="51" l="1"/>
  <c r="J123" i="50" a="1"/>
  <c r="J123" i="50" s="1"/>
  <c r="J124" i="50" a="1"/>
  <c r="J124" i="50" s="1"/>
  <c r="J125" i="50" a="1"/>
  <c r="J125" i="50" s="1"/>
  <c r="J126" i="50" a="1"/>
  <c r="J126" i="50" s="1"/>
  <c r="J127" i="50" a="1"/>
  <c r="J127" i="50" s="1"/>
  <c r="J128" i="50" a="1"/>
  <c r="J128" i="50" s="1"/>
  <c r="J129" i="50" a="1"/>
  <c r="J129" i="50" s="1"/>
  <c r="J130" i="50" a="1"/>
  <c r="J130" i="50" s="1"/>
  <c r="J131" i="50" a="1"/>
  <c r="J131" i="50" s="1"/>
  <c r="J132" i="50" a="1"/>
  <c r="J132" i="50" s="1"/>
  <c r="J133" i="50" a="1"/>
  <c r="J133" i="50" s="1"/>
  <c r="J134" i="50" a="1"/>
  <c r="J134" i="50" s="1"/>
  <c r="E21" i="44" a="1"/>
  <c r="E21" i="44" s="1"/>
  <c r="E32" i="44" a="1"/>
  <c r="E32" i="44" s="1"/>
  <c r="E33" i="44" a="1"/>
  <c r="E33" i="44" s="1"/>
  <c r="E36" i="44" a="1"/>
  <c r="E36" i="44" s="1"/>
  <c r="E37" i="44" a="1"/>
  <c r="E37" i="44" s="1"/>
  <c r="E38" i="44" a="1"/>
  <c r="E38" i="44" s="1"/>
  <c r="E39" i="44" a="1"/>
  <c r="E39" i="44" s="1"/>
  <c r="E40" i="44" a="1"/>
  <c r="E40" i="44" s="1"/>
  <c r="E41" i="44" a="1"/>
  <c r="E41" i="44" s="1"/>
  <c r="E42" i="44" a="1"/>
  <c r="E42" i="44" s="1"/>
  <c r="E43" i="44" a="1"/>
  <c r="E43" i="44" s="1"/>
  <c r="E55" i="44" a="1"/>
  <c r="E55" i="44" s="1"/>
  <c r="E56" i="44" a="1"/>
  <c r="E56" i="44" s="1"/>
  <c r="E63" i="44" a="1"/>
  <c r="E63" i="44" s="1"/>
  <c r="E64" i="44" a="1"/>
  <c r="E64" i="44" s="1"/>
  <c r="E65" i="44" a="1"/>
  <c r="E65" i="44" s="1"/>
  <c r="E66" i="44" a="1"/>
  <c r="E66" i="44" s="1"/>
  <c r="E71" i="44" a="1"/>
  <c r="E71" i="44" s="1"/>
  <c r="E72" i="44" a="1"/>
  <c r="E72" i="44" s="1"/>
  <c r="E77" i="44" a="1"/>
  <c r="E77" i="44" s="1"/>
  <c r="E78" i="44" a="1"/>
  <c r="E78" i="44" s="1"/>
  <c r="E81" i="44" a="1"/>
  <c r="E81" i="44" s="1"/>
  <c r="E84" i="44" a="1"/>
  <c r="E84" i="44" s="1"/>
  <c r="E85" i="44" a="1"/>
  <c r="E85" i="44" s="1"/>
  <c r="E97" i="44" a="1"/>
  <c r="E97" i="44" s="1"/>
  <c r="E98" i="44" a="1"/>
  <c r="E98" i="44" s="1"/>
  <c r="E99" i="44" a="1"/>
  <c r="E99" i="44" s="1"/>
  <c r="E100" i="44" a="1"/>
  <c r="E100" i="44" s="1"/>
  <c r="E117" i="44" a="1"/>
  <c r="E117" i="44" s="1"/>
  <c r="E118" i="44" a="1"/>
  <c r="E118" i="44" s="1"/>
  <c r="E119" i="44" a="1"/>
  <c r="E119" i="44" s="1"/>
  <c r="E120" i="44" a="1"/>
  <c r="E120" i="44" s="1"/>
  <c r="E25" i="44" a="1"/>
  <c r="E25" i="44" s="1"/>
  <c r="E26" i="44" a="1"/>
  <c r="E26" i="44" s="1"/>
  <c r="E27" i="44" a="1"/>
  <c r="E27" i="44" s="1"/>
  <c r="E28" i="44" a="1"/>
  <c r="E28" i="44" s="1"/>
  <c r="E29" i="44" a="1"/>
  <c r="E29" i="44" s="1"/>
  <c r="E30" i="44" a="1"/>
  <c r="E30" i="44" s="1"/>
  <c r="E57" i="44" a="1"/>
  <c r="E57" i="44" s="1"/>
  <c r="E58" i="44" a="1"/>
  <c r="E58" i="44" s="1"/>
  <c r="E59" i="44" a="1"/>
  <c r="E59" i="44" s="1"/>
  <c r="E60" i="44" a="1"/>
  <c r="E60" i="44" s="1"/>
  <c r="E61" i="44" a="1"/>
  <c r="E61" i="44" s="1"/>
  <c r="E62" i="44" a="1"/>
  <c r="E62" i="44" s="1"/>
  <c r="E67" i="44" a="1"/>
  <c r="E67" i="44" s="1"/>
  <c r="E68" i="44" a="1"/>
  <c r="E68" i="44" s="1"/>
  <c r="E69" i="44" a="1"/>
  <c r="E69" i="44" s="1"/>
  <c r="E70" i="44" a="1"/>
  <c r="E70" i="44" s="1"/>
  <c r="E73" i="44" a="1"/>
  <c r="E73" i="44" s="1"/>
  <c r="E74" i="44" a="1"/>
  <c r="E74" i="44" s="1"/>
  <c r="E75" i="44" a="1"/>
  <c r="E75" i="44" s="1"/>
  <c r="E76" i="44" a="1"/>
  <c r="E76" i="44" s="1"/>
  <c r="E101" i="44" a="1"/>
  <c r="E101" i="44" s="1"/>
  <c r="E102" i="44" a="1"/>
  <c r="E102" i="44" s="1"/>
  <c r="E103" i="44" a="1"/>
  <c r="E103" i="44" s="1"/>
  <c r="E104" i="44" a="1"/>
  <c r="E104" i="44" s="1"/>
  <c r="E105" i="44" a="1"/>
  <c r="E105" i="44" s="1"/>
  <c r="E106" i="44" a="1"/>
  <c r="E106" i="44" s="1"/>
  <c r="E107" i="44" a="1"/>
  <c r="E107" i="44" s="1"/>
  <c r="E108" i="44" a="1"/>
  <c r="E108" i="44" s="1"/>
  <c r="E109" i="44" a="1"/>
  <c r="E109" i="44" s="1"/>
  <c r="E110" i="44" a="1"/>
  <c r="E110" i="44" s="1"/>
  <c r="E111" i="44" a="1"/>
  <c r="E111" i="44" s="1"/>
  <c r="E112" i="44" a="1"/>
  <c r="E112" i="44" s="1"/>
  <c r="E113" i="44" a="1"/>
  <c r="E113" i="44" s="1"/>
  <c r="E114" i="44" a="1"/>
  <c r="E114" i="44" s="1"/>
  <c r="E115" i="44" a="1"/>
  <c r="E115" i="44" s="1"/>
  <c r="E116" i="44" a="1"/>
  <c r="E116" i="44" s="1"/>
  <c r="E35" i="44" a="1"/>
  <c r="E35" i="44" s="1"/>
  <c r="E44" i="44" a="1"/>
  <c r="E44" i="44" s="1"/>
  <c r="E45" i="44" a="1"/>
  <c r="E45" i="44" s="1"/>
  <c r="E46" i="44" a="1"/>
  <c r="E46" i="44" s="1"/>
  <c r="E47" i="44" a="1"/>
  <c r="E47" i="44" s="1"/>
  <c r="E48" i="44" a="1"/>
  <c r="E48" i="44" s="1"/>
  <c r="E49" i="44" a="1"/>
  <c r="E49" i="44" s="1"/>
  <c r="E50" i="44" a="1"/>
  <c r="E50" i="44" s="1"/>
  <c r="E51" i="44" a="1"/>
  <c r="E51" i="44" s="1"/>
  <c r="E52" i="44" a="1"/>
  <c r="E52" i="44" s="1"/>
  <c r="E53" i="44" a="1"/>
  <c r="E53" i="44" s="1"/>
  <c r="E54" i="44" a="1"/>
  <c r="E54" i="44" s="1"/>
  <c r="E79" i="44" a="1"/>
  <c r="E79" i="44" s="1"/>
  <c r="E80" i="44" a="1"/>
  <c r="E80" i="44" s="1"/>
  <c r="E82" i="44" a="1"/>
  <c r="E82" i="44" s="1"/>
  <c r="E83" i="44" a="1"/>
  <c r="E83" i="44" s="1"/>
  <c r="E86" i="44" a="1"/>
  <c r="E86" i="44" s="1"/>
  <c r="E87" i="44" a="1"/>
  <c r="E87" i="44" s="1"/>
  <c r="E88" i="44" a="1"/>
  <c r="E88" i="44" s="1"/>
  <c r="E89" i="44" a="1"/>
  <c r="E89" i="44" s="1"/>
  <c r="E90" i="44" a="1"/>
  <c r="E90" i="44" s="1"/>
  <c r="E91" i="44" a="1"/>
  <c r="E91" i="44" s="1"/>
  <c r="E92" i="44" a="1"/>
  <c r="E92" i="44" s="1"/>
  <c r="E93" i="44" a="1"/>
  <c r="E93" i="44" s="1"/>
  <c r="E94" i="44" a="1"/>
  <c r="E94" i="44" s="1"/>
  <c r="E95" i="44" a="1"/>
  <c r="E95" i="44" s="1"/>
  <c r="E96" i="44" a="1"/>
  <c r="E96" i="44" s="1"/>
  <c r="E31" i="44" a="1"/>
  <c r="E31" i="44" s="1"/>
  <c r="M32" i="44" a="1"/>
  <c r="M49" i="44" a="1"/>
  <c r="M97" i="44" a="1"/>
  <c r="M108" i="44" a="1"/>
  <c r="M120" i="44" a="1"/>
  <c r="M78" i="44" a="1"/>
  <c r="M117" i="44" a="1"/>
  <c r="M30" i="44" a="1"/>
  <c r="M63" i="44" a="1"/>
  <c r="M51" i="44" a="1"/>
  <c r="M104" i="44" a="1"/>
  <c r="M50" i="44" a="1"/>
  <c r="M114" i="44" a="1"/>
  <c r="M56" i="44" a="1"/>
  <c r="M89" i="44" a="1"/>
  <c r="M60" i="44" a="1"/>
  <c r="M94" i="44" a="1"/>
  <c r="M69" i="44" a="1"/>
  <c r="M93" i="44" a="1"/>
  <c r="M35" i="44" a="1"/>
  <c r="M82" i="44" a="1"/>
  <c r="M59" i="44" a="1"/>
  <c r="M45" i="44" a="1"/>
  <c r="M26" i="44" a="1"/>
  <c r="M96" i="44" a="1"/>
  <c r="M87" i="44" a="1"/>
  <c r="M88" i="44" a="1"/>
  <c r="M77" i="44" a="1"/>
  <c r="M79" i="44" a="1"/>
  <c r="M53" i="44" a="1"/>
  <c r="M71" i="44" a="1"/>
  <c r="M29" i="44" a="1"/>
  <c r="M80" i="44" a="1"/>
  <c r="M62" i="44" a="1"/>
  <c r="M73" i="44" a="1"/>
  <c r="M70" i="44" a="1"/>
  <c r="M109" i="44" a="1"/>
  <c r="M103" i="44" a="1"/>
  <c r="M105" i="44" a="1"/>
  <c r="M100" i="44" a="1"/>
  <c r="M106" i="44" a="1"/>
  <c r="M21" i="44" a="1"/>
  <c r="M72" i="44" a="1"/>
  <c r="M52" i="44" a="1"/>
  <c r="M64" i="44" a="1"/>
  <c r="M36" i="44" a="1"/>
  <c r="M98" i="44" a="1"/>
  <c r="M44" i="44" a="1"/>
  <c r="M43" i="44" a="1"/>
  <c r="M76" i="44" a="1"/>
  <c r="M85" i="44" a="1"/>
  <c r="M90" i="44" a="1"/>
  <c r="M84" i="44" a="1"/>
  <c r="M48" i="44" a="1"/>
  <c r="M91" i="44" a="1"/>
  <c r="M99" i="44" a="1"/>
  <c r="M27" i="44" a="1"/>
  <c r="M113" i="44" a="1"/>
  <c r="M67" i="44" a="1"/>
  <c r="M57" i="44" a="1"/>
  <c r="M54" i="44" a="1"/>
  <c r="M86" i="44" a="1"/>
  <c r="M65" i="44" a="1"/>
  <c r="M81" i="44" a="1"/>
  <c r="M110" i="44" a="1"/>
  <c r="M92" i="44" a="1"/>
  <c r="M102" i="44" a="1"/>
  <c r="M119" i="44" a="1"/>
  <c r="M101" i="44" a="1"/>
  <c r="M33" i="44" a="1"/>
  <c r="M61" i="44" a="1"/>
  <c r="M46" i="44" a="1"/>
  <c r="M41" i="44" a="1"/>
  <c r="M40" i="44" a="1"/>
  <c r="M58" i="44" a="1"/>
  <c r="M68" i="44" a="1"/>
  <c r="M37" i="44" a="1"/>
  <c r="M112" i="44" a="1"/>
  <c r="M95" i="44" a="1"/>
  <c r="M111" i="44" a="1"/>
  <c r="M116" i="44" a="1"/>
  <c r="M118" i="44" a="1"/>
  <c r="M74" i="44" a="1"/>
  <c r="M38" i="44" a="1"/>
  <c r="M28" i="44" a="1"/>
  <c r="M55" i="44" a="1"/>
  <c r="M115" i="44" a="1"/>
  <c r="M66" i="44" a="1"/>
  <c r="M25" i="44" a="1"/>
  <c r="M42" i="44" a="1"/>
  <c r="M75" i="44" a="1"/>
  <c r="M83" i="44" a="1"/>
  <c r="M31" i="44" a="1"/>
  <c r="M47" i="44" a="1"/>
  <c r="M107" i="44" a="1"/>
  <c r="M39" i="44" a="1"/>
  <c r="M38" i="44" l="1"/>
  <c r="M101" i="44"/>
  <c r="M83" i="44"/>
  <c r="M28" i="44"/>
  <c r="M36" i="44"/>
  <c r="M75" i="44"/>
  <c r="M72" i="44"/>
  <c r="M80" i="44"/>
  <c r="M74" i="44"/>
  <c r="M32" i="44"/>
  <c r="M79" i="44"/>
  <c r="M113" i="44"/>
  <c r="M73" i="44"/>
  <c r="M25" i="44"/>
  <c r="M66" i="44"/>
  <c r="M21" i="44"/>
  <c r="L21" i="44" s="1"/>
  <c r="M81" i="44"/>
  <c r="M35" i="44"/>
  <c r="M29" i="44"/>
  <c r="M76" i="44"/>
  <c r="M77" i="44"/>
  <c r="M115" i="44"/>
  <c r="M27" i="44"/>
  <c r="M33" i="44"/>
  <c r="M114" i="44"/>
  <c r="M26" i="44"/>
  <c r="M71" i="44"/>
  <c r="M31" i="44"/>
  <c r="M54" i="44"/>
  <c r="M112" i="44"/>
  <c r="M70" i="44"/>
  <c r="M120" i="44"/>
  <c r="M65" i="44"/>
  <c r="M111" i="44"/>
  <c r="M69" i="44"/>
  <c r="M119" i="44"/>
  <c r="M64" i="44"/>
  <c r="M87" i="44"/>
  <c r="M44" i="44"/>
  <c r="M96" i="44"/>
  <c r="M95" i="44"/>
  <c r="M68" i="44"/>
  <c r="M63" i="44"/>
  <c r="M67" i="44"/>
  <c r="M93" i="44"/>
  <c r="M62" i="44"/>
  <c r="M100" i="44"/>
  <c r="M92" i="44"/>
  <c r="M107" i="44"/>
  <c r="M43" i="44"/>
  <c r="M91" i="44"/>
  <c r="M48" i="44"/>
  <c r="M106" i="44"/>
  <c r="M60" i="44"/>
  <c r="M98" i="44"/>
  <c r="M42" i="44"/>
  <c r="M30" i="44"/>
  <c r="M94" i="44"/>
  <c r="M109" i="44"/>
  <c r="M56" i="44"/>
  <c r="M108" i="44"/>
  <c r="M55" i="44"/>
  <c r="M49" i="44"/>
  <c r="M61" i="44"/>
  <c r="M99" i="44"/>
  <c r="M90" i="44"/>
  <c r="M47" i="44"/>
  <c r="M105" i="44"/>
  <c r="M59" i="44"/>
  <c r="M97" i="44"/>
  <c r="M41" i="44"/>
  <c r="M102" i="44"/>
  <c r="M52" i="44"/>
  <c r="M118" i="44"/>
  <c r="M50" i="44"/>
  <c r="M53" i="44"/>
  <c r="M110" i="44"/>
  <c r="M51" i="44"/>
  <c r="M117" i="44"/>
  <c r="M89" i="44"/>
  <c r="M46" i="44"/>
  <c r="M104" i="44"/>
  <c r="M58" i="44"/>
  <c r="M85" i="44"/>
  <c r="M40" i="44"/>
  <c r="M88" i="44"/>
  <c r="M45" i="44"/>
  <c r="M103" i="44"/>
  <c r="M57" i="44"/>
  <c r="M84" i="44"/>
  <c r="M39" i="44"/>
  <c r="M86" i="44"/>
  <c r="M78" i="44"/>
  <c r="M37" i="44"/>
  <c r="M116" i="44"/>
  <c r="M82" i="44"/>
  <c r="G10" i="85"/>
  <c r="M10" i="85"/>
  <c r="N10" i="85" s="1"/>
  <c r="O10" i="85" s="1"/>
  <c r="P10" i="85" s="1"/>
  <c r="Q10" i="85" s="1"/>
  <c r="R10" i="85" s="1"/>
  <c r="S10" i="85" s="1"/>
  <c r="T10" i="85" s="1"/>
  <c r="U10" i="85" s="1"/>
  <c r="V10" i="85" s="1"/>
  <c r="W10" i="85" s="1"/>
  <c r="X10" i="85" s="1"/>
  <c r="Y10" i="85" s="1"/>
  <c r="Z10" i="85" s="1"/>
  <c r="AA10" i="85" s="1"/>
  <c r="AB10" i="85" s="1"/>
  <c r="AC10" i="85" s="1"/>
  <c r="AD10" i="85" s="1"/>
  <c r="AE10" i="85" s="1"/>
  <c r="AF10" i="85" s="1"/>
  <c r="AG10" i="85" s="1"/>
  <c r="AH10" i="85" s="1"/>
  <c r="AI10" i="85" s="1"/>
  <c r="AJ10" i="85" s="1"/>
  <c r="AK10" i="85" s="1"/>
  <c r="AL10" i="85" s="1"/>
  <c r="AM10" i="85" s="1"/>
  <c r="AN10" i="85" s="1"/>
  <c r="AO10" i="85" s="1"/>
  <c r="AP10" i="85" s="1"/>
  <c r="AQ10" i="85" s="1"/>
  <c r="AS10" i="85"/>
  <c r="AT10" i="85" s="1"/>
  <c r="AU10" i="85" s="1"/>
  <c r="AV10" i="85" s="1"/>
  <c r="AW10" i="85" s="1"/>
  <c r="AX10" i="85" s="1"/>
  <c r="AY10" i="85" s="1"/>
  <c r="AZ10" i="85" s="1"/>
  <c r="BA10" i="85" s="1"/>
  <c r="BB10" i="85" s="1"/>
  <c r="BC10" i="85" s="1"/>
  <c r="BD10" i="85" s="1"/>
  <c r="BE10" i="85" s="1"/>
  <c r="BF10" i="85" s="1"/>
  <c r="BG10" i="85" s="1"/>
  <c r="BH10" i="85" s="1"/>
  <c r="BI10" i="85" s="1"/>
  <c r="BJ10" i="85" s="1"/>
  <c r="BK10" i="85" s="1"/>
  <c r="BL10" i="85" s="1"/>
  <c r="BM10" i="85" s="1"/>
  <c r="BN10" i="85" s="1"/>
  <c r="BO10" i="85" s="1"/>
  <c r="BP10" i="85" s="1"/>
  <c r="BQ10" i="85" s="1"/>
  <c r="BR10" i="85" s="1"/>
  <c r="BS10" i="85" s="1"/>
  <c r="BT10" i="85" s="1"/>
  <c r="BU10" i="85" s="1"/>
  <c r="BV10" i="85" s="1"/>
  <c r="BW10" i="85" s="1"/>
  <c r="G11" i="85"/>
  <c r="G13" i="85"/>
  <c r="G20" i="85"/>
  <c r="G22" i="85"/>
  <c r="M29" i="85"/>
  <c r="N29" i="85" s="1"/>
  <c r="O29" i="85" s="1"/>
  <c r="P29" i="85" s="1"/>
  <c r="Q29" i="85" s="1"/>
  <c r="R29" i="85" s="1"/>
  <c r="S29" i="85" s="1"/>
  <c r="T29" i="85" s="1"/>
  <c r="U29" i="85" s="1"/>
  <c r="V29" i="85" s="1"/>
  <c r="W29" i="85" s="1"/>
  <c r="X29" i="85" s="1"/>
  <c r="Y29" i="85" s="1"/>
  <c r="Z29" i="85" s="1"/>
  <c r="AA29" i="85" s="1"/>
  <c r="AB29" i="85" s="1"/>
  <c r="AC29" i="85" s="1"/>
  <c r="AD29" i="85" s="1"/>
  <c r="AE29" i="85" s="1"/>
  <c r="AF29" i="85" s="1"/>
  <c r="AG29" i="85" s="1"/>
  <c r="AH29" i="85" s="1"/>
  <c r="AI29" i="85" s="1"/>
  <c r="AJ29" i="85" s="1"/>
  <c r="AK29" i="85" s="1"/>
  <c r="AL29" i="85" s="1"/>
  <c r="AM29" i="85" s="1"/>
  <c r="AN29" i="85" s="1"/>
  <c r="AO29" i="85" s="1"/>
  <c r="AP29" i="85" s="1"/>
  <c r="AQ29" i="85" s="1"/>
  <c r="M49" i="85"/>
  <c r="N49" i="85" s="1"/>
  <c r="O49" i="85" s="1"/>
  <c r="P49" i="85" s="1"/>
  <c r="Q49" i="85" s="1"/>
  <c r="R49" i="85" s="1"/>
  <c r="S49" i="85" s="1"/>
  <c r="T49" i="85" s="1"/>
  <c r="U49" i="85" s="1"/>
  <c r="V49" i="85" s="1"/>
  <c r="W49" i="85" s="1"/>
  <c r="X49" i="85" s="1"/>
  <c r="Y49" i="85" s="1"/>
  <c r="Z49" i="85" s="1"/>
  <c r="AA49" i="85" s="1"/>
  <c r="AB49" i="85" s="1"/>
  <c r="AC49" i="85" s="1"/>
  <c r="AD49" i="85" s="1"/>
  <c r="AE49" i="85" s="1"/>
  <c r="AF49" i="85" s="1"/>
  <c r="AG49" i="85" s="1"/>
  <c r="AH49" i="85" s="1"/>
  <c r="AI49" i="85" s="1"/>
  <c r="AJ49" i="85" s="1"/>
  <c r="AK49" i="85" s="1"/>
  <c r="AL49" i="85" s="1"/>
  <c r="AM49" i="85" s="1"/>
  <c r="AN49" i="85" s="1"/>
  <c r="AO49" i="85" s="1"/>
  <c r="AP49" i="85" s="1"/>
  <c r="AQ49" i="85" s="1"/>
  <c r="M100" i="85"/>
  <c r="N100" i="85" s="1"/>
  <c r="O100" i="85" s="1"/>
  <c r="P100" i="85" s="1"/>
  <c r="Q100" i="85" s="1"/>
  <c r="R100" i="85" s="1"/>
  <c r="S100" i="85" s="1"/>
  <c r="T100" i="85" s="1"/>
  <c r="U100" i="85" s="1"/>
  <c r="V100" i="85" s="1"/>
  <c r="W100" i="85" s="1"/>
  <c r="X100" i="85" s="1"/>
  <c r="Y100" i="85" s="1"/>
  <c r="Z100" i="85" s="1"/>
  <c r="AA100" i="85" s="1"/>
  <c r="AB100" i="85" s="1"/>
  <c r="AC100" i="85" s="1"/>
  <c r="AD100" i="85" s="1"/>
  <c r="AE100" i="85" s="1"/>
  <c r="AF100" i="85" s="1"/>
  <c r="AG100" i="85" s="1"/>
  <c r="AH100" i="85" s="1"/>
  <c r="AI100" i="85" s="1"/>
  <c r="AJ100" i="85" s="1"/>
  <c r="AK100" i="85" s="1"/>
  <c r="AL100" i="85" s="1"/>
  <c r="AM100" i="85" s="1"/>
  <c r="AN100" i="85" s="1"/>
  <c r="AO100" i="85" s="1"/>
  <c r="AP100" i="85" s="1"/>
  <c r="AQ100" i="85" s="1"/>
  <c r="AS100" i="85"/>
  <c r="AT100" i="85" s="1"/>
  <c r="AU100" i="85" s="1"/>
  <c r="AV100" i="85" s="1"/>
  <c r="AW100" i="85" s="1"/>
  <c r="AX100" i="85" s="1"/>
  <c r="AY100" i="85" s="1"/>
  <c r="AZ100" i="85" s="1"/>
  <c r="BA100" i="85" s="1"/>
  <c r="BB100" i="85" s="1"/>
  <c r="BC100" i="85" s="1"/>
  <c r="BD100" i="85" s="1"/>
  <c r="BE100" i="85" s="1"/>
  <c r="BF100" i="85" s="1"/>
  <c r="BG100" i="85" s="1"/>
  <c r="BH100" i="85" s="1"/>
  <c r="BI100" i="85" s="1"/>
  <c r="BJ100" i="85" s="1"/>
  <c r="BK100" i="85" s="1"/>
  <c r="BL100" i="85" s="1"/>
  <c r="BM100" i="85" s="1"/>
  <c r="BN100" i="85" s="1"/>
  <c r="BO100" i="85" s="1"/>
  <c r="BP100" i="85" s="1"/>
  <c r="BQ100" i="85" s="1"/>
  <c r="BR100" i="85" s="1"/>
  <c r="BS100" i="85" s="1"/>
  <c r="BT100" i="85" s="1"/>
  <c r="BU100" i="85" s="1"/>
  <c r="BV100" i="85" s="1"/>
  <c r="BW100" i="85" s="1"/>
  <c r="BY100" i="85"/>
  <c r="BZ100" i="85" s="1"/>
  <c r="CA100" i="85" s="1"/>
  <c r="CB100" i="85" s="1"/>
  <c r="CC100" i="85" s="1"/>
  <c r="CD100" i="85" s="1"/>
  <c r="CE100" i="85" s="1"/>
  <c r="CF100" i="85" s="1"/>
  <c r="CG100" i="85" s="1"/>
  <c r="CH100" i="85" s="1"/>
  <c r="CI100" i="85" s="1"/>
  <c r="CJ100" i="85" s="1"/>
  <c r="CK100" i="85" s="1"/>
  <c r="CL100" i="85" s="1"/>
  <c r="CM100" i="85" s="1"/>
  <c r="CN100" i="85" s="1"/>
  <c r="CO100" i="85" s="1"/>
  <c r="CP100" i="85" s="1"/>
  <c r="CQ100" i="85" s="1"/>
  <c r="CR100" i="85" s="1"/>
  <c r="CS100" i="85" s="1"/>
  <c r="CT100" i="85" s="1"/>
  <c r="CU100" i="85" s="1"/>
  <c r="CV100" i="85" s="1"/>
  <c r="CW100" i="85" s="1"/>
  <c r="CX100" i="85" s="1"/>
  <c r="CY100" i="85" s="1"/>
  <c r="CZ100" i="85" s="1"/>
  <c r="DA100" i="85" s="1"/>
  <c r="DB100" i="85" s="1"/>
  <c r="DC100" i="85" s="1"/>
  <c r="M157" i="85"/>
  <c r="N157" i="85" s="1"/>
  <c r="O157" i="85" s="1"/>
  <c r="P157" i="85" s="1"/>
  <c r="Q157" i="85" s="1"/>
  <c r="R157" i="85" s="1"/>
  <c r="S157" i="85" s="1"/>
  <c r="T157" i="85" s="1"/>
  <c r="U157" i="85" s="1"/>
  <c r="V157" i="85" s="1"/>
  <c r="W157" i="85" s="1"/>
  <c r="X157" i="85" s="1"/>
  <c r="Y157" i="85" s="1"/>
  <c r="Z157" i="85" s="1"/>
  <c r="AA157" i="85" s="1"/>
  <c r="AB157" i="85" s="1"/>
  <c r="AC157" i="85" s="1"/>
  <c r="AD157" i="85" s="1"/>
  <c r="AE157" i="85" s="1"/>
  <c r="AF157" i="85" s="1"/>
  <c r="AG157" i="85" s="1"/>
  <c r="AH157" i="85" s="1"/>
  <c r="AI157" i="85" s="1"/>
  <c r="AJ157" i="85" s="1"/>
  <c r="AK157" i="85" s="1"/>
  <c r="AL157" i="85" s="1"/>
  <c r="AM157" i="85" s="1"/>
  <c r="AN157" i="85" s="1"/>
  <c r="AO157" i="85" s="1"/>
  <c r="AP157" i="85" s="1"/>
  <c r="AQ157" i="85" s="1"/>
  <c r="K134" i="50" a="1"/>
  <c r="K134" i="50" s="1"/>
  <c r="K133" i="50" a="1"/>
  <c r="K133" i="50" s="1"/>
  <c r="K132" i="50" a="1"/>
  <c r="K132" i="50" s="1"/>
  <c r="K131" i="50" a="1"/>
  <c r="K131" i="50" s="1"/>
  <c r="K130" i="50" a="1"/>
  <c r="K130" i="50" s="1"/>
  <c r="K129" i="50" a="1"/>
  <c r="K129" i="50" s="1"/>
  <c r="K128" i="50" a="1"/>
  <c r="K128" i="50" s="1"/>
  <c r="K127" i="50" a="1"/>
  <c r="K127" i="50" s="1"/>
  <c r="K126" i="50" a="1"/>
  <c r="K126" i="50" s="1"/>
  <c r="K125" i="50" a="1"/>
  <c r="K125" i="50" s="1"/>
  <c r="K124" i="50" a="1"/>
  <c r="K124" i="50" s="1"/>
  <c r="K123" i="50" a="1"/>
  <c r="K123" i="50" s="1"/>
  <c r="C12" i="45" l="1"/>
  <c r="E22" i="44" l="1" a="1"/>
  <c r="E22" i="44" s="1"/>
  <c r="M22" i="44" a="1"/>
  <c r="M22" i="44" l="1"/>
  <c r="D11" i="79"/>
  <c r="D14" i="79"/>
  <c r="M22" i="83" l="1"/>
  <c r="N22" i="83" s="1"/>
  <c r="O22" i="83" s="1"/>
  <c r="P22" i="83" s="1"/>
  <c r="Q22" i="83" s="1"/>
  <c r="R22" i="83" s="1"/>
  <c r="S22" i="83" s="1"/>
  <c r="T22" i="83" s="1"/>
  <c r="U22" i="83" s="1"/>
  <c r="V22" i="83" s="1"/>
  <c r="W22" i="83" s="1"/>
  <c r="X22" i="83" s="1"/>
  <c r="Y22" i="83" s="1"/>
  <c r="Z22" i="83" s="1"/>
  <c r="AA22" i="83" s="1"/>
  <c r="AB22" i="83" s="1"/>
  <c r="AC22" i="83" s="1"/>
  <c r="AD22" i="83" s="1"/>
  <c r="AE22" i="83" s="1"/>
  <c r="AF22" i="83" s="1"/>
  <c r="AG22" i="83" s="1"/>
  <c r="AH22" i="83" s="1"/>
  <c r="AI22" i="83" s="1"/>
  <c r="AJ22" i="83" s="1"/>
  <c r="AK22" i="83" s="1"/>
  <c r="AL22" i="83" s="1"/>
  <c r="AM22" i="83" s="1"/>
  <c r="AN22" i="83" s="1"/>
  <c r="AO22" i="83" s="1"/>
  <c r="AP22" i="83" s="1"/>
  <c r="AQ22" i="83" s="1"/>
  <c r="F77" i="50" l="1" a="1"/>
  <c r="F77" i="50" s="1"/>
  <c r="D35" i="94"/>
  <c r="D34" i="94"/>
  <c r="D33" i="94"/>
  <c r="D32" i="94"/>
  <c r="D31" i="94"/>
  <c r="D30" i="94"/>
  <c r="D29" i="94"/>
  <c r="D28" i="94"/>
  <c r="D27" i="94"/>
  <c r="D26" i="94"/>
  <c r="D25" i="94"/>
  <c r="D24" i="94"/>
  <c r="D23" i="94"/>
  <c r="D22" i="94"/>
  <c r="D21" i="94"/>
  <c r="D20" i="94"/>
  <c r="D19" i="94"/>
  <c r="D18" i="94"/>
  <c r="D17" i="94"/>
  <c r="D16" i="94"/>
  <c r="D15" i="94"/>
  <c r="D14" i="94"/>
  <c r="D13" i="94"/>
  <c r="D12" i="94"/>
  <c r="GK10" i="94"/>
  <c r="GL10" i="94" s="1"/>
  <c r="GM10" i="94" s="1"/>
  <c r="GN10" i="94" s="1"/>
  <c r="GO10" i="94" s="1"/>
  <c r="GP10" i="94" s="1"/>
  <c r="GQ10" i="94" s="1"/>
  <c r="GR10" i="94" s="1"/>
  <c r="GS10" i="94" s="1"/>
  <c r="GT10" i="94" s="1"/>
  <c r="GU10" i="94" s="1"/>
  <c r="GV10" i="94" s="1"/>
  <c r="GW10" i="94" s="1"/>
  <c r="GX10" i="94" s="1"/>
  <c r="GY10" i="94" s="1"/>
  <c r="GZ10" i="94" s="1"/>
  <c r="HA10" i="94" s="1"/>
  <c r="HB10" i="94" s="1"/>
  <c r="HC10" i="94" s="1"/>
  <c r="HD10" i="94" s="1"/>
  <c r="HE10" i="94" s="1"/>
  <c r="HF10" i="94" s="1"/>
  <c r="HG10" i="94" s="1"/>
  <c r="HH10" i="94" s="1"/>
  <c r="HI10" i="94" s="1"/>
  <c r="HJ10" i="94" s="1"/>
  <c r="HK10" i="94" s="1"/>
  <c r="HL10" i="94" s="1"/>
  <c r="HM10" i="94" s="1"/>
  <c r="HN10" i="94" s="1"/>
  <c r="HO10" i="94" s="1"/>
  <c r="FE10" i="94"/>
  <c r="FF10" i="94" s="1"/>
  <c r="FG10" i="94" s="1"/>
  <c r="FH10" i="94" s="1"/>
  <c r="FI10" i="94" s="1"/>
  <c r="FJ10" i="94" s="1"/>
  <c r="FK10" i="94" s="1"/>
  <c r="FL10" i="94" s="1"/>
  <c r="FM10" i="94" s="1"/>
  <c r="FN10" i="94" s="1"/>
  <c r="FO10" i="94" s="1"/>
  <c r="FP10" i="94" s="1"/>
  <c r="FQ10" i="94" s="1"/>
  <c r="FR10" i="94" s="1"/>
  <c r="FS10" i="94" s="1"/>
  <c r="FT10" i="94" s="1"/>
  <c r="FU10" i="94" s="1"/>
  <c r="FV10" i="94" s="1"/>
  <c r="FW10" i="94" s="1"/>
  <c r="FX10" i="94" s="1"/>
  <c r="FY10" i="94" s="1"/>
  <c r="FZ10" i="94" s="1"/>
  <c r="GA10" i="94" s="1"/>
  <c r="GB10" i="94" s="1"/>
  <c r="GC10" i="94" s="1"/>
  <c r="GD10" i="94" s="1"/>
  <c r="GE10" i="94" s="1"/>
  <c r="GF10" i="94" s="1"/>
  <c r="GG10" i="94" s="1"/>
  <c r="GH10" i="94" s="1"/>
  <c r="GI10" i="94" s="1"/>
  <c r="DY10" i="94"/>
  <c r="DZ10" i="94" s="1"/>
  <c r="EA10" i="94" s="1"/>
  <c r="EB10" i="94" s="1"/>
  <c r="EC10" i="94" s="1"/>
  <c r="ED10" i="94" s="1"/>
  <c r="EE10" i="94" s="1"/>
  <c r="EF10" i="94" s="1"/>
  <c r="EG10" i="94" s="1"/>
  <c r="EH10" i="94" s="1"/>
  <c r="EI10" i="94" s="1"/>
  <c r="EJ10" i="94" s="1"/>
  <c r="EK10" i="94" s="1"/>
  <c r="EL10" i="94" s="1"/>
  <c r="EM10" i="94" s="1"/>
  <c r="EN10" i="94" s="1"/>
  <c r="EO10" i="94" s="1"/>
  <c r="EP10" i="94" s="1"/>
  <c r="EQ10" i="94" s="1"/>
  <c r="ER10" i="94" s="1"/>
  <c r="ES10" i="94" s="1"/>
  <c r="ET10" i="94" s="1"/>
  <c r="EU10" i="94" s="1"/>
  <c r="EV10" i="94" s="1"/>
  <c r="EW10" i="94" s="1"/>
  <c r="EX10" i="94" s="1"/>
  <c r="EY10" i="94" s="1"/>
  <c r="EZ10" i="94" s="1"/>
  <c r="FA10" i="94" s="1"/>
  <c r="FB10" i="94" s="1"/>
  <c r="FC10" i="94" s="1"/>
  <c r="CS10" i="94"/>
  <c r="CT10" i="94" s="1"/>
  <c r="CU10" i="94" s="1"/>
  <c r="CV10" i="94" s="1"/>
  <c r="CW10" i="94" s="1"/>
  <c r="CX10" i="94" s="1"/>
  <c r="CY10" i="94" s="1"/>
  <c r="CZ10" i="94" s="1"/>
  <c r="DA10" i="94" s="1"/>
  <c r="DB10" i="94" s="1"/>
  <c r="DC10" i="94" s="1"/>
  <c r="DD10" i="94" s="1"/>
  <c r="DE10" i="94" s="1"/>
  <c r="DF10" i="94" s="1"/>
  <c r="DG10" i="94" s="1"/>
  <c r="DH10" i="94" s="1"/>
  <c r="DI10" i="94" s="1"/>
  <c r="DJ10" i="94" s="1"/>
  <c r="DK10" i="94" s="1"/>
  <c r="DL10" i="94" s="1"/>
  <c r="DM10" i="94" s="1"/>
  <c r="DN10" i="94" s="1"/>
  <c r="DO10" i="94" s="1"/>
  <c r="DP10" i="94" s="1"/>
  <c r="DQ10" i="94" s="1"/>
  <c r="DR10" i="94" s="1"/>
  <c r="DS10" i="94" s="1"/>
  <c r="DT10" i="94" s="1"/>
  <c r="DU10" i="94" s="1"/>
  <c r="DV10" i="94" s="1"/>
  <c r="DW10" i="94" s="1"/>
  <c r="BM10" i="94"/>
  <c r="BN10" i="94" s="1"/>
  <c r="BO10" i="94" s="1"/>
  <c r="BP10" i="94" s="1"/>
  <c r="BQ10" i="94" s="1"/>
  <c r="BR10" i="94" s="1"/>
  <c r="BS10" i="94" s="1"/>
  <c r="BT10" i="94" s="1"/>
  <c r="BU10" i="94" s="1"/>
  <c r="BV10" i="94" s="1"/>
  <c r="BW10" i="94" s="1"/>
  <c r="BX10" i="94" s="1"/>
  <c r="BY10" i="94" s="1"/>
  <c r="BZ10" i="94" s="1"/>
  <c r="CA10" i="94" s="1"/>
  <c r="CB10" i="94" s="1"/>
  <c r="CC10" i="94" s="1"/>
  <c r="CD10" i="94" s="1"/>
  <c r="CE10" i="94" s="1"/>
  <c r="CF10" i="94" s="1"/>
  <c r="CG10" i="94" s="1"/>
  <c r="CH10" i="94" s="1"/>
  <c r="CI10" i="94" s="1"/>
  <c r="CJ10" i="94" s="1"/>
  <c r="CK10" i="94" s="1"/>
  <c r="CL10" i="94" s="1"/>
  <c r="CM10" i="94" s="1"/>
  <c r="CN10" i="94" s="1"/>
  <c r="CO10" i="94" s="1"/>
  <c r="CP10" i="94" s="1"/>
  <c r="CQ10" i="94" s="1"/>
  <c r="AG10" i="94"/>
  <c r="AH10" i="94" s="1"/>
  <c r="AI10" i="94" s="1"/>
  <c r="AJ10" i="94" s="1"/>
  <c r="AK10" i="94" s="1"/>
  <c r="AL10" i="94" s="1"/>
  <c r="AM10" i="94" s="1"/>
  <c r="AN10" i="94" s="1"/>
  <c r="AO10" i="94" s="1"/>
  <c r="AP10" i="94" s="1"/>
  <c r="AQ10" i="94" s="1"/>
  <c r="AR10" i="94" s="1"/>
  <c r="AS10" i="94" s="1"/>
  <c r="AT10" i="94" s="1"/>
  <c r="AU10" i="94" s="1"/>
  <c r="AV10" i="94" s="1"/>
  <c r="AW10" i="94" s="1"/>
  <c r="AX10" i="94" s="1"/>
  <c r="AY10" i="94" s="1"/>
  <c r="AZ10" i="94" s="1"/>
  <c r="BA10" i="94" s="1"/>
  <c r="BB10" i="94" s="1"/>
  <c r="BC10" i="94" s="1"/>
  <c r="BD10" i="94" s="1"/>
  <c r="BE10" i="94" s="1"/>
  <c r="BF10" i="94" s="1"/>
  <c r="BG10" i="94" s="1"/>
  <c r="BH10" i="94" s="1"/>
  <c r="BI10" i="94" s="1"/>
  <c r="BJ10" i="94" s="1"/>
  <c r="BK10" i="94" s="1"/>
  <c r="D10" i="94"/>
  <c r="D21" i="79"/>
  <c r="D22" i="79"/>
  <c r="D23" i="79"/>
  <c r="D24" i="79"/>
  <c r="D25" i="79"/>
  <c r="D26" i="79"/>
  <c r="D27" i="79"/>
  <c r="D28" i="79"/>
  <c r="D29" i="79"/>
  <c r="D30" i="79"/>
  <c r="D31" i="79"/>
  <c r="D32" i="79"/>
  <c r="D33" i="79"/>
  <c r="D34" i="79"/>
  <c r="D35" i="79"/>
  <c r="D11" i="78"/>
  <c r="D12" i="78"/>
  <c r="D13" i="78"/>
  <c r="D14" i="78"/>
  <c r="D16" i="78"/>
  <c r="D17" i="78"/>
  <c r="D18" i="78"/>
  <c r="D19" i="78"/>
  <c r="D20" i="78"/>
  <c r="F12" i="53" l="1"/>
  <c r="F13" i="53"/>
  <c r="F14" i="53"/>
  <c r="F15" i="53"/>
  <c r="F16" i="53"/>
  <c r="M10" i="49"/>
  <c r="N10" i="49" s="1"/>
  <c r="O10" i="49" s="1"/>
  <c r="P10" i="49" s="1"/>
  <c r="Q10" i="49" s="1"/>
  <c r="R10" i="49" s="1"/>
  <c r="S10" i="49" s="1"/>
  <c r="T10" i="49" s="1"/>
  <c r="U10" i="49" s="1"/>
  <c r="V10" i="49" s="1"/>
  <c r="W10" i="49" s="1"/>
  <c r="X10" i="49" s="1"/>
  <c r="Y10" i="49" s="1"/>
  <c r="Z10" i="49" s="1"/>
  <c r="AA10" i="49" s="1"/>
  <c r="AB10" i="49" s="1"/>
  <c r="AC10" i="49" s="1"/>
  <c r="AD10" i="49" s="1"/>
  <c r="AE10" i="49" s="1"/>
  <c r="AF10" i="49" s="1"/>
  <c r="AG10" i="49" s="1"/>
  <c r="AH10" i="49" s="1"/>
  <c r="AI10" i="49" s="1"/>
  <c r="AJ10" i="49" s="1"/>
  <c r="AK10" i="49" s="1"/>
  <c r="AL10" i="49" s="1"/>
  <c r="AM10" i="49" s="1"/>
  <c r="AN10" i="49" s="1"/>
  <c r="AO10" i="49" s="1"/>
  <c r="AP10" i="49" s="1"/>
  <c r="AQ10" i="49" s="1"/>
  <c r="DI10" i="93"/>
  <c r="DJ10" i="93" s="1"/>
  <c r="DK10" i="93" s="1"/>
  <c r="DL10" i="93" s="1"/>
  <c r="DM10" i="93" s="1"/>
  <c r="DN10" i="93" s="1"/>
  <c r="DO10" i="93" s="1"/>
  <c r="DP10" i="93" s="1"/>
  <c r="DQ10" i="93" s="1"/>
  <c r="DR10" i="93" s="1"/>
  <c r="DS10" i="93" s="1"/>
  <c r="DT10" i="93" s="1"/>
  <c r="DU10" i="93" s="1"/>
  <c r="DV10" i="93" s="1"/>
  <c r="DW10" i="93" s="1"/>
  <c r="DX10" i="93" s="1"/>
  <c r="DY10" i="93" s="1"/>
  <c r="DZ10" i="93" s="1"/>
  <c r="EA10" i="93" s="1"/>
  <c r="EB10" i="93" s="1"/>
  <c r="EC10" i="93" s="1"/>
  <c r="ED10" i="93" s="1"/>
  <c r="EE10" i="93" s="1"/>
  <c r="EF10" i="93" s="1"/>
  <c r="EG10" i="93" s="1"/>
  <c r="EH10" i="93" s="1"/>
  <c r="EI10" i="93" s="1"/>
  <c r="EJ10" i="93" s="1"/>
  <c r="EK10" i="93" s="1"/>
  <c r="EL10" i="93" s="1"/>
  <c r="EM10" i="93" s="1"/>
  <c r="CC10" i="93"/>
  <c r="CD10" i="93" s="1"/>
  <c r="CE10" i="93" s="1"/>
  <c r="CF10" i="93" s="1"/>
  <c r="CG10" i="93" s="1"/>
  <c r="CH10" i="93" s="1"/>
  <c r="AU10" i="93"/>
  <c r="AV10" i="93" s="1"/>
  <c r="AW10" i="93" s="1"/>
  <c r="AX10" i="93" s="1"/>
  <c r="AY10" i="93" s="1"/>
  <c r="AZ10" i="93" s="1"/>
  <c r="BA10" i="93" s="1"/>
  <c r="BB10" i="93" s="1"/>
  <c r="BC10" i="93" s="1"/>
  <c r="BD10" i="93" s="1"/>
  <c r="BE10" i="93" s="1"/>
  <c r="BF10" i="93" s="1"/>
  <c r="BG10" i="93" s="1"/>
  <c r="BH10" i="93" s="1"/>
  <c r="BI10" i="93" s="1"/>
  <c r="BJ10" i="93" s="1"/>
  <c r="BK10" i="93" s="1"/>
  <c r="BL10" i="93" s="1"/>
  <c r="BM10" i="93" s="1"/>
  <c r="BN10" i="93" s="1"/>
  <c r="BO10" i="93" s="1"/>
  <c r="BP10" i="93" s="1"/>
  <c r="BQ10" i="93" s="1"/>
  <c r="BR10" i="93" s="1"/>
  <c r="BS10" i="93" s="1"/>
  <c r="BT10" i="93" s="1"/>
  <c r="BU10" i="93" s="1"/>
  <c r="BV10" i="93" s="1"/>
  <c r="BW10" i="93" s="1"/>
  <c r="BX10" i="93" s="1"/>
  <c r="BY10" i="93" s="1"/>
  <c r="O10" i="93"/>
  <c r="D10" i="93"/>
  <c r="C55" i="45"/>
  <c r="C56" i="45" s="1"/>
  <c r="C57" i="45" s="1"/>
  <c r="C58" i="45" s="1"/>
  <c r="C59" i="45" s="1"/>
  <c r="C60" i="45" s="1"/>
  <c r="C61" i="45" s="1"/>
  <c r="C62" i="45" s="1"/>
  <c r="C63" i="45" s="1"/>
  <c r="C64" i="45" s="1"/>
  <c r="C65" i="45" s="1"/>
  <c r="C66" i="45" s="1"/>
  <c r="C67" i="45" s="1"/>
  <c r="C68" i="45" s="1"/>
  <c r="C69" i="45" s="1"/>
  <c r="C70" i="45" s="1"/>
  <c r="C71" i="45" s="1"/>
  <c r="C72" i="45" s="1"/>
  <c r="C73" i="45" s="1"/>
  <c r="C74" i="45" s="1"/>
  <c r="C75" i="45" s="1"/>
  <c r="C76" i="45" s="1"/>
  <c r="CI10" i="93" l="1"/>
  <c r="CJ10" i="93" s="1"/>
  <c r="CK10" i="93" s="1"/>
  <c r="CL10" i="93" s="1"/>
  <c r="CM10" i="93" s="1"/>
  <c r="CN10" i="93" s="1"/>
  <c r="CO10" i="93" s="1"/>
  <c r="CP10" i="93" s="1"/>
  <c r="CQ10" i="93" s="1"/>
  <c r="CR10" i="93" s="1"/>
  <c r="CS10" i="93" s="1"/>
  <c r="CT10" i="93" s="1"/>
  <c r="CU10" i="93" s="1"/>
  <c r="CV10" i="93" s="1"/>
  <c r="CW10" i="93" s="1"/>
  <c r="CX10" i="93" s="1"/>
  <c r="CY10" i="93" s="1"/>
  <c r="CZ10" i="93" s="1"/>
  <c r="DA10" i="93" s="1"/>
  <c r="DB10" i="93" s="1"/>
  <c r="DC10" i="93" s="1"/>
  <c r="DD10" i="93" s="1"/>
  <c r="DE10" i="93" s="1"/>
  <c r="DF10" i="93" s="1"/>
  <c r="DG10" i="93" s="1"/>
  <c r="P10" i="93"/>
  <c r="Q10" i="93" s="1"/>
  <c r="R10" i="93" s="1"/>
  <c r="S10" i="93" s="1"/>
  <c r="T10" i="93" s="1"/>
  <c r="U10" i="93" s="1"/>
  <c r="V10" i="93" s="1"/>
  <c r="W10" i="93" s="1"/>
  <c r="X10" i="93" s="1"/>
  <c r="Y10" i="93" s="1"/>
  <c r="Z10" i="93" s="1"/>
  <c r="AA10" i="93" s="1"/>
  <c r="AB10" i="93" s="1"/>
  <c r="AC10" i="93" s="1"/>
  <c r="AD10" i="93" s="1"/>
  <c r="AE10" i="93" s="1"/>
  <c r="AF10" i="93" s="1"/>
  <c r="AG10" i="93" s="1"/>
  <c r="AH10" i="93" s="1"/>
  <c r="AI10" i="93" s="1"/>
  <c r="AJ10" i="93" s="1"/>
  <c r="AK10" i="93" s="1"/>
  <c r="AL10" i="93" s="1"/>
  <c r="AM10" i="93" s="1"/>
  <c r="AN10" i="93" s="1"/>
  <c r="AO10" i="93" s="1"/>
  <c r="AP10" i="93" s="1"/>
  <c r="AQ10" i="93" s="1"/>
  <c r="AR10" i="93" s="1"/>
  <c r="AS10" i="93" s="1"/>
  <c r="E40" i="45"/>
  <c r="E39" i="45"/>
  <c r="E38" i="45"/>
  <c r="E37" i="45"/>
  <c r="D18" i="93"/>
  <c r="D19" i="93"/>
  <c r="D20" i="93"/>
  <c r="E23" i="72" l="1"/>
  <c r="E24" i="72"/>
  <c r="E25" i="72"/>
  <c r="E26" i="72"/>
  <c r="E27" i="72"/>
  <c r="E28" i="72"/>
  <c r="E29" i="72"/>
  <c r="E30" i="72"/>
  <c r="E31" i="72"/>
  <c r="E32" i="72"/>
  <c r="E33" i="72"/>
  <c r="E34" i="72"/>
  <c r="E35" i="72"/>
  <c r="E36" i="72"/>
  <c r="E22" i="72"/>
  <c r="F29" i="50"/>
  <c r="F30" i="50"/>
  <c r="F31" i="50"/>
  <c r="F32" i="50"/>
  <c r="F33" i="50"/>
  <c r="F34" i="50"/>
  <c r="F35" i="50"/>
  <c r="F36" i="50"/>
  <c r="F37" i="50"/>
  <c r="F38" i="50"/>
  <c r="F39" i="50"/>
  <c r="F40" i="50"/>
  <c r="F41" i="50"/>
  <c r="F42" i="50"/>
  <c r="F43" i="50"/>
  <c r="F44" i="50"/>
  <c r="F45" i="50"/>
  <c r="F46" i="50"/>
  <c r="F47" i="50"/>
  <c r="F28" i="50"/>
  <c r="D15" i="79"/>
  <c r="D16" i="79"/>
  <c r="D17" i="79"/>
  <c r="D18" i="79"/>
  <c r="D19" i="79"/>
  <c r="D20" i="79"/>
  <c r="D10" i="79"/>
  <c r="D10" i="77"/>
  <c r="D10" i="76"/>
  <c r="D10" i="78"/>
  <c r="F15" i="83"/>
  <c r="F14" i="83"/>
  <c r="F13" i="83"/>
  <c r="F12" i="83"/>
  <c r="F11" i="83"/>
  <c r="F12" i="52"/>
  <c r="F13" i="52"/>
  <c r="F14" i="52"/>
  <c r="F15" i="52"/>
  <c r="F16" i="52"/>
  <c r="F17" i="52"/>
  <c r="D11" i="49"/>
  <c r="D8" i="51"/>
  <c r="D10" i="51"/>
  <c r="D11" i="51"/>
  <c r="D12" i="51"/>
  <c r="D13" i="51"/>
  <c r="D14" i="51"/>
  <c r="D15" i="51"/>
  <c r="D16" i="51"/>
  <c r="D17" i="51"/>
  <c r="D18" i="51"/>
  <c r="D19" i="51"/>
  <c r="D20" i="51"/>
  <c r="D21" i="51"/>
  <c r="D23" i="51"/>
  <c r="J30" i="53"/>
  <c r="K30" i="53" s="1"/>
  <c r="L30" i="53" s="1"/>
  <c r="M30" i="53" s="1"/>
  <c r="N30" i="53" s="1"/>
  <c r="O30" i="53" s="1"/>
  <c r="P30" i="53" s="1"/>
  <c r="Q30" i="53" s="1"/>
  <c r="R30" i="53" s="1"/>
  <c r="S30" i="53" s="1"/>
  <c r="T30" i="53" s="1"/>
  <c r="U30" i="53" s="1"/>
  <c r="V30" i="53" s="1"/>
  <c r="W30" i="53" s="1"/>
  <c r="X30" i="53" s="1"/>
  <c r="Y30" i="53" s="1"/>
  <c r="Z30" i="53" s="1"/>
  <c r="AA30" i="53" s="1"/>
  <c r="AB30" i="53" s="1"/>
  <c r="AC30" i="53" s="1"/>
  <c r="AD30" i="53" s="1"/>
  <c r="AE30" i="53" s="1"/>
  <c r="AF30" i="53" s="1"/>
  <c r="AG30" i="53" s="1"/>
  <c r="AH30" i="53" s="1"/>
  <c r="AI30" i="53" s="1"/>
  <c r="AJ30" i="53" s="1"/>
  <c r="AK30" i="53" s="1"/>
  <c r="AL30" i="53" s="1"/>
  <c r="AM30" i="53" s="1"/>
  <c r="AN30" i="53" s="1"/>
  <c r="F64" i="50" l="1" a="1"/>
  <c r="F64" i="50" s="1"/>
  <c r="F65" i="50" a="1"/>
  <c r="F65" i="50" s="1"/>
  <c r="F87" i="50" a="1"/>
  <c r="F87" i="50" s="1"/>
  <c r="F60" i="50" a="1"/>
  <c r="F60" i="50" s="1"/>
  <c r="F90" i="50" a="1"/>
  <c r="F90" i="50" s="1"/>
  <c r="F80" i="50" a="1"/>
  <c r="F80" i="50" s="1"/>
  <c r="F55" i="50" a="1"/>
  <c r="F55" i="50" s="1"/>
  <c r="F73" i="50" a="1"/>
  <c r="F73" i="50" s="1"/>
  <c r="F82" i="50" a="1"/>
  <c r="F82" i="50" s="1"/>
  <c r="F83" i="50" a="1"/>
  <c r="F83" i="50" s="1"/>
  <c r="F66" i="50" a="1"/>
  <c r="F66" i="50" s="1"/>
  <c r="F75" i="50" a="1"/>
  <c r="F75" i="50" s="1"/>
  <c r="F67" i="50" a="1"/>
  <c r="F67" i="50" s="1"/>
  <c r="F76" i="50" a="1"/>
  <c r="F76" i="50" s="1"/>
  <c r="F84" i="50" a="1"/>
  <c r="F84" i="50" s="1"/>
  <c r="F56" i="50" a="1"/>
  <c r="F56" i="50" s="1"/>
  <c r="F74" i="50" a="1"/>
  <c r="F74" i="50" s="1"/>
  <c r="F58" i="50" a="1"/>
  <c r="F58" i="50" s="1"/>
  <c r="F68" i="50" a="1"/>
  <c r="F68" i="50" s="1"/>
  <c r="F52" i="50" a="1"/>
  <c r="F52" i="50" s="1"/>
  <c r="F69" i="50" a="1"/>
  <c r="F69" i="50" s="1"/>
  <c r="F53" i="50" a="1"/>
  <c r="F53" i="50" s="1"/>
  <c r="F61" i="50" a="1"/>
  <c r="F61" i="50" s="1"/>
  <c r="F70" i="50" a="1"/>
  <c r="F70" i="50" s="1"/>
  <c r="F88" i="50" a="1"/>
  <c r="F88" i="50" s="1"/>
  <c r="F85" i="50" a="1"/>
  <c r="F85" i="50" s="1"/>
  <c r="F59" i="50" a="1"/>
  <c r="F59" i="50" s="1"/>
  <c r="F62" i="50" a="1"/>
  <c r="F62" i="50" s="1"/>
  <c r="F71" i="50" a="1"/>
  <c r="F71" i="50" s="1"/>
  <c r="F79" i="50" a="1"/>
  <c r="F79" i="50" s="1"/>
  <c r="F89" i="50" a="1"/>
  <c r="F89" i="50" s="1"/>
  <c r="F78" i="50" a="1"/>
  <c r="F78" i="50" s="1"/>
  <c r="F57" i="50" a="1"/>
  <c r="F57" i="50" s="1"/>
  <c r="F86" i="50" a="1"/>
  <c r="F86" i="50" s="1"/>
  <c r="F51" i="50" a="1"/>
  <c r="F51" i="50" s="1"/>
  <c r="F81" i="50" a="1"/>
  <c r="F81" i="50" s="1"/>
  <c r="F54" i="50" a="1"/>
  <c r="F54" i="50" s="1"/>
  <c r="F63" i="50" a="1"/>
  <c r="F63" i="50" s="1"/>
  <c r="F72" i="50" a="1"/>
  <c r="F72" i="50" s="1"/>
  <c r="P55" i="52"/>
  <c r="Q55" i="52" s="1"/>
  <c r="R55" i="52" s="1"/>
  <c r="S55" i="52" s="1"/>
  <c r="T55" i="52" s="1"/>
  <c r="U55" i="52" s="1"/>
  <c r="V55" i="52" s="1"/>
  <c r="W55" i="52" s="1"/>
  <c r="X55" i="52" s="1"/>
  <c r="Y55" i="52" s="1"/>
  <c r="Z55" i="52" s="1"/>
  <c r="AA55" i="52" s="1"/>
  <c r="AB55" i="52" s="1"/>
  <c r="AC55" i="52" s="1"/>
  <c r="AD55" i="52" s="1"/>
  <c r="AE55" i="52" s="1"/>
  <c r="AF55" i="52" s="1"/>
  <c r="AG55" i="52" s="1"/>
  <c r="AH55" i="52" s="1"/>
  <c r="AI55" i="52" s="1"/>
  <c r="AJ55" i="52" s="1"/>
  <c r="AK55" i="52" s="1"/>
  <c r="AL55" i="52" s="1"/>
  <c r="AM55" i="52" s="1"/>
  <c r="AN55" i="52" s="1"/>
  <c r="AO55" i="52" s="1"/>
  <c r="AP55" i="52" s="1"/>
  <c r="AQ55" i="52" s="1"/>
  <c r="AR55" i="52" s="1"/>
  <c r="AS55" i="52" s="1"/>
  <c r="AT55" i="52" s="1"/>
  <c r="D95" i="50" l="1" a="1"/>
  <c r="D95" i="50" s="1"/>
  <c r="C95" i="50" a="1"/>
  <c r="C95" i="50" s="1"/>
  <c r="H95" i="50" s="1"/>
  <c r="H104" i="50" l="1"/>
  <c r="H112" i="50"/>
  <c r="H120" i="50"/>
  <c r="J96" i="50" a="1"/>
  <c r="J96" i="50" s="1"/>
  <c r="H103" i="50"/>
  <c r="H97" i="50"/>
  <c r="H105" i="50"/>
  <c r="H113" i="50"/>
  <c r="H121" i="50"/>
  <c r="H119" i="50"/>
  <c r="H98" i="50"/>
  <c r="H106" i="50"/>
  <c r="H122" i="50"/>
  <c r="H109" i="50"/>
  <c r="H110" i="50"/>
  <c r="H111" i="50"/>
  <c r="H99" i="50"/>
  <c r="H107" i="50"/>
  <c r="H115" i="50"/>
  <c r="H118" i="50"/>
  <c r="H100" i="50"/>
  <c r="H108" i="50"/>
  <c r="H116" i="50"/>
  <c r="H117" i="50"/>
  <c r="H102" i="50"/>
  <c r="H96" i="50"/>
  <c r="H101" i="50"/>
  <c r="J101" i="50" a="1"/>
  <c r="J101" i="50" s="1"/>
  <c r="J106" i="50" a="1"/>
  <c r="J106" i="50" s="1"/>
  <c r="J117" i="50" a="1"/>
  <c r="J117" i="50" s="1"/>
  <c r="J122" i="50" a="1"/>
  <c r="J122" i="50" s="1"/>
  <c r="J107" i="50" a="1"/>
  <c r="J107" i="50" s="1"/>
  <c r="J112" i="50" a="1"/>
  <c r="J112" i="50" s="1"/>
  <c r="J97" i="50" a="1"/>
  <c r="J97" i="50" s="1"/>
  <c r="J102" i="50" a="1"/>
  <c r="J102" i="50" s="1"/>
  <c r="J113" i="50" a="1"/>
  <c r="J113" i="50" s="1"/>
  <c r="J118" i="50" a="1"/>
  <c r="J118" i="50" s="1"/>
  <c r="J103" i="50" a="1"/>
  <c r="J103" i="50" s="1"/>
  <c r="J108" i="50" a="1"/>
  <c r="J108" i="50" s="1"/>
  <c r="J119" i="50" a="1"/>
  <c r="J119" i="50" s="1"/>
  <c r="J109" i="50" a="1"/>
  <c r="J109" i="50" s="1"/>
  <c r="J114" i="50" a="1"/>
  <c r="J114" i="50" s="1"/>
  <c r="J99" i="50" a="1"/>
  <c r="J99" i="50" s="1"/>
  <c r="J104" i="50" a="1"/>
  <c r="J104" i="50" s="1"/>
  <c r="J115" i="50" a="1"/>
  <c r="J115" i="50" s="1"/>
  <c r="J120" i="50" a="1"/>
  <c r="J120" i="50" s="1"/>
  <c r="J105" i="50" a="1"/>
  <c r="J105" i="50" s="1"/>
  <c r="J110" i="50" a="1"/>
  <c r="J110" i="50" s="1"/>
  <c r="J121" i="50" a="1"/>
  <c r="J121" i="50" s="1"/>
  <c r="J100" i="50" a="1"/>
  <c r="J100" i="50" s="1"/>
  <c r="J111" i="50" a="1"/>
  <c r="J111" i="50" s="1"/>
  <c r="J116" i="50" a="1"/>
  <c r="J116" i="50" s="1"/>
  <c r="K120" i="50" a="1"/>
  <c r="K120" i="50" s="1"/>
  <c r="K119" i="50" a="1"/>
  <c r="K119" i="50" s="1"/>
  <c r="K118" i="50" a="1"/>
  <c r="K118" i="50" s="1"/>
  <c r="K122" i="50" a="1"/>
  <c r="K122" i="50" s="1"/>
  <c r="K121" i="50" a="1"/>
  <c r="K121" i="50" s="1"/>
  <c r="K117" i="50" a="1"/>
  <c r="K117" i="50" s="1"/>
  <c r="K116" i="50" a="1"/>
  <c r="K116" i="50" s="1"/>
  <c r="K114" i="50" a="1"/>
  <c r="K114" i="50" s="1"/>
  <c r="K112" i="50" a="1"/>
  <c r="K112" i="50" s="1"/>
  <c r="K110" i="50" a="1"/>
  <c r="K110" i="50" s="1"/>
  <c r="K108" i="50" a="1"/>
  <c r="K108" i="50" s="1"/>
  <c r="K106" i="50" a="1"/>
  <c r="K106" i="50" s="1"/>
  <c r="K104" i="50" a="1"/>
  <c r="K104" i="50" s="1"/>
  <c r="K102" i="50" a="1"/>
  <c r="K102" i="50" s="1"/>
  <c r="K100" i="50" a="1"/>
  <c r="K100" i="50" s="1"/>
  <c r="K98" i="50" a="1"/>
  <c r="K98" i="50" s="1"/>
  <c r="K96" i="50" a="1"/>
  <c r="K96" i="50" s="1"/>
  <c r="K115" i="50" a="1"/>
  <c r="K115" i="50" s="1"/>
  <c r="K113" i="50" a="1"/>
  <c r="K113" i="50" s="1"/>
  <c r="K111" i="50" a="1"/>
  <c r="K111" i="50" s="1"/>
  <c r="K109" i="50" a="1"/>
  <c r="K109" i="50" s="1"/>
  <c r="K107" i="50" a="1"/>
  <c r="K107" i="50" s="1"/>
  <c r="K105" i="50" a="1"/>
  <c r="K105" i="50" s="1"/>
  <c r="K103" i="50" a="1"/>
  <c r="K103" i="50" s="1"/>
  <c r="K101" i="50" a="1"/>
  <c r="K101" i="50" s="1"/>
  <c r="K99" i="50" a="1"/>
  <c r="K99" i="50" s="1"/>
  <c r="K97" i="50" a="1"/>
  <c r="K97" i="50" s="1"/>
  <c r="U8" i="79" a="1"/>
  <c r="U8" i="79" s="1"/>
  <c r="H8" i="93" l="1" a="1"/>
  <c r="H8" i="93" s="1"/>
  <c r="U8" i="106" a="1"/>
  <c r="U8" i="106" s="1"/>
  <c r="N8" i="107" a="1"/>
  <c r="N8" i="107" s="1"/>
  <c r="N8" i="106" a="1"/>
  <c r="N8" i="106" s="1"/>
  <c r="N8" i="79" a="1"/>
  <c r="N8" i="79" s="1"/>
  <c r="N8" i="94" a="1"/>
  <c r="N8" i="94" s="1"/>
  <c r="U8" i="94" a="1"/>
  <c r="U8" i="94" s="1"/>
  <c r="U8" i="77" a="1"/>
  <c r="U8" i="77" s="1"/>
  <c r="N8" i="77" a="1"/>
  <c r="N8" i="77" s="1"/>
  <c r="J95" i="50" a="1"/>
  <c r="J95" i="50" s="1"/>
  <c r="K95" i="50" a="1"/>
  <c r="K95" i="50" s="1"/>
  <c r="U8" i="107" a="1"/>
  <c r="U8" i="107" s="1"/>
  <c r="N8" i="78" a="1"/>
  <c r="N8" i="78" s="1"/>
  <c r="U8" i="76" l="1" a="1"/>
  <c r="U8" i="76" s="1"/>
  <c r="U8" i="78" a="1"/>
  <c r="U8" i="78" s="1"/>
  <c r="W8" i="75" a="1"/>
  <c r="W8" i="75" s="1"/>
  <c r="E8" i="70" l="1"/>
  <c r="F8" i="70" s="1"/>
  <c r="G8" i="70" s="1"/>
  <c r="H8" i="70" s="1"/>
  <c r="I8" i="70" s="1"/>
  <c r="J8" i="70" s="1"/>
  <c r="K8" i="70" s="1"/>
  <c r="L8" i="70" s="1"/>
  <c r="M8" i="70" s="1"/>
  <c r="N8" i="70" s="1"/>
  <c r="O8" i="70" s="1"/>
  <c r="P8" i="70" s="1"/>
  <c r="Q8" i="70" s="1"/>
  <c r="R8" i="70" s="1"/>
  <c r="S8" i="70" s="1"/>
  <c r="T8" i="70" s="1"/>
  <c r="U8" i="70" s="1"/>
  <c r="V8" i="70" s="1"/>
  <c r="W8" i="70" s="1"/>
  <c r="X8" i="70" s="1"/>
  <c r="Y8" i="70" s="1"/>
  <c r="Z8" i="70" s="1"/>
  <c r="AA8" i="70" s="1"/>
  <c r="M59" i="83"/>
  <c r="N59" i="83" s="1"/>
  <c r="O59" i="83" s="1"/>
  <c r="P59" i="83" s="1"/>
  <c r="Q59" i="83" s="1"/>
  <c r="R59" i="83" s="1"/>
  <c r="S59" i="83" s="1"/>
  <c r="T59" i="83" s="1"/>
  <c r="U59" i="83" s="1"/>
  <c r="V59" i="83" s="1"/>
  <c r="W59" i="83" s="1"/>
  <c r="X59" i="83" s="1"/>
  <c r="Y59" i="83" s="1"/>
  <c r="Z59" i="83" s="1"/>
  <c r="AA59" i="83" s="1"/>
  <c r="AB59" i="83" s="1"/>
  <c r="AC59" i="83" s="1"/>
  <c r="AD59" i="83" s="1"/>
  <c r="AE59" i="83" s="1"/>
  <c r="AF59" i="83" s="1"/>
  <c r="AG59" i="83" s="1"/>
  <c r="AH59" i="83" s="1"/>
  <c r="AI59" i="83" s="1"/>
  <c r="AJ59" i="83" s="1"/>
  <c r="AK59" i="83" s="1"/>
  <c r="AL59" i="83" s="1"/>
  <c r="AM59" i="83" s="1"/>
  <c r="AN59" i="83" s="1"/>
  <c r="AO59" i="83" s="1"/>
  <c r="AP59" i="83" s="1"/>
  <c r="AQ59" i="83" s="1"/>
  <c r="AS10" i="83"/>
  <c r="AT10" i="83" s="1"/>
  <c r="AU10" i="83" s="1"/>
  <c r="AV10" i="83" s="1"/>
  <c r="AW10" i="83" s="1"/>
  <c r="AX10" i="83" s="1"/>
  <c r="AY10" i="83" s="1"/>
  <c r="AZ10" i="83" s="1"/>
  <c r="BA10" i="83" s="1"/>
  <c r="BB10" i="83" s="1"/>
  <c r="BC10" i="83" s="1"/>
  <c r="BD10" i="83" s="1"/>
  <c r="BE10" i="83" s="1"/>
  <c r="BF10" i="83" s="1"/>
  <c r="BG10" i="83" s="1"/>
  <c r="BH10" i="83" s="1"/>
  <c r="BI10" i="83" s="1"/>
  <c r="BJ10" i="83" s="1"/>
  <c r="BK10" i="83" s="1"/>
  <c r="BL10" i="83" s="1"/>
  <c r="BM10" i="83" s="1"/>
  <c r="BN10" i="83" s="1"/>
  <c r="BO10" i="83" s="1"/>
  <c r="BP10" i="83" s="1"/>
  <c r="BQ10" i="83" s="1"/>
  <c r="BR10" i="83" s="1"/>
  <c r="BS10" i="83" s="1"/>
  <c r="BT10" i="83" s="1"/>
  <c r="BU10" i="83" s="1"/>
  <c r="BV10" i="83" s="1"/>
  <c r="BW10" i="83" s="1"/>
  <c r="M10" i="83"/>
  <c r="N10" i="83" s="1"/>
  <c r="O10" i="83" s="1"/>
  <c r="P10" i="83" s="1"/>
  <c r="Q10" i="83" s="1"/>
  <c r="R10" i="83" s="1"/>
  <c r="S10" i="83" s="1"/>
  <c r="T10" i="83" s="1"/>
  <c r="U10" i="83" s="1"/>
  <c r="V10" i="83" s="1"/>
  <c r="W10" i="83" s="1"/>
  <c r="X10" i="83" s="1"/>
  <c r="Y10" i="83" s="1"/>
  <c r="Z10" i="83" s="1"/>
  <c r="AA10" i="83" s="1"/>
  <c r="AB10" i="83" s="1"/>
  <c r="AC10" i="83" s="1"/>
  <c r="AD10" i="83" s="1"/>
  <c r="AE10" i="83" s="1"/>
  <c r="AF10" i="83" s="1"/>
  <c r="AG10" i="83" s="1"/>
  <c r="AH10" i="83" s="1"/>
  <c r="AI10" i="83" s="1"/>
  <c r="AJ10" i="83" s="1"/>
  <c r="AK10" i="83" s="1"/>
  <c r="AL10" i="83" s="1"/>
  <c r="AM10" i="83" s="1"/>
  <c r="AN10" i="83" s="1"/>
  <c r="AO10" i="83" s="1"/>
  <c r="AP10" i="83" s="1"/>
  <c r="AQ10" i="83" s="1"/>
  <c r="F10" i="83"/>
  <c r="AP59" i="53"/>
  <c r="AQ59" i="53" s="1"/>
  <c r="AR59" i="53" s="1"/>
  <c r="AS59" i="53" s="1"/>
  <c r="AT59" i="53" s="1"/>
  <c r="AU59" i="53" s="1"/>
  <c r="AV59" i="53" s="1"/>
  <c r="AW59" i="53" s="1"/>
  <c r="AX59" i="53" s="1"/>
  <c r="AY59" i="53" s="1"/>
  <c r="AZ59" i="53" s="1"/>
  <c r="BA59" i="53" s="1"/>
  <c r="BB59" i="53" s="1"/>
  <c r="BC59" i="53" s="1"/>
  <c r="BD59" i="53" s="1"/>
  <c r="BE59" i="53" s="1"/>
  <c r="BF59" i="53" s="1"/>
  <c r="BG59" i="53" s="1"/>
  <c r="BH59" i="53" s="1"/>
  <c r="BI59" i="53" s="1"/>
  <c r="BJ59" i="53" s="1"/>
  <c r="BK59" i="53" s="1"/>
  <c r="BL59" i="53" s="1"/>
  <c r="BM59" i="53" s="1"/>
  <c r="BN59" i="53" s="1"/>
  <c r="BO59" i="53" s="1"/>
  <c r="BP59" i="53" s="1"/>
  <c r="BQ59" i="53" s="1"/>
  <c r="BR59" i="53" s="1"/>
  <c r="BS59" i="53" s="1"/>
  <c r="BT59" i="53" s="1"/>
  <c r="J59" i="53"/>
  <c r="K59" i="53" s="1"/>
  <c r="L59" i="53" s="1"/>
  <c r="M59" i="53" s="1"/>
  <c r="N59" i="53" s="1"/>
  <c r="O59" i="53" s="1"/>
  <c r="P59" i="53" s="1"/>
  <c r="Q59" i="53" s="1"/>
  <c r="R59" i="53" s="1"/>
  <c r="S59" i="53" s="1"/>
  <c r="T59" i="53" s="1"/>
  <c r="U59" i="53" s="1"/>
  <c r="V59" i="53" s="1"/>
  <c r="W59" i="53" s="1"/>
  <c r="X59" i="53" s="1"/>
  <c r="Y59" i="53" s="1"/>
  <c r="Z59" i="53" s="1"/>
  <c r="AA59" i="53" s="1"/>
  <c r="AB59" i="53" s="1"/>
  <c r="AC59" i="53" s="1"/>
  <c r="AD59" i="53" s="1"/>
  <c r="AE59" i="53" s="1"/>
  <c r="AF59" i="53" s="1"/>
  <c r="AG59" i="53" s="1"/>
  <c r="AH59" i="53" s="1"/>
  <c r="AI59" i="53" s="1"/>
  <c r="AJ59" i="53" s="1"/>
  <c r="AK59" i="53" s="1"/>
  <c r="AL59" i="53" s="1"/>
  <c r="AM59" i="53" s="1"/>
  <c r="AN59" i="53" s="1"/>
  <c r="J23" i="53"/>
  <c r="K23" i="53" s="1"/>
  <c r="L23" i="53" s="1"/>
  <c r="M23" i="53" s="1"/>
  <c r="N23" i="53" s="1"/>
  <c r="O23" i="53" s="1"/>
  <c r="P23" i="53" s="1"/>
  <c r="Q23" i="53" s="1"/>
  <c r="R23" i="53" s="1"/>
  <c r="S23" i="53" s="1"/>
  <c r="T23" i="53" s="1"/>
  <c r="U23" i="53" s="1"/>
  <c r="V23" i="53" s="1"/>
  <c r="W23" i="53" s="1"/>
  <c r="X23" i="53" s="1"/>
  <c r="Y23" i="53" s="1"/>
  <c r="Z23" i="53" s="1"/>
  <c r="AA23" i="53" s="1"/>
  <c r="AB23" i="53" s="1"/>
  <c r="AC23" i="53" s="1"/>
  <c r="AD23" i="53" s="1"/>
  <c r="AE23" i="53" s="1"/>
  <c r="AF23" i="53" s="1"/>
  <c r="AG23" i="53" s="1"/>
  <c r="AH23" i="53" s="1"/>
  <c r="AI23" i="53" s="1"/>
  <c r="AJ23" i="53" s="1"/>
  <c r="AK23" i="53" s="1"/>
  <c r="AL23" i="53" s="1"/>
  <c r="AM23" i="53" s="1"/>
  <c r="AN23" i="53" s="1"/>
  <c r="AE10" i="79"/>
  <c r="AF10" i="79" s="1"/>
  <c r="AG10" i="79" s="1"/>
  <c r="AH10" i="79" s="1"/>
  <c r="AI10" i="79" s="1"/>
  <c r="AJ10" i="79" s="1"/>
  <c r="AK10" i="79" s="1"/>
  <c r="AL10" i="79" s="1"/>
  <c r="AM10" i="79" s="1"/>
  <c r="AN10" i="79" s="1"/>
  <c r="AO10" i="79" s="1"/>
  <c r="AP10" i="79" s="1"/>
  <c r="AQ10" i="79" s="1"/>
  <c r="AR10" i="79" s="1"/>
  <c r="AS10" i="79" s="1"/>
  <c r="AT10" i="79" s="1"/>
  <c r="AU10" i="79" s="1"/>
  <c r="AV10" i="79" s="1"/>
  <c r="AW10" i="79" s="1"/>
  <c r="AX10" i="79" s="1"/>
  <c r="AY10" i="79" s="1"/>
  <c r="AZ10" i="79" s="1"/>
  <c r="BA10" i="79" s="1"/>
  <c r="BB10" i="79" s="1"/>
  <c r="BC10" i="79" s="1"/>
  <c r="BD10" i="79" s="1"/>
  <c r="BE10" i="79" s="1"/>
  <c r="BF10" i="79" s="1"/>
  <c r="BG10" i="79" s="1"/>
  <c r="BH10" i="79" s="1"/>
  <c r="BI10" i="79" s="1"/>
  <c r="CQ10" i="79"/>
  <c r="CR10" i="79" s="1"/>
  <c r="CS10" i="79" s="1"/>
  <c r="CT10" i="79" s="1"/>
  <c r="CU10" i="79" s="1"/>
  <c r="CV10" i="79" s="1"/>
  <c r="CW10" i="79" s="1"/>
  <c r="CX10" i="79" s="1"/>
  <c r="CY10" i="79" s="1"/>
  <c r="CZ10" i="79" s="1"/>
  <c r="DA10" i="79" s="1"/>
  <c r="DB10" i="79" s="1"/>
  <c r="DC10" i="79" s="1"/>
  <c r="DD10" i="79" s="1"/>
  <c r="DE10" i="79" s="1"/>
  <c r="DF10" i="79" s="1"/>
  <c r="DG10" i="79" s="1"/>
  <c r="DH10" i="79" s="1"/>
  <c r="DI10" i="79" s="1"/>
  <c r="DJ10" i="79" s="1"/>
  <c r="DK10" i="79" s="1"/>
  <c r="DL10" i="79" s="1"/>
  <c r="DM10" i="79" s="1"/>
  <c r="DN10" i="79" s="1"/>
  <c r="DO10" i="79" s="1"/>
  <c r="DP10" i="79" s="1"/>
  <c r="DQ10" i="79" s="1"/>
  <c r="DR10" i="79" s="1"/>
  <c r="DS10" i="79" s="1"/>
  <c r="DT10" i="79" s="1"/>
  <c r="DU10" i="79" s="1"/>
  <c r="DW10" i="79"/>
  <c r="DX10" i="79" s="1"/>
  <c r="DY10" i="79" s="1"/>
  <c r="DZ10" i="79" s="1"/>
  <c r="EA10" i="79" s="1"/>
  <c r="EB10" i="79" s="1"/>
  <c r="EC10" i="79" s="1"/>
  <c r="ED10" i="79" s="1"/>
  <c r="EE10" i="79" s="1"/>
  <c r="EF10" i="79" s="1"/>
  <c r="EG10" i="79" s="1"/>
  <c r="EH10" i="79" s="1"/>
  <c r="EI10" i="79" s="1"/>
  <c r="EJ10" i="79" s="1"/>
  <c r="EK10" i="79" s="1"/>
  <c r="EL10" i="79" s="1"/>
  <c r="EM10" i="79" s="1"/>
  <c r="EN10" i="79" s="1"/>
  <c r="EO10" i="79" s="1"/>
  <c r="EP10" i="79" s="1"/>
  <c r="EQ10" i="79" s="1"/>
  <c r="ER10" i="79" s="1"/>
  <c r="ES10" i="79" s="1"/>
  <c r="ET10" i="79" s="1"/>
  <c r="EU10" i="79" s="1"/>
  <c r="EV10" i="79" s="1"/>
  <c r="EW10" i="79" s="1"/>
  <c r="EX10" i="79" s="1"/>
  <c r="EY10" i="79" s="1"/>
  <c r="EZ10" i="79" s="1"/>
  <c r="FA10" i="79" s="1"/>
  <c r="FC10" i="79"/>
  <c r="FD10" i="79" s="1"/>
  <c r="FE10" i="79" s="1"/>
  <c r="FF10" i="79" s="1"/>
  <c r="FG10" i="79" s="1"/>
  <c r="FH10" i="79" s="1"/>
  <c r="FI10" i="79" s="1"/>
  <c r="FJ10" i="79" s="1"/>
  <c r="FK10" i="79" s="1"/>
  <c r="FL10" i="79" s="1"/>
  <c r="FM10" i="79" s="1"/>
  <c r="FN10" i="79" s="1"/>
  <c r="FO10" i="79" s="1"/>
  <c r="FP10" i="79" s="1"/>
  <c r="FQ10" i="79" s="1"/>
  <c r="FR10" i="79" s="1"/>
  <c r="FS10" i="79" s="1"/>
  <c r="FT10" i="79" s="1"/>
  <c r="FU10" i="79" s="1"/>
  <c r="FV10" i="79" s="1"/>
  <c r="FW10" i="79" s="1"/>
  <c r="FX10" i="79" s="1"/>
  <c r="FY10" i="79" s="1"/>
  <c r="FZ10" i="79" s="1"/>
  <c r="GA10" i="79" s="1"/>
  <c r="GB10" i="79" s="1"/>
  <c r="GC10" i="79" s="1"/>
  <c r="GD10" i="79" s="1"/>
  <c r="GE10" i="79" s="1"/>
  <c r="GF10" i="79" s="1"/>
  <c r="GG10" i="79" s="1"/>
  <c r="GI10" i="79"/>
  <c r="GJ10" i="79" s="1"/>
  <c r="GK10" i="79" s="1"/>
  <c r="GL10" i="79" s="1"/>
  <c r="GM10" i="79" s="1"/>
  <c r="GN10" i="79" s="1"/>
  <c r="GO10" i="79" s="1"/>
  <c r="GP10" i="79" s="1"/>
  <c r="GQ10" i="79" s="1"/>
  <c r="GR10" i="79" s="1"/>
  <c r="GS10" i="79" s="1"/>
  <c r="GT10" i="79" s="1"/>
  <c r="GU10" i="79" s="1"/>
  <c r="GV10" i="79" s="1"/>
  <c r="GW10" i="79" s="1"/>
  <c r="GX10" i="79" s="1"/>
  <c r="GY10" i="79" s="1"/>
  <c r="GZ10" i="79" s="1"/>
  <c r="HA10" i="79" s="1"/>
  <c r="HB10" i="79" s="1"/>
  <c r="HC10" i="79" s="1"/>
  <c r="HD10" i="79" s="1"/>
  <c r="HE10" i="79" s="1"/>
  <c r="HF10" i="79" s="1"/>
  <c r="HG10" i="79" s="1"/>
  <c r="HH10" i="79" s="1"/>
  <c r="HI10" i="79" s="1"/>
  <c r="HJ10" i="79" s="1"/>
  <c r="HK10" i="79" s="1"/>
  <c r="HL10" i="79" s="1"/>
  <c r="HM10" i="79" s="1"/>
  <c r="HO10" i="79"/>
  <c r="HP10" i="79" s="1"/>
  <c r="HQ10" i="79" s="1"/>
  <c r="HR10" i="79" s="1"/>
  <c r="HS10" i="79" s="1"/>
  <c r="HT10" i="79" s="1"/>
  <c r="HU10" i="79" s="1"/>
  <c r="HV10" i="79" s="1"/>
  <c r="HW10" i="79" s="1"/>
  <c r="HX10" i="79" s="1"/>
  <c r="HY10" i="79" s="1"/>
  <c r="HZ10" i="79" s="1"/>
  <c r="IA10" i="79" s="1"/>
  <c r="IB10" i="79" s="1"/>
  <c r="IC10" i="79" s="1"/>
  <c r="ID10" i="79" s="1"/>
  <c r="IE10" i="79" s="1"/>
  <c r="IF10" i="79" s="1"/>
  <c r="IG10" i="79" s="1"/>
  <c r="IH10" i="79" s="1"/>
  <c r="II10" i="79" s="1"/>
  <c r="IJ10" i="79" s="1"/>
  <c r="IK10" i="79" s="1"/>
  <c r="IL10" i="79" s="1"/>
  <c r="IM10" i="79" s="1"/>
  <c r="IN10" i="79" s="1"/>
  <c r="IO10" i="79" s="1"/>
  <c r="IP10" i="79" s="1"/>
  <c r="IQ10" i="79" s="1"/>
  <c r="IR10" i="79" s="1"/>
  <c r="IS10" i="79" s="1"/>
  <c r="AE10" i="78"/>
  <c r="AF10" i="78" s="1"/>
  <c r="AG10" i="78" s="1"/>
  <c r="AH10" i="78" s="1"/>
  <c r="AI10" i="78" s="1"/>
  <c r="AJ10" i="78" s="1"/>
  <c r="AK10" i="78" s="1"/>
  <c r="AL10" i="78" s="1"/>
  <c r="AM10" i="78" s="1"/>
  <c r="AN10" i="78" s="1"/>
  <c r="AO10" i="78" s="1"/>
  <c r="AP10" i="78" s="1"/>
  <c r="AQ10" i="78" s="1"/>
  <c r="AR10" i="78" s="1"/>
  <c r="AS10" i="78" s="1"/>
  <c r="AT10" i="78" s="1"/>
  <c r="AU10" i="78" s="1"/>
  <c r="AV10" i="78" s="1"/>
  <c r="AW10" i="78" s="1"/>
  <c r="AX10" i="78" s="1"/>
  <c r="AY10" i="78" s="1"/>
  <c r="AZ10" i="78" s="1"/>
  <c r="BA10" i="78" s="1"/>
  <c r="BB10" i="78" s="1"/>
  <c r="BC10" i="78" s="1"/>
  <c r="BD10" i="78" s="1"/>
  <c r="BE10" i="78" s="1"/>
  <c r="BF10" i="78" s="1"/>
  <c r="BG10" i="78" s="1"/>
  <c r="BH10" i="78" s="1"/>
  <c r="BI10" i="78" s="1"/>
  <c r="BK10" i="78"/>
  <c r="BL10" i="78" s="1"/>
  <c r="BM10" i="78" s="1"/>
  <c r="BN10" i="78" s="1"/>
  <c r="BO10" i="78" s="1"/>
  <c r="BP10" i="78" s="1"/>
  <c r="BQ10" i="78" s="1"/>
  <c r="BR10" i="78" s="1"/>
  <c r="BS10" i="78" s="1"/>
  <c r="BT10" i="78" s="1"/>
  <c r="BU10" i="78" s="1"/>
  <c r="BV10" i="78" s="1"/>
  <c r="BW10" i="78" s="1"/>
  <c r="BX10" i="78" s="1"/>
  <c r="BY10" i="78" s="1"/>
  <c r="BZ10" i="78" s="1"/>
  <c r="CA10" i="78" s="1"/>
  <c r="CB10" i="78" s="1"/>
  <c r="CC10" i="78" s="1"/>
  <c r="CD10" i="78" s="1"/>
  <c r="CE10" i="78" s="1"/>
  <c r="CF10" i="78" s="1"/>
  <c r="CG10" i="78" s="1"/>
  <c r="CH10" i="78" s="1"/>
  <c r="CI10" i="78" s="1"/>
  <c r="CJ10" i="78" s="1"/>
  <c r="CK10" i="78" s="1"/>
  <c r="CL10" i="78" s="1"/>
  <c r="CM10" i="78" s="1"/>
  <c r="CN10" i="78" s="1"/>
  <c r="CO10" i="78" s="1"/>
  <c r="CQ10" i="78"/>
  <c r="CR10" i="78" s="1"/>
  <c r="CS10" i="78" s="1"/>
  <c r="CT10" i="78" s="1"/>
  <c r="CU10" i="78" s="1"/>
  <c r="CV10" i="78" s="1"/>
  <c r="CW10" i="78" s="1"/>
  <c r="CX10" i="78" s="1"/>
  <c r="CY10" i="78" s="1"/>
  <c r="CZ10" i="78" s="1"/>
  <c r="DA10" i="78" s="1"/>
  <c r="DB10" i="78" s="1"/>
  <c r="DC10" i="78" s="1"/>
  <c r="DD10" i="78" s="1"/>
  <c r="DE10" i="78" s="1"/>
  <c r="DF10" i="78" s="1"/>
  <c r="DG10" i="78" s="1"/>
  <c r="DH10" i="78" s="1"/>
  <c r="DI10" i="78" s="1"/>
  <c r="DJ10" i="78" s="1"/>
  <c r="DK10" i="78" s="1"/>
  <c r="DL10" i="78" s="1"/>
  <c r="DM10" i="78" s="1"/>
  <c r="DN10" i="78" s="1"/>
  <c r="DO10" i="78" s="1"/>
  <c r="DP10" i="78" s="1"/>
  <c r="DQ10" i="78" s="1"/>
  <c r="DR10" i="78" s="1"/>
  <c r="DS10" i="78" s="1"/>
  <c r="DT10" i="78" s="1"/>
  <c r="DU10" i="78" s="1"/>
  <c r="DW10" i="78"/>
  <c r="DX10" i="78" s="1"/>
  <c r="DY10" i="78" s="1"/>
  <c r="DZ10" i="78" s="1"/>
  <c r="EA10" i="78" s="1"/>
  <c r="EB10" i="78" s="1"/>
  <c r="EC10" i="78" s="1"/>
  <c r="ED10" i="78" s="1"/>
  <c r="EE10" i="78" s="1"/>
  <c r="EF10" i="78" s="1"/>
  <c r="EG10" i="78" s="1"/>
  <c r="EH10" i="78" s="1"/>
  <c r="EI10" i="78" s="1"/>
  <c r="EJ10" i="78" s="1"/>
  <c r="EK10" i="78" s="1"/>
  <c r="EL10" i="78" s="1"/>
  <c r="EM10" i="78" s="1"/>
  <c r="EN10" i="78" s="1"/>
  <c r="EO10" i="78" s="1"/>
  <c r="EP10" i="78" s="1"/>
  <c r="EQ10" i="78" s="1"/>
  <c r="ER10" i="78" s="1"/>
  <c r="ES10" i="78" s="1"/>
  <c r="ET10" i="78" s="1"/>
  <c r="EU10" i="78" s="1"/>
  <c r="EV10" i="78" s="1"/>
  <c r="EW10" i="78" s="1"/>
  <c r="EX10" i="78" s="1"/>
  <c r="EY10" i="78" s="1"/>
  <c r="EZ10" i="78" s="1"/>
  <c r="FA10" i="78" s="1"/>
  <c r="FC10" i="78"/>
  <c r="FD10" i="78"/>
  <c r="FF10" i="78"/>
  <c r="FG10" i="78" s="1"/>
  <c r="FH10" i="78" s="1"/>
  <c r="FI10" i="78" s="1"/>
  <c r="FJ10" i="78" s="1"/>
  <c r="FK10" i="78" s="1"/>
  <c r="FL10" i="78" s="1"/>
  <c r="FM10" i="78" s="1"/>
  <c r="FN10" i="78" s="1"/>
  <c r="FO10" i="78" s="1"/>
  <c r="FP10" i="78" s="1"/>
  <c r="FQ10" i="78" s="1"/>
  <c r="FR10" i="78" s="1"/>
  <c r="FS10" i="78" s="1"/>
  <c r="FT10" i="78" s="1"/>
  <c r="FU10" i="78" s="1"/>
  <c r="FV10" i="78" s="1"/>
  <c r="FW10" i="78" s="1"/>
  <c r="FX10" i="78" s="1"/>
  <c r="FY10" i="78" s="1"/>
  <c r="FZ10" i="78" s="1"/>
  <c r="GA10" i="78" s="1"/>
  <c r="GB10" i="78" s="1"/>
  <c r="GC10" i="78" s="1"/>
  <c r="GD10" i="78" s="1"/>
  <c r="GE10" i="78" s="1"/>
  <c r="GF10" i="78" s="1"/>
  <c r="GG10" i="78" s="1"/>
  <c r="GH10" i="78" s="1"/>
  <c r="GI10" i="78" s="1"/>
  <c r="GJ10" i="78" s="1"/>
  <c r="GL10" i="78"/>
  <c r="GM10" i="78" s="1"/>
  <c r="GN10" i="78" s="1"/>
  <c r="GO10" i="78" s="1"/>
  <c r="GP10" i="78" s="1"/>
  <c r="GQ10" i="78" s="1"/>
  <c r="GR10" i="78" s="1"/>
  <c r="GS10" i="78" s="1"/>
  <c r="GT10" i="78" s="1"/>
  <c r="GU10" i="78" s="1"/>
  <c r="GV10" i="78" s="1"/>
  <c r="GW10" i="78" s="1"/>
  <c r="GX10" i="78" s="1"/>
  <c r="GY10" i="78" s="1"/>
  <c r="GZ10" i="78" s="1"/>
  <c r="HA10" i="78" s="1"/>
  <c r="HB10" i="78" s="1"/>
  <c r="HC10" i="78" s="1"/>
  <c r="HD10" i="78" s="1"/>
  <c r="HE10" i="78" s="1"/>
  <c r="HF10" i="78" s="1"/>
  <c r="HG10" i="78" s="1"/>
  <c r="HH10" i="78" s="1"/>
  <c r="HI10" i="78" s="1"/>
  <c r="HJ10" i="78" s="1"/>
  <c r="HK10" i="78" s="1"/>
  <c r="HL10" i="78" s="1"/>
  <c r="HM10" i="78" s="1"/>
  <c r="HN10" i="78" s="1"/>
  <c r="HO10" i="78" s="1"/>
  <c r="HP10" i="78" s="1"/>
  <c r="HR10" i="78"/>
  <c r="HS10" i="78" s="1"/>
  <c r="HT10" i="78" s="1"/>
  <c r="HU10" i="78" s="1"/>
  <c r="HV10" i="78" s="1"/>
  <c r="HW10" i="78" s="1"/>
  <c r="HX10" i="78" s="1"/>
  <c r="HY10" i="78" s="1"/>
  <c r="HZ10" i="78" s="1"/>
  <c r="IA10" i="78" s="1"/>
  <c r="IB10" i="78" s="1"/>
  <c r="IC10" i="78" s="1"/>
  <c r="ID10" i="78" s="1"/>
  <c r="IE10" i="78" s="1"/>
  <c r="IF10" i="78" s="1"/>
  <c r="IG10" i="78" s="1"/>
  <c r="IH10" i="78" s="1"/>
  <c r="II10" i="78" s="1"/>
  <c r="IJ10" i="78" s="1"/>
  <c r="IK10" i="78" s="1"/>
  <c r="IL10" i="78" s="1"/>
  <c r="IM10" i="78" s="1"/>
  <c r="IN10" i="78" s="1"/>
  <c r="IO10" i="78" s="1"/>
  <c r="IP10" i="78" s="1"/>
  <c r="IQ10" i="78" s="1"/>
  <c r="IR10" i="78" s="1"/>
  <c r="IS10" i="78" s="1"/>
  <c r="IT10" i="78" s="1"/>
  <c r="IU10" i="78" s="1"/>
  <c r="IV10" i="78" s="1"/>
  <c r="JE10" i="78"/>
  <c r="JG10" i="78"/>
  <c r="JI10" i="78"/>
  <c r="JL10" i="78"/>
  <c r="JP10" i="78"/>
  <c r="AE10" i="77"/>
  <c r="AF10" i="77" s="1"/>
  <c r="AG10" i="77" s="1"/>
  <c r="AH10" i="77" s="1"/>
  <c r="AI10" i="77" s="1"/>
  <c r="AJ10" i="77" s="1"/>
  <c r="AK10" i="77" s="1"/>
  <c r="AL10" i="77" s="1"/>
  <c r="AM10" i="77" s="1"/>
  <c r="AN10" i="77" s="1"/>
  <c r="AO10" i="77" s="1"/>
  <c r="AP10" i="77" s="1"/>
  <c r="AQ10" i="77" s="1"/>
  <c r="AR10" i="77" s="1"/>
  <c r="AS10" i="77" s="1"/>
  <c r="AT10" i="77" s="1"/>
  <c r="AU10" i="77" s="1"/>
  <c r="AV10" i="77" s="1"/>
  <c r="AW10" i="77" s="1"/>
  <c r="AX10" i="77" s="1"/>
  <c r="AY10" i="77" s="1"/>
  <c r="AZ10" i="77" s="1"/>
  <c r="BA10" i="77" s="1"/>
  <c r="BB10" i="77" s="1"/>
  <c r="BC10" i="77" s="1"/>
  <c r="BD10" i="77" s="1"/>
  <c r="BE10" i="77" s="1"/>
  <c r="BF10" i="77" s="1"/>
  <c r="BG10" i="77" s="1"/>
  <c r="BH10" i="77" s="1"/>
  <c r="BI10" i="77" s="1"/>
  <c r="CQ10" i="77"/>
  <c r="CR10" i="77" s="1"/>
  <c r="CS10" i="77" s="1"/>
  <c r="CT10" i="77" s="1"/>
  <c r="CU10" i="77" s="1"/>
  <c r="CV10" i="77" s="1"/>
  <c r="CW10" i="77" s="1"/>
  <c r="CX10" i="77" s="1"/>
  <c r="CY10" i="77" s="1"/>
  <c r="CZ10" i="77" s="1"/>
  <c r="DA10" i="77" s="1"/>
  <c r="DB10" i="77" s="1"/>
  <c r="DC10" i="77" s="1"/>
  <c r="DD10" i="77" s="1"/>
  <c r="DE10" i="77" s="1"/>
  <c r="DF10" i="77" s="1"/>
  <c r="DG10" i="77" s="1"/>
  <c r="DH10" i="77" s="1"/>
  <c r="DI10" i="77" s="1"/>
  <c r="DJ10" i="77" s="1"/>
  <c r="DK10" i="77" s="1"/>
  <c r="DL10" i="77" s="1"/>
  <c r="DM10" i="77" s="1"/>
  <c r="DN10" i="77" s="1"/>
  <c r="DO10" i="77" s="1"/>
  <c r="DP10" i="77" s="1"/>
  <c r="DQ10" i="77" s="1"/>
  <c r="DR10" i="77" s="1"/>
  <c r="DS10" i="77" s="1"/>
  <c r="DT10" i="77" s="1"/>
  <c r="DU10" i="77" s="1"/>
  <c r="DW10" i="77"/>
  <c r="DX10" i="77" s="1"/>
  <c r="DY10" i="77" s="1"/>
  <c r="DZ10" i="77" s="1"/>
  <c r="EA10" i="77" s="1"/>
  <c r="EB10" i="77" s="1"/>
  <c r="EC10" i="77" s="1"/>
  <c r="ED10" i="77" s="1"/>
  <c r="EE10" i="77" s="1"/>
  <c r="EF10" i="77" s="1"/>
  <c r="EG10" i="77" s="1"/>
  <c r="EH10" i="77" s="1"/>
  <c r="EI10" i="77" s="1"/>
  <c r="EJ10" i="77" s="1"/>
  <c r="EK10" i="77" s="1"/>
  <c r="EL10" i="77" s="1"/>
  <c r="EM10" i="77" s="1"/>
  <c r="EN10" i="77" s="1"/>
  <c r="EO10" i="77" s="1"/>
  <c r="EP10" i="77" s="1"/>
  <c r="EQ10" i="77" s="1"/>
  <c r="ER10" i="77" s="1"/>
  <c r="ES10" i="77" s="1"/>
  <c r="ET10" i="77" s="1"/>
  <c r="EU10" i="77" s="1"/>
  <c r="EV10" i="77" s="1"/>
  <c r="EW10" i="77" s="1"/>
  <c r="EX10" i="77" s="1"/>
  <c r="EY10" i="77" s="1"/>
  <c r="EZ10" i="77" s="1"/>
  <c r="FA10" i="77" s="1"/>
  <c r="FC10" i="77"/>
  <c r="FD10" i="77" s="1"/>
  <c r="FE10" i="77" s="1"/>
  <c r="FF10" i="77" s="1"/>
  <c r="FG10" i="77" s="1"/>
  <c r="FH10" i="77" s="1"/>
  <c r="FI10" i="77" s="1"/>
  <c r="FJ10" i="77" s="1"/>
  <c r="FK10" i="77" s="1"/>
  <c r="FL10" i="77" s="1"/>
  <c r="FM10" i="77" s="1"/>
  <c r="FN10" i="77" s="1"/>
  <c r="FO10" i="77" s="1"/>
  <c r="FP10" i="77" s="1"/>
  <c r="FQ10" i="77" s="1"/>
  <c r="FR10" i="77" s="1"/>
  <c r="FS10" i="77" s="1"/>
  <c r="FT10" i="77" s="1"/>
  <c r="FU10" i="77" s="1"/>
  <c r="FV10" i="77" s="1"/>
  <c r="FW10" i="77" s="1"/>
  <c r="FX10" i="77" s="1"/>
  <c r="FY10" i="77" s="1"/>
  <c r="FZ10" i="77" s="1"/>
  <c r="GA10" i="77" s="1"/>
  <c r="GB10" i="77" s="1"/>
  <c r="GC10" i="77" s="1"/>
  <c r="GD10" i="77" s="1"/>
  <c r="GE10" i="77" s="1"/>
  <c r="GF10" i="77" s="1"/>
  <c r="GG10" i="77" s="1"/>
  <c r="GI10" i="77"/>
  <c r="GJ10" i="77" s="1"/>
  <c r="GK10" i="77" s="1"/>
  <c r="GL10" i="77" s="1"/>
  <c r="GM10" i="77" s="1"/>
  <c r="GN10" i="77" s="1"/>
  <c r="GO10" i="77" s="1"/>
  <c r="GP10" i="77" s="1"/>
  <c r="GQ10" i="77" s="1"/>
  <c r="GR10" i="77" s="1"/>
  <c r="GS10" i="77" s="1"/>
  <c r="GT10" i="77" s="1"/>
  <c r="GU10" i="77" s="1"/>
  <c r="GV10" i="77" s="1"/>
  <c r="GW10" i="77" s="1"/>
  <c r="GX10" i="77" s="1"/>
  <c r="GY10" i="77" s="1"/>
  <c r="GZ10" i="77" s="1"/>
  <c r="HA10" i="77" s="1"/>
  <c r="HB10" i="77" s="1"/>
  <c r="HC10" i="77" s="1"/>
  <c r="HD10" i="77" s="1"/>
  <c r="HE10" i="77" s="1"/>
  <c r="HF10" i="77" s="1"/>
  <c r="HG10" i="77" s="1"/>
  <c r="HH10" i="77" s="1"/>
  <c r="HI10" i="77" s="1"/>
  <c r="HJ10" i="77" s="1"/>
  <c r="HK10" i="77" s="1"/>
  <c r="HL10" i="77" s="1"/>
  <c r="HM10" i="77" s="1"/>
  <c r="HO10" i="77"/>
  <c r="HP10" i="77"/>
  <c r="HR10" i="77"/>
  <c r="HS10" i="77" s="1"/>
  <c r="HT10" i="77" s="1"/>
  <c r="HU10" i="77" s="1"/>
  <c r="HV10" i="77" s="1"/>
  <c r="HW10" i="77" s="1"/>
  <c r="HX10" i="77" s="1"/>
  <c r="HY10" i="77" s="1"/>
  <c r="HZ10" i="77" s="1"/>
  <c r="IA10" i="77" s="1"/>
  <c r="IB10" i="77" s="1"/>
  <c r="IC10" i="77" s="1"/>
  <c r="ID10" i="77" s="1"/>
  <c r="IE10" i="77" s="1"/>
  <c r="IF10" i="77" s="1"/>
  <c r="IG10" i="77" s="1"/>
  <c r="IH10" i="77" s="1"/>
  <c r="II10" i="77" s="1"/>
  <c r="IJ10" i="77" s="1"/>
  <c r="IK10" i="77" s="1"/>
  <c r="IL10" i="77" s="1"/>
  <c r="IM10" i="77" s="1"/>
  <c r="IN10" i="77" s="1"/>
  <c r="IO10" i="77" s="1"/>
  <c r="IP10" i="77" s="1"/>
  <c r="IQ10" i="77" s="1"/>
  <c r="IR10" i="77" s="1"/>
  <c r="IS10" i="77" s="1"/>
  <c r="IT10" i="77" s="1"/>
  <c r="IU10" i="77" s="1"/>
  <c r="IV10" i="77" s="1"/>
  <c r="IX10" i="77"/>
  <c r="IY10" i="77" s="1"/>
  <c r="IZ10" i="77" s="1"/>
  <c r="JA10" i="77" s="1"/>
  <c r="JB10" i="77" s="1"/>
  <c r="JC10" i="77" s="1"/>
  <c r="JD10" i="77" s="1"/>
  <c r="JE10" i="77" s="1"/>
  <c r="JF10" i="77" s="1"/>
  <c r="JG10" i="77" s="1"/>
  <c r="JH10" i="77" s="1"/>
  <c r="JI10" i="77" s="1"/>
  <c r="JJ10" i="77" s="1"/>
  <c r="JK10" i="77" s="1"/>
  <c r="JL10" i="77" s="1"/>
  <c r="JM10" i="77" s="1"/>
  <c r="JN10" i="77" s="1"/>
  <c r="JO10" i="77" s="1"/>
  <c r="JP10" i="77" s="1"/>
  <c r="JQ10" i="77" s="1"/>
  <c r="JR10" i="77" s="1"/>
  <c r="JS10" i="77" s="1"/>
  <c r="JT10" i="77" s="1"/>
  <c r="JU10" i="77" s="1"/>
  <c r="JV10" i="77" s="1"/>
  <c r="JW10" i="77" s="1"/>
  <c r="JX10" i="77" s="1"/>
  <c r="JY10" i="77" s="1"/>
  <c r="JZ10" i="77" s="1"/>
  <c r="KA10" i="77" s="1"/>
  <c r="KB10" i="77" s="1"/>
  <c r="KD10" i="77"/>
  <c r="KE10" i="77" s="1"/>
  <c r="KF10" i="77" s="1"/>
  <c r="KG10" i="77" s="1"/>
  <c r="KH10" i="77" s="1"/>
  <c r="KI10" i="77" s="1"/>
  <c r="KJ10" i="77" s="1"/>
  <c r="KK10" i="77" s="1"/>
  <c r="KL10" i="77" s="1"/>
  <c r="KM10" i="77" s="1"/>
  <c r="KN10" i="77" s="1"/>
  <c r="KO10" i="77" s="1"/>
  <c r="KP10" i="77" s="1"/>
  <c r="KQ10" i="77" s="1"/>
  <c r="KR10" i="77" s="1"/>
  <c r="KS10" i="77" s="1"/>
  <c r="KT10" i="77" s="1"/>
  <c r="KU10" i="77" s="1"/>
  <c r="KV10" i="77" s="1"/>
  <c r="KW10" i="77" s="1"/>
  <c r="KX10" i="77" s="1"/>
  <c r="KY10" i="77" s="1"/>
  <c r="KZ10" i="77" s="1"/>
  <c r="LA10" i="77" s="1"/>
  <c r="LB10" i="77" s="1"/>
  <c r="LC10" i="77" s="1"/>
  <c r="LD10" i="77" s="1"/>
  <c r="LE10" i="77" s="1"/>
  <c r="LF10" i="77" s="1"/>
  <c r="LG10" i="77" s="1"/>
  <c r="LH10" i="77" s="1"/>
  <c r="LJ10" i="77"/>
  <c r="LK10" i="77" s="1"/>
  <c r="LL10" i="77" s="1"/>
  <c r="LM10" i="77" s="1"/>
  <c r="LN10" i="77" s="1"/>
  <c r="LO10" i="77" s="1"/>
  <c r="LP10" i="77" s="1"/>
  <c r="LQ10" i="77" s="1"/>
  <c r="LR10" i="77" s="1"/>
  <c r="LS10" i="77" s="1"/>
  <c r="LT10" i="77" s="1"/>
  <c r="LU10" i="77" s="1"/>
  <c r="LV10" i="77" s="1"/>
  <c r="LW10" i="77" s="1"/>
  <c r="LX10" i="77" s="1"/>
  <c r="LY10" i="77" s="1"/>
  <c r="LZ10" i="77" s="1"/>
  <c r="MA10" i="77" s="1"/>
  <c r="MB10" i="77" s="1"/>
  <c r="MC10" i="77" s="1"/>
  <c r="MD10" i="77" s="1"/>
  <c r="ME10" i="77" s="1"/>
  <c r="MF10" i="77" s="1"/>
  <c r="MG10" i="77" s="1"/>
  <c r="MH10" i="77" s="1"/>
  <c r="MI10" i="77" s="1"/>
  <c r="MJ10" i="77" s="1"/>
  <c r="MK10" i="77" s="1"/>
  <c r="ML10" i="77" s="1"/>
  <c r="MM10" i="77" s="1"/>
  <c r="MN10" i="77" s="1"/>
  <c r="MP10" i="77"/>
  <c r="MQ10" i="77" s="1"/>
  <c r="MR10" i="77" s="1"/>
  <c r="MS10" i="77" s="1"/>
  <c r="MT10" i="77" s="1"/>
  <c r="MU10" i="77" s="1"/>
  <c r="MV10" i="77" s="1"/>
  <c r="MW10" i="77" s="1"/>
  <c r="MX10" i="77" s="1"/>
  <c r="MY10" i="77" s="1"/>
  <c r="MZ10" i="77" s="1"/>
  <c r="NA10" i="77" s="1"/>
  <c r="NB10" i="77" s="1"/>
  <c r="NC10" i="77" s="1"/>
  <c r="ND10" i="77" s="1"/>
  <c r="NE10" i="77" s="1"/>
  <c r="NF10" i="77" s="1"/>
  <c r="NG10" i="77" s="1"/>
  <c r="NH10" i="77" s="1"/>
  <c r="NI10" i="77" s="1"/>
  <c r="NJ10" i="77" s="1"/>
  <c r="NK10" i="77" s="1"/>
  <c r="NL10" i="77" s="1"/>
  <c r="NM10" i="77" s="1"/>
  <c r="NN10" i="77" s="1"/>
  <c r="NO10" i="77" s="1"/>
  <c r="NP10" i="77" s="1"/>
  <c r="NQ10" i="77" s="1"/>
  <c r="NR10" i="77" s="1"/>
  <c r="NS10" i="77" s="1"/>
  <c r="NT10" i="77" s="1"/>
  <c r="NV10" i="77"/>
  <c r="NW10" i="77" s="1"/>
  <c r="NX10" i="77" s="1"/>
  <c r="NY10" i="77" s="1"/>
  <c r="NZ10" i="77" s="1"/>
  <c r="OA10" i="77" s="1"/>
  <c r="OB10" i="77" s="1"/>
  <c r="OC10" i="77" s="1"/>
  <c r="OD10" i="77" s="1"/>
  <c r="OE10" i="77" s="1"/>
  <c r="OF10" i="77" s="1"/>
  <c r="OG10" i="77" s="1"/>
  <c r="OH10" i="77" s="1"/>
  <c r="OI10" i="77" s="1"/>
  <c r="OJ10" i="77" s="1"/>
  <c r="OK10" i="77" s="1"/>
  <c r="OL10" i="77" s="1"/>
  <c r="OM10" i="77" s="1"/>
  <c r="ON10" i="77" s="1"/>
  <c r="OO10" i="77" s="1"/>
  <c r="OP10" i="77" s="1"/>
  <c r="OQ10" i="77" s="1"/>
  <c r="OR10" i="77" s="1"/>
  <c r="OS10" i="77" s="1"/>
  <c r="OT10" i="77" s="1"/>
  <c r="OU10" i="77" s="1"/>
  <c r="OV10" i="77" s="1"/>
  <c r="OW10" i="77" s="1"/>
  <c r="OX10" i="77" s="1"/>
  <c r="OY10" i="77" s="1"/>
  <c r="OZ10" i="77" s="1"/>
  <c r="PM10" i="77"/>
  <c r="PO10" i="77"/>
  <c r="PQ10" i="77"/>
  <c r="PT10" i="77"/>
  <c r="PV10" i="77"/>
  <c r="AI10" i="76"/>
  <c r="AJ10" i="76" s="1"/>
  <c r="AK10" i="76" s="1"/>
  <c r="AL10" i="76" s="1"/>
  <c r="AM10" i="76" s="1"/>
  <c r="AN10" i="76" s="1"/>
  <c r="AO10" i="76" s="1"/>
  <c r="AP10" i="76" s="1"/>
  <c r="AQ10" i="76" s="1"/>
  <c r="AR10" i="76" s="1"/>
  <c r="AS10" i="76" s="1"/>
  <c r="AT10" i="76" s="1"/>
  <c r="AU10" i="76" s="1"/>
  <c r="AV10" i="76" s="1"/>
  <c r="AW10" i="76" s="1"/>
  <c r="AX10" i="76" s="1"/>
  <c r="AY10" i="76" s="1"/>
  <c r="AZ10" i="76" s="1"/>
  <c r="BA10" i="76" s="1"/>
  <c r="BB10" i="76" s="1"/>
  <c r="BC10" i="76" s="1"/>
  <c r="BD10" i="76" s="1"/>
  <c r="BE10" i="76" s="1"/>
  <c r="BF10" i="76" s="1"/>
  <c r="BG10" i="76" s="1"/>
  <c r="BH10" i="76" s="1"/>
  <c r="BI10" i="76" s="1"/>
  <c r="BJ10" i="76" s="1"/>
  <c r="BK10" i="76" s="1"/>
  <c r="BL10" i="76" s="1"/>
  <c r="BM10" i="76" s="1"/>
  <c r="BO10" i="76"/>
  <c r="BP10" i="76" s="1"/>
  <c r="BQ10" i="76" s="1"/>
  <c r="BR10" i="76" s="1"/>
  <c r="BS10" i="76" s="1"/>
  <c r="BT10" i="76" s="1"/>
  <c r="BU10" i="76" s="1"/>
  <c r="BV10" i="76" s="1"/>
  <c r="BW10" i="76" s="1"/>
  <c r="BX10" i="76" s="1"/>
  <c r="BY10" i="76" s="1"/>
  <c r="BZ10" i="76" s="1"/>
  <c r="CA10" i="76" s="1"/>
  <c r="CB10" i="76" s="1"/>
  <c r="CC10" i="76" s="1"/>
  <c r="CD10" i="76" s="1"/>
  <c r="CE10" i="76" s="1"/>
  <c r="CF10" i="76" s="1"/>
  <c r="CG10" i="76" s="1"/>
  <c r="CH10" i="76" s="1"/>
  <c r="CI10" i="76" s="1"/>
  <c r="CJ10" i="76" s="1"/>
  <c r="CK10" i="76" s="1"/>
  <c r="CL10" i="76" s="1"/>
  <c r="CM10" i="76" s="1"/>
  <c r="CN10" i="76" s="1"/>
  <c r="CO10" i="76" s="1"/>
  <c r="CP10" i="76" s="1"/>
  <c r="CQ10" i="76" s="1"/>
  <c r="CR10" i="76" s="1"/>
  <c r="CS10" i="76" s="1"/>
  <c r="CU10" i="76"/>
  <c r="CV10" i="76" s="1"/>
  <c r="CW10" i="76" s="1"/>
  <c r="CX10" i="76" s="1"/>
  <c r="CY10" i="76" s="1"/>
  <c r="CZ10" i="76" s="1"/>
  <c r="DA10" i="76" s="1"/>
  <c r="DB10" i="76" s="1"/>
  <c r="DC10" i="76" s="1"/>
  <c r="DD10" i="76" s="1"/>
  <c r="DE10" i="76" s="1"/>
  <c r="DF10" i="76" s="1"/>
  <c r="DG10" i="76" s="1"/>
  <c r="DH10" i="76" s="1"/>
  <c r="DI10" i="76" s="1"/>
  <c r="DJ10" i="76" s="1"/>
  <c r="DK10" i="76" s="1"/>
  <c r="DL10" i="76" s="1"/>
  <c r="DM10" i="76" s="1"/>
  <c r="DN10" i="76" s="1"/>
  <c r="DO10" i="76" s="1"/>
  <c r="DP10" i="76" s="1"/>
  <c r="DQ10" i="76" s="1"/>
  <c r="DR10" i="76" s="1"/>
  <c r="DS10" i="76" s="1"/>
  <c r="DT10" i="76" s="1"/>
  <c r="DU10" i="76" s="1"/>
  <c r="DV10" i="76" s="1"/>
  <c r="DW10" i="76" s="1"/>
  <c r="DX10" i="76" s="1"/>
  <c r="DY10" i="76" s="1"/>
  <c r="EA10" i="76"/>
  <c r="EB10" i="76" s="1"/>
  <c r="EC10" i="76" s="1"/>
  <c r="ED10" i="76" s="1"/>
  <c r="EE10" i="76" s="1"/>
  <c r="EF10" i="76" s="1"/>
  <c r="EG10" i="76" s="1"/>
  <c r="EH10" i="76" s="1"/>
  <c r="EI10" i="76" s="1"/>
  <c r="EJ10" i="76" s="1"/>
  <c r="EK10" i="76" s="1"/>
  <c r="EL10" i="76" s="1"/>
  <c r="EM10" i="76" s="1"/>
  <c r="EN10" i="76" s="1"/>
  <c r="EO10" i="76" s="1"/>
  <c r="EP10" i="76" s="1"/>
  <c r="EQ10" i="76" s="1"/>
  <c r="ER10" i="76" s="1"/>
  <c r="ES10" i="76" s="1"/>
  <c r="ET10" i="76" s="1"/>
  <c r="EU10" i="76" s="1"/>
  <c r="EV10" i="76" s="1"/>
  <c r="EW10" i="76" s="1"/>
  <c r="EX10" i="76" s="1"/>
  <c r="EY10" i="76" s="1"/>
  <c r="EZ10" i="76" s="1"/>
  <c r="FA10" i="76" s="1"/>
  <c r="FB10" i="76" s="1"/>
  <c r="FC10" i="76" s="1"/>
  <c r="FD10" i="76" s="1"/>
  <c r="FE10" i="76" s="1"/>
  <c r="FG10" i="76"/>
  <c r="FH10" i="76"/>
  <c r="FJ10" i="76"/>
  <c r="FK10" i="76" s="1"/>
  <c r="FL10" i="76" s="1"/>
  <c r="FM10" i="76" s="1"/>
  <c r="FN10" i="76" s="1"/>
  <c r="FO10" i="76" s="1"/>
  <c r="FP10" i="76" s="1"/>
  <c r="FQ10" i="76" s="1"/>
  <c r="FR10" i="76" s="1"/>
  <c r="FS10" i="76" s="1"/>
  <c r="FT10" i="76" s="1"/>
  <c r="FU10" i="76" s="1"/>
  <c r="FV10" i="76" s="1"/>
  <c r="FW10" i="76" s="1"/>
  <c r="FX10" i="76" s="1"/>
  <c r="FY10" i="76" s="1"/>
  <c r="FZ10" i="76" s="1"/>
  <c r="GA10" i="76" s="1"/>
  <c r="GB10" i="76" s="1"/>
  <c r="GC10" i="76" s="1"/>
  <c r="GD10" i="76" s="1"/>
  <c r="GE10" i="76" s="1"/>
  <c r="GF10" i="76" s="1"/>
  <c r="GG10" i="76" s="1"/>
  <c r="GH10" i="76" s="1"/>
  <c r="GI10" i="76" s="1"/>
  <c r="GJ10" i="76" s="1"/>
  <c r="GK10" i="76" s="1"/>
  <c r="GL10" i="76" s="1"/>
  <c r="GM10" i="76" s="1"/>
  <c r="GN10" i="76" s="1"/>
  <c r="GP10" i="76"/>
  <c r="GQ10" i="76" s="1"/>
  <c r="GR10" i="76" s="1"/>
  <c r="GS10" i="76" s="1"/>
  <c r="GT10" i="76" s="1"/>
  <c r="GU10" i="76" s="1"/>
  <c r="GV10" i="76" s="1"/>
  <c r="GW10" i="76" s="1"/>
  <c r="GX10" i="76" s="1"/>
  <c r="GY10" i="76" s="1"/>
  <c r="GZ10" i="76" s="1"/>
  <c r="HA10" i="76" s="1"/>
  <c r="HB10" i="76" s="1"/>
  <c r="HC10" i="76" s="1"/>
  <c r="HD10" i="76" s="1"/>
  <c r="HE10" i="76" s="1"/>
  <c r="HF10" i="76" s="1"/>
  <c r="HG10" i="76" s="1"/>
  <c r="HH10" i="76" s="1"/>
  <c r="HI10" i="76" s="1"/>
  <c r="HJ10" i="76" s="1"/>
  <c r="HK10" i="76" s="1"/>
  <c r="HL10" i="76" s="1"/>
  <c r="HM10" i="76" s="1"/>
  <c r="HN10" i="76" s="1"/>
  <c r="HO10" i="76" s="1"/>
  <c r="HP10" i="76" s="1"/>
  <c r="HQ10" i="76" s="1"/>
  <c r="HR10" i="76" s="1"/>
  <c r="HS10" i="76" s="1"/>
  <c r="HT10" i="76" s="1"/>
  <c r="HV10" i="76"/>
  <c r="HW10" i="76" s="1"/>
  <c r="HX10" i="76" s="1"/>
  <c r="HY10" i="76" s="1"/>
  <c r="HZ10" i="76" s="1"/>
  <c r="IA10" i="76" s="1"/>
  <c r="IB10" i="76" s="1"/>
  <c r="IC10" i="76" s="1"/>
  <c r="ID10" i="76" s="1"/>
  <c r="IE10" i="76" s="1"/>
  <c r="IF10" i="76" s="1"/>
  <c r="IG10" i="76" s="1"/>
  <c r="IH10" i="76" s="1"/>
  <c r="II10" i="76" s="1"/>
  <c r="IJ10" i="76" s="1"/>
  <c r="IK10" i="76" s="1"/>
  <c r="IL10" i="76" s="1"/>
  <c r="IM10" i="76" s="1"/>
  <c r="IN10" i="76" s="1"/>
  <c r="IO10" i="76" s="1"/>
  <c r="IP10" i="76" s="1"/>
  <c r="IQ10" i="76" s="1"/>
  <c r="IR10" i="76" s="1"/>
  <c r="IS10" i="76" s="1"/>
  <c r="IT10" i="76" s="1"/>
  <c r="IU10" i="76" s="1"/>
  <c r="IV10" i="76" s="1"/>
  <c r="IW10" i="76" s="1"/>
  <c r="IX10" i="76" s="1"/>
  <c r="IY10" i="76" s="1"/>
  <c r="IZ10" i="76" s="1"/>
  <c r="D10" i="75"/>
  <c r="AI10" i="75"/>
  <c r="AJ10" i="75" s="1"/>
  <c r="AK10" i="75" s="1"/>
  <c r="AL10" i="75" s="1"/>
  <c r="AM10" i="75" s="1"/>
  <c r="AN10" i="75" s="1"/>
  <c r="AO10" i="75" s="1"/>
  <c r="AP10" i="75" s="1"/>
  <c r="AQ10" i="75" s="1"/>
  <c r="AR10" i="75" s="1"/>
  <c r="AS10" i="75" s="1"/>
  <c r="AT10" i="75" s="1"/>
  <c r="AU10" i="75" s="1"/>
  <c r="AV10" i="75" s="1"/>
  <c r="AW10" i="75" s="1"/>
  <c r="AX10" i="75" s="1"/>
  <c r="AY10" i="75" s="1"/>
  <c r="AZ10" i="75" s="1"/>
  <c r="BA10" i="75" s="1"/>
  <c r="BB10" i="75" s="1"/>
  <c r="BC10" i="75" s="1"/>
  <c r="BD10" i="75" s="1"/>
  <c r="BE10" i="75" s="1"/>
  <c r="BF10" i="75" s="1"/>
  <c r="BG10" i="75" s="1"/>
  <c r="BH10" i="75" s="1"/>
  <c r="BI10" i="75" s="1"/>
  <c r="BJ10" i="75" s="1"/>
  <c r="BK10" i="75" s="1"/>
  <c r="BL10" i="75" s="1"/>
  <c r="BM10" i="75" s="1"/>
  <c r="BO10" i="75"/>
  <c r="BP10" i="75" s="1"/>
  <c r="BQ10" i="75" s="1"/>
  <c r="BR10" i="75" s="1"/>
  <c r="BS10" i="75" s="1"/>
  <c r="BT10" i="75" s="1"/>
  <c r="BU10" i="75" s="1"/>
  <c r="BV10" i="75" s="1"/>
  <c r="BW10" i="75" s="1"/>
  <c r="BX10" i="75" s="1"/>
  <c r="BY10" i="75" s="1"/>
  <c r="BZ10" i="75" s="1"/>
  <c r="CA10" i="75" s="1"/>
  <c r="CB10" i="75" s="1"/>
  <c r="CC10" i="75" s="1"/>
  <c r="CD10" i="75" s="1"/>
  <c r="CE10" i="75" s="1"/>
  <c r="CF10" i="75" s="1"/>
  <c r="CG10" i="75" s="1"/>
  <c r="CH10" i="75" s="1"/>
  <c r="CI10" i="75" s="1"/>
  <c r="CJ10" i="75" s="1"/>
  <c r="CK10" i="75" s="1"/>
  <c r="CL10" i="75" s="1"/>
  <c r="CM10" i="75" s="1"/>
  <c r="CN10" i="75" s="1"/>
  <c r="CO10" i="75" s="1"/>
  <c r="CP10" i="75" s="1"/>
  <c r="CQ10" i="75" s="1"/>
  <c r="CR10" i="75" s="1"/>
  <c r="CS10" i="75" s="1"/>
  <c r="CU10" i="75"/>
  <c r="CV10" i="75" s="1"/>
  <c r="CW10" i="75" s="1"/>
  <c r="CX10" i="75" s="1"/>
  <c r="CY10" i="75" s="1"/>
  <c r="CZ10" i="75" s="1"/>
  <c r="DA10" i="75" s="1"/>
  <c r="DB10" i="75" s="1"/>
  <c r="DC10" i="75" s="1"/>
  <c r="DD10" i="75" s="1"/>
  <c r="DE10" i="75" s="1"/>
  <c r="DF10" i="75" s="1"/>
  <c r="DG10" i="75" s="1"/>
  <c r="DH10" i="75" s="1"/>
  <c r="DI10" i="75" s="1"/>
  <c r="DJ10" i="75" s="1"/>
  <c r="DK10" i="75" s="1"/>
  <c r="DL10" i="75" s="1"/>
  <c r="DM10" i="75" s="1"/>
  <c r="DN10" i="75" s="1"/>
  <c r="DO10" i="75" s="1"/>
  <c r="DP10" i="75" s="1"/>
  <c r="DQ10" i="75" s="1"/>
  <c r="DR10" i="75" s="1"/>
  <c r="DS10" i="75" s="1"/>
  <c r="DT10" i="75" s="1"/>
  <c r="DU10" i="75" s="1"/>
  <c r="DV10" i="75" s="1"/>
  <c r="DW10" i="75" s="1"/>
  <c r="DX10" i="75" s="1"/>
  <c r="DY10" i="75" s="1"/>
  <c r="EA10" i="75"/>
  <c r="EB10" i="75" s="1"/>
  <c r="EC10" i="75" s="1"/>
  <c r="ED10" i="75" s="1"/>
  <c r="EE10" i="75" s="1"/>
  <c r="EF10" i="75" s="1"/>
  <c r="EG10" i="75" s="1"/>
  <c r="EH10" i="75" s="1"/>
  <c r="EI10" i="75" s="1"/>
  <c r="EJ10" i="75" s="1"/>
  <c r="EK10" i="75" s="1"/>
  <c r="EL10" i="75" s="1"/>
  <c r="EM10" i="75" s="1"/>
  <c r="EN10" i="75" s="1"/>
  <c r="EO10" i="75" s="1"/>
  <c r="EP10" i="75" s="1"/>
  <c r="EQ10" i="75" s="1"/>
  <c r="ER10" i="75" s="1"/>
  <c r="ES10" i="75" s="1"/>
  <c r="ET10" i="75" s="1"/>
  <c r="EU10" i="75" s="1"/>
  <c r="EV10" i="75" s="1"/>
  <c r="EW10" i="75" s="1"/>
  <c r="EX10" i="75" s="1"/>
  <c r="EY10" i="75" s="1"/>
  <c r="EZ10" i="75" s="1"/>
  <c r="FA10" i="75" s="1"/>
  <c r="FB10" i="75" s="1"/>
  <c r="FC10" i="75" s="1"/>
  <c r="FD10" i="75" s="1"/>
  <c r="FE10" i="75" s="1"/>
  <c r="FG10" i="75"/>
  <c r="FI10" i="75"/>
  <c r="FJ10" i="75" s="1"/>
  <c r="FK10" i="75" s="1"/>
  <c r="FL10" i="75" s="1"/>
  <c r="FM10" i="75" s="1"/>
  <c r="FN10" i="75" s="1"/>
  <c r="FO10" i="75" s="1"/>
  <c r="FP10" i="75" s="1"/>
  <c r="FQ10" i="75" s="1"/>
  <c r="FR10" i="75" s="1"/>
  <c r="FS10" i="75" s="1"/>
  <c r="FT10" i="75" s="1"/>
  <c r="FU10" i="75" s="1"/>
  <c r="FV10" i="75" s="1"/>
  <c r="FW10" i="75" s="1"/>
  <c r="FX10" i="75" s="1"/>
  <c r="FY10" i="75" s="1"/>
  <c r="FZ10" i="75" s="1"/>
  <c r="GA10" i="75" s="1"/>
  <c r="GB10" i="75" s="1"/>
  <c r="GC10" i="75" s="1"/>
  <c r="GD10" i="75" s="1"/>
  <c r="GE10" i="75" s="1"/>
  <c r="GF10" i="75" s="1"/>
  <c r="GG10" i="75" s="1"/>
  <c r="GH10" i="75" s="1"/>
  <c r="GI10" i="75" s="1"/>
  <c r="GJ10" i="75" s="1"/>
  <c r="GK10" i="75" s="1"/>
  <c r="GL10" i="75" s="1"/>
  <c r="GM10" i="75" s="1"/>
  <c r="GO10" i="75"/>
  <c r="GP10" i="75" s="1"/>
  <c r="GQ10" i="75" s="1"/>
  <c r="GR10" i="75" s="1"/>
  <c r="GS10" i="75" s="1"/>
  <c r="GT10" i="75" s="1"/>
  <c r="GU10" i="75" s="1"/>
  <c r="GV10" i="75" s="1"/>
  <c r="GW10" i="75" s="1"/>
  <c r="GX10" i="75" s="1"/>
  <c r="GY10" i="75" s="1"/>
  <c r="GZ10" i="75" s="1"/>
  <c r="HA10" i="75" s="1"/>
  <c r="HB10" i="75" s="1"/>
  <c r="HC10" i="75" s="1"/>
  <c r="HD10" i="75" s="1"/>
  <c r="HE10" i="75" s="1"/>
  <c r="HF10" i="75" s="1"/>
  <c r="HG10" i="75" s="1"/>
  <c r="HH10" i="75" s="1"/>
  <c r="HI10" i="75" s="1"/>
  <c r="HJ10" i="75" s="1"/>
  <c r="HK10" i="75" s="1"/>
  <c r="HL10" i="75" s="1"/>
  <c r="HM10" i="75" s="1"/>
  <c r="HN10" i="75" s="1"/>
  <c r="HO10" i="75" s="1"/>
  <c r="HP10" i="75" s="1"/>
  <c r="HQ10" i="75" s="1"/>
  <c r="HR10" i="75" s="1"/>
  <c r="HS10" i="75" s="1"/>
  <c r="HU10" i="75"/>
  <c r="HV10" i="75" s="1"/>
  <c r="HW10" i="75" s="1"/>
  <c r="HX10" i="75" s="1"/>
  <c r="HY10" i="75" s="1"/>
  <c r="HZ10" i="75" s="1"/>
  <c r="IA10" i="75" s="1"/>
  <c r="IB10" i="75" s="1"/>
  <c r="IC10" i="75" s="1"/>
  <c r="ID10" i="75" s="1"/>
  <c r="IE10" i="75" s="1"/>
  <c r="IF10" i="75" s="1"/>
  <c r="IG10" i="75" s="1"/>
  <c r="IH10" i="75" s="1"/>
  <c r="II10" i="75" s="1"/>
  <c r="IJ10" i="75" s="1"/>
  <c r="IK10" i="75" s="1"/>
  <c r="IL10" i="75" s="1"/>
  <c r="IM10" i="75" s="1"/>
  <c r="IN10" i="75" s="1"/>
  <c r="IO10" i="75" s="1"/>
  <c r="IP10" i="75" s="1"/>
  <c r="IQ10" i="75" s="1"/>
  <c r="IR10" i="75" s="1"/>
  <c r="IS10" i="75" s="1"/>
  <c r="IT10" i="75" s="1"/>
  <c r="IU10" i="75" s="1"/>
  <c r="IV10" i="75" s="1"/>
  <c r="IW10" i="75" s="1"/>
  <c r="IX10" i="75" s="1"/>
  <c r="IY10" i="75" s="1"/>
  <c r="JQ10" i="75"/>
  <c r="JS10" i="75"/>
  <c r="A81" i="45" l="1"/>
  <c r="A82" i="45"/>
  <c r="A83" i="45"/>
  <c r="A84" i="45"/>
  <c r="A85" i="45"/>
  <c r="A86" i="45"/>
  <c r="A87" i="45"/>
  <c r="A88" i="45"/>
  <c r="A89" i="45"/>
  <c r="A90" i="45"/>
  <c r="A91" i="45"/>
  <c r="A92" i="45"/>
  <c r="A93" i="45"/>
  <c r="A94" i="45"/>
  <c r="A95" i="45"/>
  <c r="A96" i="45"/>
  <c r="A97" i="45"/>
  <c r="A98" i="45"/>
  <c r="A99" i="45"/>
  <c r="A100" i="45"/>
  <c r="A101" i="45"/>
  <c r="A102" i="45"/>
  <c r="A103" i="45"/>
  <c r="A104" i="45"/>
  <c r="A105" i="45"/>
  <c r="A106" i="45"/>
  <c r="A107" i="45"/>
  <c r="A108" i="45"/>
  <c r="A109" i="45"/>
  <c r="A110" i="45"/>
  <c r="A80" i="45"/>
  <c r="L24" i="44" l="1"/>
  <c r="L23" i="44"/>
  <c r="D188" i="45"/>
  <c r="D189" i="45"/>
  <c r="D190" i="45" l="1"/>
  <c r="D191" i="45"/>
  <c r="D192" i="45"/>
  <c r="D193" i="45"/>
  <c r="D194" i="45"/>
  <c r="J31" i="52" l="1"/>
  <c r="AP10" i="53"/>
  <c r="AQ10" i="53" s="1"/>
  <c r="AR10" i="53" s="1"/>
  <c r="AS10" i="53" s="1"/>
  <c r="AT10" i="53" s="1"/>
  <c r="AU10" i="53" s="1"/>
  <c r="AV10" i="53" s="1"/>
  <c r="AW10" i="53" s="1"/>
  <c r="AX10" i="53" s="1"/>
  <c r="AY10" i="53" s="1"/>
  <c r="AZ10" i="53" s="1"/>
  <c r="BA10" i="53" s="1"/>
  <c r="BB10" i="53" s="1"/>
  <c r="BC10" i="53" s="1"/>
  <c r="BD10" i="53" s="1"/>
  <c r="BE10" i="53" s="1"/>
  <c r="BF10" i="53" s="1"/>
  <c r="BG10" i="53" s="1"/>
  <c r="BH10" i="53" s="1"/>
  <c r="BI10" i="53" s="1"/>
  <c r="BJ10" i="53" s="1"/>
  <c r="BK10" i="53" s="1"/>
  <c r="BL10" i="53" s="1"/>
  <c r="BM10" i="53" s="1"/>
  <c r="BN10" i="53" s="1"/>
  <c r="BO10" i="53" s="1"/>
  <c r="BP10" i="53" s="1"/>
  <c r="BQ10" i="53" s="1"/>
  <c r="BR10" i="53" s="1"/>
  <c r="BS10" i="53" s="1"/>
  <c r="BT10" i="53" s="1"/>
  <c r="J10" i="53"/>
  <c r="K10" i="53" s="1"/>
  <c r="L10" i="53" s="1"/>
  <c r="M10" i="53" s="1"/>
  <c r="N10" i="53" s="1"/>
  <c r="O10" i="53" s="1"/>
  <c r="P10" i="53" s="1"/>
  <c r="Q10" i="53" s="1"/>
  <c r="R10" i="53" s="1"/>
  <c r="S10" i="53" s="1"/>
  <c r="T10" i="53" s="1"/>
  <c r="U10" i="53" s="1"/>
  <c r="V10" i="53" s="1"/>
  <c r="W10" i="53" s="1"/>
  <c r="X10" i="53" s="1"/>
  <c r="Y10" i="53" s="1"/>
  <c r="Z10" i="53" s="1"/>
  <c r="AA10" i="53" s="1"/>
  <c r="AB10" i="53" s="1"/>
  <c r="AC10" i="53" s="1"/>
  <c r="AD10" i="53" s="1"/>
  <c r="AE10" i="53" s="1"/>
  <c r="AF10" i="53" s="1"/>
  <c r="AG10" i="53" s="1"/>
  <c r="AH10" i="53" s="1"/>
  <c r="AI10" i="53" s="1"/>
  <c r="AJ10" i="53" s="1"/>
  <c r="AK10" i="53" s="1"/>
  <c r="AL10" i="53" s="1"/>
  <c r="AM10" i="53" s="1"/>
  <c r="AN10" i="53" s="1"/>
  <c r="EO27" i="50"/>
  <c r="EP27" i="50" s="1"/>
  <c r="EQ27" i="50" s="1"/>
  <c r="ER27" i="50" s="1"/>
  <c r="ES27" i="50" s="1"/>
  <c r="ET27" i="50" s="1"/>
  <c r="EU27" i="50" s="1"/>
  <c r="EV27" i="50" s="1"/>
  <c r="EW27" i="50" s="1"/>
  <c r="EX27" i="50" s="1"/>
  <c r="EY27" i="50" s="1"/>
  <c r="EZ27" i="50" s="1"/>
  <c r="FA27" i="50" s="1"/>
  <c r="FB27" i="50" s="1"/>
  <c r="FC27" i="50" s="1"/>
  <c r="FD27" i="50" s="1"/>
  <c r="FE27" i="50" s="1"/>
  <c r="FF27" i="50" s="1"/>
  <c r="FG27" i="50" s="1"/>
  <c r="FH27" i="50" s="1"/>
  <c r="FI27" i="50" s="1"/>
  <c r="FJ27" i="50" s="1"/>
  <c r="FK27" i="50" s="1"/>
  <c r="FL27" i="50" s="1"/>
  <c r="FM27" i="50" s="1"/>
  <c r="FN27" i="50" s="1"/>
  <c r="FO27" i="50" s="1"/>
  <c r="FP27" i="50" s="1"/>
  <c r="FQ27" i="50" s="1"/>
  <c r="FR27" i="50" s="1"/>
  <c r="FS27" i="50" s="1"/>
  <c r="DI27" i="50"/>
  <c r="DJ27" i="50" s="1"/>
  <c r="DK27" i="50" s="1"/>
  <c r="DL27" i="50" s="1"/>
  <c r="DM27" i="50" s="1"/>
  <c r="DN27" i="50" s="1"/>
  <c r="DO27" i="50" s="1"/>
  <c r="DP27" i="50" s="1"/>
  <c r="DQ27" i="50" s="1"/>
  <c r="DR27" i="50" s="1"/>
  <c r="DS27" i="50" s="1"/>
  <c r="DT27" i="50" s="1"/>
  <c r="DU27" i="50" s="1"/>
  <c r="DV27" i="50" s="1"/>
  <c r="DW27" i="50" s="1"/>
  <c r="DX27" i="50" s="1"/>
  <c r="DY27" i="50" s="1"/>
  <c r="DZ27" i="50" s="1"/>
  <c r="EA27" i="50" s="1"/>
  <c r="EB27" i="50" s="1"/>
  <c r="EC27" i="50" s="1"/>
  <c r="ED27" i="50" s="1"/>
  <c r="EE27" i="50" s="1"/>
  <c r="EF27" i="50" s="1"/>
  <c r="EG27" i="50" s="1"/>
  <c r="EH27" i="50" s="1"/>
  <c r="EI27" i="50" s="1"/>
  <c r="EJ27" i="50" s="1"/>
  <c r="EK27" i="50" s="1"/>
  <c r="EL27" i="50" s="1"/>
  <c r="EM27" i="50" s="1"/>
  <c r="CC27" i="50"/>
  <c r="CD27" i="50" s="1"/>
  <c r="CE27" i="50" s="1"/>
  <c r="CF27" i="50" s="1"/>
  <c r="CG27" i="50" s="1"/>
  <c r="CH27" i="50" s="1"/>
  <c r="CI27" i="50" s="1"/>
  <c r="CJ27" i="50" s="1"/>
  <c r="CK27" i="50" s="1"/>
  <c r="CL27" i="50" s="1"/>
  <c r="CM27" i="50" s="1"/>
  <c r="CN27" i="50" s="1"/>
  <c r="CO27" i="50" s="1"/>
  <c r="CP27" i="50" s="1"/>
  <c r="CQ27" i="50" s="1"/>
  <c r="CR27" i="50" s="1"/>
  <c r="CS27" i="50" s="1"/>
  <c r="CT27" i="50" s="1"/>
  <c r="CU27" i="50" s="1"/>
  <c r="CV27" i="50" s="1"/>
  <c r="CW27" i="50" s="1"/>
  <c r="CX27" i="50" s="1"/>
  <c r="CY27" i="50" s="1"/>
  <c r="CZ27" i="50" s="1"/>
  <c r="DA27" i="50" s="1"/>
  <c r="DB27" i="50" s="1"/>
  <c r="DC27" i="50" s="1"/>
  <c r="DD27" i="50" s="1"/>
  <c r="DE27" i="50" s="1"/>
  <c r="DF27" i="50" s="1"/>
  <c r="DG27" i="50" s="1"/>
  <c r="AW27" i="50"/>
  <c r="AX27" i="50" s="1"/>
  <c r="AY27" i="50" s="1"/>
  <c r="AZ27" i="50" s="1"/>
  <c r="BA27" i="50" s="1"/>
  <c r="BB27" i="50" s="1"/>
  <c r="BC27" i="50" s="1"/>
  <c r="BD27" i="50" s="1"/>
  <c r="BE27" i="50" s="1"/>
  <c r="BF27" i="50" s="1"/>
  <c r="BG27" i="50" s="1"/>
  <c r="BH27" i="50" s="1"/>
  <c r="BI27" i="50" s="1"/>
  <c r="BJ27" i="50" s="1"/>
  <c r="BK27" i="50" s="1"/>
  <c r="BL27" i="50" s="1"/>
  <c r="BM27" i="50" s="1"/>
  <c r="BN27" i="50" s="1"/>
  <c r="BO27" i="50" s="1"/>
  <c r="BP27" i="50" s="1"/>
  <c r="BQ27" i="50" s="1"/>
  <c r="BR27" i="50" s="1"/>
  <c r="BS27" i="50" s="1"/>
  <c r="BT27" i="50" s="1"/>
  <c r="BU27" i="50" s="1"/>
  <c r="BV27" i="50" s="1"/>
  <c r="BW27" i="50" s="1"/>
  <c r="BX27" i="50" s="1"/>
  <c r="BY27" i="50" s="1"/>
  <c r="BZ27" i="50" s="1"/>
  <c r="CA27" i="50" s="1"/>
  <c r="Q27" i="50"/>
  <c r="R27" i="50" s="1"/>
  <c r="S27" i="50" s="1"/>
  <c r="T27" i="50" s="1"/>
  <c r="U27" i="50" s="1"/>
  <c r="V27" i="50" s="1"/>
  <c r="W27" i="50" s="1"/>
  <c r="X27" i="50" s="1"/>
  <c r="Y27" i="50" s="1"/>
  <c r="Z27" i="50" s="1"/>
  <c r="AA27" i="50" s="1"/>
  <c r="AB27" i="50" s="1"/>
  <c r="AC27" i="50" s="1"/>
  <c r="AD27" i="50" s="1"/>
  <c r="AE27" i="50" s="1"/>
  <c r="AF27" i="50" s="1"/>
  <c r="AG27" i="50" s="1"/>
  <c r="AH27" i="50" s="1"/>
  <c r="AI27" i="50" s="1"/>
  <c r="AJ27" i="50" s="1"/>
  <c r="AK27" i="50" s="1"/>
  <c r="AL27" i="50" s="1"/>
  <c r="AM27" i="50" s="1"/>
  <c r="AN27" i="50" s="1"/>
  <c r="AO27" i="50" s="1"/>
  <c r="AP27" i="50" s="1"/>
  <c r="AQ27" i="50" s="1"/>
  <c r="AR27" i="50" s="1"/>
  <c r="AS27" i="50" s="1"/>
  <c r="AT27" i="50" s="1"/>
  <c r="AU27" i="50" s="1"/>
  <c r="CC10" i="49"/>
  <c r="CD10" i="49" s="1"/>
  <c r="CE10" i="49" s="1"/>
  <c r="CF10" i="49" s="1"/>
  <c r="CG10" i="49" s="1"/>
  <c r="CH10" i="49" s="1"/>
  <c r="CI10" i="49" s="1"/>
  <c r="CJ10" i="49" s="1"/>
  <c r="CK10" i="49" s="1"/>
  <c r="CL10" i="49" s="1"/>
  <c r="CM10" i="49" s="1"/>
  <c r="CN10" i="49" s="1"/>
  <c r="CO10" i="49" s="1"/>
  <c r="CP10" i="49" s="1"/>
  <c r="CQ10" i="49" s="1"/>
  <c r="CR10" i="49" s="1"/>
  <c r="CS10" i="49" s="1"/>
  <c r="CT10" i="49" s="1"/>
  <c r="CU10" i="49" s="1"/>
  <c r="CV10" i="49" s="1"/>
  <c r="CW10" i="49" s="1"/>
  <c r="CX10" i="49" s="1"/>
  <c r="CY10" i="49" s="1"/>
  <c r="CZ10" i="49" s="1"/>
  <c r="DA10" i="49" s="1"/>
  <c r="DB10" i="49" s="1"/>
  <c r="DC10" i="49" s="1"/>
  <c r="DD10" i="49" s="1"/>
  <c r="DE10" i="49" s="1"/>
  <c r="DF10" i="49" s="1"/>
  <c r="DG10" i="49" s="1"/>
  <c r="AU10" i="49"/>
  <c r="AV10" i="49" s="1"/>
  <c r="AW10" i="49" s="1"/>
  <c r="AX10" i="49" s="1"/>
  <c r="AY10" i="49" s="1"/>
  <c r="AZ10" i="49" s="1"/>
  <c r="BA10" i="49" s="1"/>
  <c r="BB10" i="49" s="1"/>
  <c r="BC10" i="49" s="1"/>
  <c r="BD10" i="49" s="1"/>
  <c r="BE10" i="49" s="1"/>
  <c r="BF10" i="49" s="1"/>
  <c r="BG10" i="49" s="1"/>
  <c r="BH10" i="49" s="1"/>
  <c r="BI10" i="49" s="1"/>
  <c r="BJ10" i="49" s="1"/>
  <c r="BK10" i="49" s="1"/>
  <c r="BL10" i="49" s="1"/>
  <c r="BM10" i="49" s="1"/>
  <c r="BN10" i="49" s="1"/>
  <c r="BO10" i="49" s="1"/>
  <c r="BP10" i="49" s="1"/>
  <c r="BQ10" i="49" s="1"/>
  <c r="BR10" i="49" s="1"/>
  <c r="BS10" i="49" s="1"/>
  <c r="BT10" i="49" s="1"/>
  <c r="BU10" i="49" s="1"/>
  <c r="BV10" i="49" s="1"/>
  <c r="BW10" i="49" s="1"/>
  <c r="BX10" i="49" s="1"/>
  <c r="BY10" i="49" s="1"/>
  <c r="H7" i="51"/>
  <c r="I7" i="51" s="1"/>
  <c r="J7" i="51" s="1"/>
  <c r="K7" i="51" s="1"/>
  <c r="L7" i="51" s="1"/>
  <c r="M7" i="51" s="1"/>
  <c r="N7" i="51" s="1"/>
  <c r="O7" i="51" s="1"/>
  <c r="P7" i="51" s="1"/>
  <c r="Q7" i="51" s="1"/>
  <c r="R7" i="51" s="1"/>
  <c r="S7" i="51" s="1"/>
  <c r="T7" i="51" s="1"/>
  <c r="U7" i="51" s="1"/>
  <c r="V7" i="51" s="1"/>
  <c r="W7" i="51" s="1"/>
  <c r="X7" i="51" s="1"/>
  <c r="Y7" i="51" s="1"/>
  <c r="Z7" i="51" s="1"/>
  <c r="AA7" i="51" s="1"/>
  <c r="AB7" i="51" s="1"/>
  <c r="AC7" i="51" s="1"/>
  <c r="AD7" i="51" s="1"/>
  <c r="AE7" i="51" s="1"/>
  <c r="AF7" i="51" s="1"/>
  <c r="AG7" i="51" s="1"/>
  <c r="AH7" i="51" s="1"/>
  <c r="AI7" i="51" s="1"/>
  <c r="AJ7" i="51" s="1"/>
  <c r="AK7" i="51" s="1"/>
  <c r="AL7" i="51" s="1"/>
  <c r="R165" i="50" l="1"/>
  <c r="S165" i="50" s="1"/>
  <c r="T165" i="50" s="1"/>
  <c r="U165" i="50" s="1"/>
  <c r="V165" i="50" s="1"/>
  <c r="W165" i="50" s="1"/>
  <c r="X165" i="50" s="1"/>
  <c r="Y165" i="50" s="1"/>
  <c r="Z165" i="50" s="1"/>
  <c r="AA165" i="50" s="1"/>
  <c r="AB165" i="50" s="1"/>
  <c r="AC165" i="50" s="1"/>
  <c r="AD165" i="50" s="1"/>
  <c r="AE165" i="50" s="1"/>
  <c r="AF165" i="50" s="1"/>
  <c r="AG165" i="50" s="1"/>
  <c r="AH165" i="50" s="1"/>
  <c r="AI165" i="50" s="1"/>
  <c r="AJ165" i="50" s="1"/>
  <c r="AK165" i="50" s="1"/>
  <c r="AL165" i="50" s="1"/>
  <c r="AM165" i="50" s="1"/>
  <c r="AN165" i="50" s="1"/>
  <c r="AO165" i="50" s="1"/>
  <c r="AP165" i="50" s="1"/>
  <c r="AQ165" i="50" s="1"/>
  <c r="AR165" i="50" s="1"/>
  <c r="AS165" i="50" s="1"/>
  <c r="AT165" i="50" s="1"/>
  <c r="AU165" i="50" s="1"/>
  <c r="AH8" i="70" l="1"/>
  <c r="AI8" i="70"/>
  <c r="AJ8" i="70"/>
  <c r="AK8" i="70"/>
  <c r="AL8" i="70"/>
  <c r="AM8" i="70"/>
  <c r="AN8" i="70"/>
  <c r="AO8" i="70"/>
  <c r="AP8" i="70"/>
  <c r="AQ8" i="70"/>
  <c r="AR8" i="70"/>
  <c r="AS8" i="70"/>
  <c r="AT8" i="70"/>
  <c r="AU8" i="70"/>
  <c r="AV8" i="70"/>
  <c r="AW8" i="70"/>
  <c r="AX8" i="70"/>
  <c r="AY8" i="70"/>
  <c r="AZ8" i="70"/>
  <c r="BA8" i="70"/>
  <c r="BB8" i="70"/>
  <c r="BC8" i="70"/>
  <c r="BD8" i="70"/>
  <c r="AG8" i="70"/>
  <c r="AC9" i="70"/>
  <c r="H12" i="62" l="1"/>
  <c r="I12" i="62" s="1"/>
  <c r="J12" i="62" s="1"/>
  <c r="K12" i="62" s="1"/>
  <c r="L12" i="62" s="1"/>
  <c r="M12" i="62" s="1"/>
  <c r="N12" i="62" s="1"/>
  <c r="O12" i="62" s="1"/>
  <c r="P12" i="62" s="1"/>
  <c r="Q12" i="62" s="1"/>
  <c r="R12" i="62" s="1"/>
  <c r="S12" i="62" s="1"/>
  <c r="T12" i="62" s="1"/>
  <c r="U12" i="62" s="1"/>
  <c r="V12" i="62" s="1"/>
  <c r="W12" i="62" s="1"/>
  <c r="X12" i="62" s="1"/>
  <c r="Y12" i="62" s="1"/>
  <c r="Z12" i="62" s="1"/>
  <c r="AA12" i="62" s="1"/>
  <c r="AB12" i="62" s="1"/>
  <c r="AC12" i="62" s="1"/>
  <c r="AD12" i="62" s="1"/>
  <c r="AE12" i="62" s="1"/>
  <c r="AF12" i="62" s="1"/>
  <c r="AG12" i="62" s="1"/>
  <c r="AH12" i="62" s="1"/>
  <c r="AI12" i="62" s="1"/>
  <c r="AJ12" i="62" s="1"/>
  <c r="AK12" i="62" s="1"/>
  <c r="AQ12" i="62"/>
  <c r="AR12" i="62" l="1"/>
  <c r="AS12" i="62" l="1"/>
  <c r="L31" i="44" l="1"/>
  <c r="L113" i="44"/>
  <c r="L55" i="44"/>
  <c r="L53" i="44"/>
  <c r="L62" i="44"/>
  <c r="L96" i="44"/>
  <c r="L119" i="44"/>
  <c r="L56" i="44"/>
  <c r="L120" i="44"/>
  <c r="L88" i="44"/>
  <c r="L97" i="44"/>
  <c r="L83" i="44"/>
  <c r="L95" i="44"/>
  <c r="L101" i="44"/>
  <c r="L26" i="44"/>
  <c r="L117" i="44"/>
  <c r="L81" i="44"/>
  <c r="L66" i="44"/>
  <c r="L43" i="44"/>
  <c r="L60" i="44"/>
  <c r="L74" i="44"/>
  <c r="L99" i="44"/>
  <c r="AT12" i="62"/>
  <c r="AU12" i="62" l="1"/>
  <c r="AV12" i="62" l="1"/>
  <c r="P8" i="75" a="1"/>
  <c r="P8" i="75" s="1"/>
  <c r="D10" i="49"/>
  <c r="F10" i="53"/>
  <c r="F27" i="50"/>
  <c r="D7" i="51"/>
  <c r="F11" i="52"/>
  <c r="AW12" i="62" l="1"/>
  <c r="AX12" i="62" l="1"/>
  <c r="L46" i="44" l="1"/>
  <c r="AY12" i="62"/>
  <c r="AZ12" i="62" l="1"/>
  <c r="BA12" i="62" l="1"/>
  <c r="BB12" i="62" l="1"/>
  <c r="L38" i="44" l="1"/>
  <c r="L108" i="44"/>
  <c r="L104" i="44"/>
  <c r="L35" i="44"/>
  <c r="L73" i="44"/>
  <c r="L94" i="44"/>
  <c r="L68" i="44"/>
  <c r="L109" i="44"/>
  <c r="L78" i="44"/>
  <c r="L72" i="44"/>
  <c r="L59" i="44"/>
  <c r="L37" i="44"/>
  <c r="L30" i="44"/>
  <c r="L28" i="44"/>
  <c r="L111" i="44"/>
  <c r="L49" i="44"/>
  <c r="L92" i="44"/>
  <c r="L110" i="44"/>
  <c r="L86" i="44"/>
  <c r="L54" i="44"/>
  <c r="L70" i="44"/>
  <c r="L90" i="44"/>
  <c r="L116" i="44"/>
  <c r="L40" i="44"/>
  <c r="L103" i="44"/>
  <c r="L112" i="44"/>
  <c r="L85" i="44"/>
  <c r="L80" i="44"/>
  <c r="L52" i="44"/>
  <c r="L67" i="44"/>
  <c r="L47" i="44"/>
  <c r="L58" i="44"/>
  <c r="L63" i="44"/>
  <c r="L102" i="44"/>
  <c r="L79" i="44"/>
  <c r="L64" i="44"/>
  <c r="L25" i="44"/>
  <c r="L41" i="44"/>
  <c r="L87" i="44"/>
  <c r="L39" i="44"/>
  <c r="L51" i="44"/>
  <c r="L84" i="44"/>
  <c r="L105" i="44"/>
  <c r="L77" i="44"/>
  <c r="L50" i="44"/>
  <c r="L82" i="44"/>
  <c r="L36" i="44"/>
  <c r="L27" i="44"/>
  <c r="L91" i="44"/>
  <c r="L45" i="44"/>
  <c r="L115" i="44"/>
  <c r="L106" i="44"/>
  <c r="L75" i="44"/>
  <c r="L71" i="44"/>
  <c r="L89" i="44"/>
  <c r="L93" i="44"/>
  <c r="L76" i="44"/>
  <c r="L65" i="44"/>
  <c r="L33" i="44"/>
  <c r="L107" i="44"/>
  <c r="L42" i="44"/>
  <c r="L32" i="44"/>
  <c r="L44" i="44"/>
  <c r="L57" i="44"/>
  <c r="L69" i="44"/>
  <c r="L48" i="44"/>
  <c r="L34" i="44"/>
  <c r="L29" i="44"/>
  <c r="L100" i="44"/>
  <c r="L114" i="44"/>
  <c r="L61" i="44"/>
  <c r="L118" i="44"/>
  <c r="L98" i="44"/>
  <c r="BC12" i="62"/>
  <c r="E31" i="45" l="1"/>
  <c r="E30" i="45"/>
  <c r="E34" i="45"/>
  <c r="E24" i="45"/>
  <c r="E22" i="45"/>
  <c r="E25" i="45"/>
  <c r="E27" i="45"/>
  <c r="E29" i="45"/>
  <c r="E28" i="45"/>
  <c r="L22" i="44"/>
  <c r="E33" i="45"/>
  <c r="E36" i="45"/>
  <c r="E35" i="45"/>
  <c r="E23" i="45"/>
  <c r="E26" i="45"/>
  <c r="E32" i="45"/>
  <c r="E21" i="45"/>
  <c r="E19" i="45"/>
  <c r="E20" i="45"/>
  <c r="BD12" i="62"/>
  <c r="BE12" i="62" l="1"/>
  <c r="BF12" i="62" l="1"/>
  <c r="BG12" i="62" l="1"/>
  <c r="BH12" i="62" l="1"/>
  <c r="BI12" i="62" l="1"/>
  <c r="BJ12" i="62" l="1"/>
  <c r="BK12" i="62" l="1"/>
  <c r="BL12" i="62" l="1"/>
  <c r="BM12" i="62" l="1"/>
  <c r="BN12" i="62" l="1"/>
  <c r="BO12" i="62" l="1"/>
  <c r="BP12" i="62" l="1"/>
  <c r="BQ12" i="62" l="1"/>
  <c r="BR12" i="62" l="1"/>
  <c r="BS12" i="62" l="1"/>
  <c r="BT12"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tc={40A412CE-EC91-184A-84CC-A3F1639372C8}</author>
  </authors>
  <commentList>
    <comment ref="E186" authorId="0" shapeId="0" xr:uid="{40A412CE-EC91-184A-84CC-A3F1639372C8}">
      <text>
        <t>[Threaded comment]
Your version of Excel allows you to read this threaded comment; however, any edits to it will get removed if the file is opened in a newer version of Excel. Learn more: https://go.microsoft.com/fwlink/?linkid=870924
Comment:
    Finicky to have formulas hidden in grouped columns. Think about locking sheet</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<sst xmlns="http://schemas.openxmlformats.org/spreadsheetml/2006/main" count="6191" uniqueCount="940">
  <si>
    <t>允䅁䍁䅣䅁䍁䅁䅁䅁䅁䅁䅁䅉䅁䍁䅍䅒偂䙁䅣杔䵂䕁䄸兑䕂䍁䅁䅔䩂䕁䄰兓啂䅁䅁光䅁䍁䅧䅁橁䕁䅫杔坂䕁䅅䅔䩂䕁䅑䅉䑂䕁䄸兔兂䕁䅅杔婂䍁䅁兓䕂䅁䅁杁䅁䍁䅯䅁橁䕁䅫杔坂䕁䅅䅔䩂䕁䅑䅉乂䕁䅕䅖卂䕁䅫睑杁䕁䄴兑乂䕁䅕䅁楁䅁䅁䅄䅁䑁䅉䅍硁䑁䅫兗䅁䍁䅑䅁䕁䅁䅁兑䅁䉁䅍䅁䝁䅁䅁兑瑁䅁䅁兄䅁䅁䅧䅁䉂䕁䅅兌䅁䉁䄸䅁䥁䅁䅁兑䙂䙁䅁䅁十䅁䅁䅃䅁䕁䅉村瑁䅁䅁杈䅁䅁䅧䅁䍂䕁䅉村䅁䉁䅅䅁䭁䅁䅁村䍂䕁䅉睋䅁䅁䄸䅁䭁䅁䅁村䍂䕁䅉兌䅁䍁䅕䅁䥁䅁䅁村䱂䕁䅧䅁䕁䅁䅁䅄䅁䕁䅉杕䱂䍁䄴兑䅁䉁䅳䅁䕁䅁䅁䅒䅁䍁䅙䅁䥁䅁䅁兒乂䕁䅅䅁摁䅁䅁䅃䅁䕁䅙䅖呂䅁䅁杇䅁䅁䄴䅁䝂䙁䅫杍睁䑁䅉免䅁䅁䅣䅁佁䅁䅁杒婂䑁䅉䅍祁䑁䅉䅁䥁䅁䅁杄䅁䕁䅙兗祁䑁䅁杍穁䅁䅁元䅁䍁䅷䅁䝂䝁䄸杣求䝁䅫睚畂䍁䅁睑ㅂ䡁䅉杣求䝁䄴睙㕂䍁䅁䅔啂䡁䅷䅍䅁䅁䄴䅁䝁䅁䅁䅓䙂䅁䅁䅆䅁䅁䅧䅁䩂䕁䅑兑䅁䉁䅕䅁煁䅁䅁兓穂䡁䅍兤求䡁䅉䅉䑂䡁䅉党歂䝁䅫䅤杁䙁䅉兙あ䝁䅫杢湂䅁䅁睃䅁䍁䅧䅁䵂䝁䄸睙桂䝁䅷䅉䑂䡁䅕杣祂䝁䅕杢橂䡁䅫䅉䵂䙁䅑䅦睁䅁䅁䅄䅁䅁䅙䅁佂䙁䅉䅁婁䅁䅁䅃䅁䕁䄴睖䙂䅁䅁杆䅁䅁䅧䅁兂䕁䄴兔䅁䉁䅧䅁䥁䅁䅁䅕佂䙁䅣䅁䙁䅁䅁䅍䅁䙁䅉䅒時䕁䅍杕䙂䕁䅑兓啂䙁䄸杕䉂䙁䅑兓佂䕁䅣睘䡂䕁䅷睔䍂䕁䅅䅔䅁䅁䅯䅁䝁䅁䅁睕偂䅁䅁睁䅁䑁䅑䅁呂䙁䅁睘䝂䕁䅫䅖䑂䕁䅧睘䵂䙁䅑睘䑂䙁䅉兒䕂䕁䅫䅖時䙁䅉兑啂䕁䅫杔䡂䅁䅁䅉䅁䕁䅁䅁呂䙁䅁睘䩂䙁䅍睕噂䕁䅕杕時䕁䄰䅒婂䙁䅍睘䵂䙁䅑睘䩂䙁䅍睕噂䕁䅕杕時䙁䅉兑啂䕁䅫杔䡂䅁䅁䅅䅁䑁䅙䅁呂䙁䅁睘䵂䙁䅑睘䩂䙁䅍睕噂䕁䅕杕時䕁䅍杕䙂䕁䅑兓啂䙁䄸杕䉂䙁䅑兓佂䕁䅣䅁橁䅁䅁杇䅁䙁䅍䅕時䕁䄰兑卂䕁䅳兒啂䕁䅍兑兂䅁䅁允䅁䉁䅑䅁呂䙁䅁睘兂䕁䅕睘䙂䙁䅍䅖䅁䅁䅙䅁䥁䅁䅁睕卂䕁䅕䅁捁䅁䅁䅃䅁䙁䅧兒䵂䅁䅁睆䅁䅁䅁䅁㵁</t>
  </si>
  <si>
    <t>Recap &amp; Resolve Scenario Tool</t>
  </si>
  <si>
    <t>Created by</t>
  </si>
  <si>
    <t>Scenario Tool Configuration</t>
  </si>
  <si>
    <t>Saved Configurations</t>
  </si>
  <si>
    <t>User</t>
  </si>
  <si>
    <t>Ruoshui laptop</t>
  </si>
  <si>
    <t>Python Path</t>
  </si>
  <si>
    <t>Data Folder</t>
  </si>
  <si>
    <t>&gt; Data Folder should always be the "/data" subfolder in NMT project folder</t>
  </si>
  <si>
    <r>
      <t xml:space="preserve">Show </t>
    </r>
    <r>
      <rPr>
        <sz val="9"/>
        <color theme="1"/>
        <rFont val="Consolas"/>
        <family val="2"/>
      </rPr>
      <t>xlwings</t>
    </r>
    <r>
      <rPr>
        <sz val="9"/>
        <color theme="1"/>
        <rFont val="Arial"/>
        <family val="2"/>
      </rPr>
      <t xml:space="preserve"> Console</t>
    </r>
  </si>
  <si>
    <t>Cloud File Path Setup</t>
  </si>
  <si>
    <t>Cell Style Legend</t>
  </si>
  <si>
    <t>OneDrive</t>
  </si>
  <si>
    <t>Cells in this Scenario Tool are color-coded to indicate intent:</t>
  </si>
  <si>
    <t>SharePoint</t>
  </si>
  <si>
    <t>User Inputs</t>
  </si>
  <si>
    <t>Dropdown User Inputs</t>
  </si>
  <si>
    <t>Calculations or Fixed Values</t>
  </si>
  <si>
    <t>Calculations (different formula than neighboring cells)</t>
  </si>
  <si>
    <t>Table Headers</t>
  </si>
  <si>
    <t>Table Index</t>
  </si>
  <si>
    <t>Table Sub-Headers</t>
  </si>
  <si>
    <t>Instructions</t>
  </si>
  <si>
    <t>Instructions for this Scenario Tool can be found at:</t>
  </si>
  <si>
    <t>https://e3-.github.io/new-modeling-toolkit/resolve/scenario_tool</t>
  </si>
  <si>
    <t>Excel Compatibility</t>
  </si>
  <si>
    <r>
      <t xml:space="preserve">The Scenario Tool should work for Excel 365 or Excel 2021, as it uses "dynamic array" formulas, such as </t>
    </r>
    <r>
      <rPr>
        <sz val="9"/>
        <color theme="1"/>
        <rFont val="Consolas"/>
        <family val="2"/>
      </rPr>
      <t>FILTER</t>
    </r>
    <r>
      <rPr>
        <sz val="9"/>
        <color theme="1"/>
        <rFont val="Arial"/>
        <family val="2"/>
      </rPr>
      <t xml:space="preserve"> and </t>
    </r>
    <r>
      <rPr>
        <sz val="9"/>
        <color theme="1"/>
        <rFont val="Consolas"/>
        <family val="2"/>
      </rPr>
      <t>UNIQUE</t>
    </r>
  </si>
  <si>
    <t>RESOLVE Case Settings &amp; Scenarios</t>
  </si>
  <si>
    <t>Case Settings</t>
  </si>
  <si>
    <t>Run RESOLVE Cases</t>
  </si>
  <si>
    <t>Case Name</t>
  </si>
  <si>
    <t>System Name</t>
  </si>
  <si>
    <t>Case to Run</t>
  </si>
  <si>
    <t>attribute</t>
  </si>
  <si>
    <t>value</t>
  </si>
  <si>
    <t>cases</t>
  </si>
  <si>
    <t>system</t>
  </si>
  <si>
    <t>Input Scenarios</t>
  </si>
  <si>
    <t>Data Scenarios</t>
  </si>
  <si>
    <t>Components Tagged</t>
  </si>
  <si>
    <t>scenarios</t>
  </si>
  <si>
    <t>Base</t>
  </si>
  <si>
    <t>← lowest priority</t>
  </si>
  <si>
    <r>
      <rPr>
        <i/>
        <u/>
        <sz val="9"/>
        <color theme="1" tint="0.499984740745262"/>
        <rFont val="Arial (Body)"/>
      </rPr>
      <t>Windows users</t>
    </r>
    <r>
      <rPr>
        <i/>
        <sz val="9"/>
        <color theme="1" tint="0.499984740745262"/>
        <rFont val="Arial"/>
        <family val="2"/>
        <scheme val="minor"/>
      </rPr>
      <t xml:space="preserve">: Set "Show Console" to </t>
    </r>
    <r>
      <rPr>
        <i/>
        <sz val="9"/>
        <color theme="1" tint="0.499984740745262"/>
        <rFont val="Consolas"/>
        <family val="2"/>
      </rPr>
      <t>TRUE</t>
    </r>
    <r>
      <rPr>
        <i/>
        <sz val="9"/>
        <color theme="1" tint="0.499984740745262"/>
        <rFont val="Arial"/>
        <family val="2"/>
        <scheme val="minor"/>
      </rPr>
      <t xml:space="preserve"> on the </t>
    </r>
    <r>
      <rPr>
        <i/>
        <sz val="9"/>
        <color theme="1" tint="0.499984740745262"/>
        <rFont val="Consolas"/>
        <family val="2"/>
      </rPr>
      <t>xlwings.conf</t>
    </r>
    <r>
      <rPr>
        <i/>
        <sz val="9"/>
        <color theme="1" tint="0.499984740745262"/>
        <rFont val="Arial"/>
        <family val="2"/>
        <scheme val="minor"/>
      </rPr>
      <t xml:space="preserve"> tab to show a popup Command Prompt window to track RESOLVE progress. 
If "Show Console" is </t>
    </r>
    <r>
      <rPr>
        <i/>
        <sz val="9"/>
        <color theme="1" tint="0.499984740745262"/>
        <rFont val="Consolas"/>
        <family val="2"/>
      </rPr>
      <t>FALSE</t>
    </r>
    <r>
      <rPr>
        <i/>
        <sz val="9"/>
        <color theme="1" tint="0.499984740745262"/>
        <rFont val="Arial"/>
        <family val="2"/>
        <scheme val="minor"/>
      </rPr>
      <t xml:space="preserve"> (or you are on macOS), RESOLVE will run in the background.</t>
    </r>
  </si>
  <si>
    <t>← highest priority</t>
  </si>
  <si>
    <t>Representative Period Settings</t>
  </si>
  <si>
    <t>Representative Periods</t>
  </si>
  <si>
    <t>Method</t>
  </si>
  <si>
    <t>representative_periods_method</t>
  </si>
  <si>
    <t>manual</t>
  </si>
  <si>
    <t>Allow Inter-Period Dynamics</t>
  </si>
  <si>
    <t>allow_inter_period_dynamics</t>
  </si>
  <si>
    <t>Weather Years to Use</t>
  </si>
  <si>
    <t>timestamp</t>
  </si>
  <si>
    <t>weather_years_to_use</t>
  </si>
  <si>
    <t>Components to Consider for Clustering</t>
  </si>
  <si>
    <t>comp_id</t>
  </si>
  <si>
    <t>component_type</t>
  </si>
  <si>
    <t>name</t>
  </si>
  <si>
    <t>weight</t>
  </si>
  <si>
    <t>load</t>
  </si>
  <si>
    <t>CAISO Baseline</t>
  </si>
  <si>
    <t>Financial Discounting Settings</t>
  </si>
  <si>
    <t>Financial Assumptions</t>
  </si>
  <si>
    <t>Cost Dollar Year</t>
  </si>
  <si>
    <t>cost_dollar_year</t>
  </si>
  <si>
    <t>End Effect Years</t>
  </si>
  <si>
    <t>end_effect_years</t>
  </si>
  <si>
    <t>Modeled Year</t>
  </si>
  <si>
    <t>Discount Rate</t>
  </si>
  <si>
    <t>modeled_years</t>
  </si>
  <si>
    <t>annual_discount_rate</t>
  </si>
  <si>
    <t>Custom Constraint Groups</t>
  </si>
  <si>
    <t>Solver Settings</t>
  </si>
  <si>
    <t>Constraint Name</t>
  </si>
  <si>
    <t>constraints</t>
  </si>
  <si>
    <t>dispatch-assignment-operational</t>
  </si>
  <si>
    <t>caiso-deliverability</t>
  </si>
  <si>
    <t>technology-min-builds</t>
  </si>
  <si>
    <t>battery-regional-min-builds</t>
  </si>
  <si>
    <t>thermal-retention</t>
  </si>
  <si>
    <t>EO-minbuilds</t>
  </si>
  <si>
    <t>energy-only-combined-build-potential</t>
  </si>
  <si>
    <t>EO-assignment-noRA</t>
  </si>
  <si>
    <t>FCDS-only-resources</t>
  </si>
  <si>
    <t>generic-tx-build-potential</t>
  </si>
  <si>
    <t>generic-deliverability</t>
  </si>
  <si>
    <t>Solver Name</t>
  </si>
  <si>
    <t>gurobi</t>
  </si>
  <si>
    <t>Solver Option Name</t>
  </si>
  <si>
    <t>Solver Option Value</t>
  </si>
  <si>
    <t>Data Type</t>
  </si>
  <si>
    <t>Case Dashboard</t>
  </si>
  <si>
    <t>Use this tab to run cases you've saved via the RECAP Case Settings tab</t>
  </si>
  <si>
    <t>Run RECAP Cases</t>
  </si>
  <si>
    <t>WALC_Existing_Planned_IRP_08162022</t>
  </si>
  <si>
    <t>RECAP Case Settings &amp; Scenarios</t>
  </si>
  <si>
    <t xml:space="preserve">
</t>
  </si>
  <si>
    <t>Load / Run RECAP Cases</t>
  </si>
  <si>
    <t>User_guide_test_case</t>
  </si>
  <si>
    <t>Case to Load</t>
  </si>
  <si>
    <t>RECAP Settings</t>
  </si>
  <si>
    <t>Setting</t>
  </si>
  <si>
    <t>Value</t>
  </si>
  <si>
    <t>Notes</t>
  </si>
  <si>
    <t>setting</t>
  </si>
  <si>
    <t>system_name</t>
  </si>
  <si>
    <t>ISONE_toy_system</t>
  </si>
  <si>
    <t>zone_to_analyze</t>
  </si>
  <si>
    <t>ISONE</t>
  </si>
  <si>
    <t>analysis_year</t>
  </si>
  <si>
    <t>number_of_monte_carlo_draws</t>
  </si>
  <si>
    <t>output_dispatch_results</t>
  </si>
  <si>
    <t>incremental_pcap</t>
  </si>
  <si>
    <t>dispatch_mode</t>
  </si>
  <si>
    <t>fully_optimized</t>
  </si>
  <si>
    <t>dispatch_objective</t>
  </si>
  <si>
    <t>LOLE</t>
  </si>
  <si>
    <t>target_metric</t>
  </si>
  <si>
    <t>target_metric_value</t>
  </si>
  <si>
    <t>day_window_variable_draws</t>
  </si>
  <si>
    <t>variable_draws_probability_function</t>
  </si>
  <si>
    <t>multivariate_normal</t>
  </si>
  <si>
    <t>Use RECAP 2.0 Wrapper?</t>
  </si>
  <si>
    <r>
      <t>RECAP 2.0 wrapper currently will generate input files but</t>
    </r>
    <r>
      <rPr>
        <b/>
        <i/>
        <sz val="9"/>
        <color theme="1" tint="0.499984740745262"/>
        <rFont val="Arial"/>
        <family val="2"/>
        <scheme val="minor"/>
      </rPr>
      <t xml:space="preserve"> will NOT</t>
    </r>
    <r>
      <rPr>
        <i/>
        <sz val="9"/>
        <color theme="1" tint="0.499984740745262"/>
        <rFont val="Arial"/>
        <family val="2"/>
        <scheme val="minor"/>
      </rPr>
      <t xml:space="preserve"> kick off cases.
To kick off cases go to RECAP 2.0 "code" folder, add cases to "cases_to_run.csv", activate e3recap environment, and kick off cases with python runbatch_parallel.py (or runbatch.py to run cases in series)</t>
    </r>
  </si>
  <si>
    <t>draw_settings</t>
  </si>
  <si>
    <t>day_draw_ref</t>
  </si>
  <si>
    <t>* default to be "random"</t>
  </si>
  <si>
    <t>maximum_subproblem_length</t>
  </si>
  <si>
    <r>
      <rPr>
        <i/>
        <u/>
        <sz val="9"/>
        <color theme="1" tint="0.499984740745262"/>
        <rFont val="Arial (Body)"/>
      </rPr>
      <t>Windows users</t>
    </r>
    <r>
      <rPr>
        <i/>
        <sz val="9"/>
        <color theme="1" tint="0.499984740745262"/>
        <rFont val="Arial"/>
        <family val="2"/>
        <scheme val="minor"/>
      </rPr>
      <t>:</t>
    </r>
    <r>
      <rPr>
        <b/>
        <i/>
        <sz val="9"/>
        <color theme="1" tint="0.499984740745262"/>
        <rFont val="Arial"/>
        <family val="2"/>
        <scheme val="minor"/>
      </rPr>
      <t xml:space="preserve"> Set "Show Console" to </t>
    </r>
    <r>
      <rPr>
        <b/>
        <i/>
        <sz val="9"/>
        <color theme="1" tint="0.499984740745262"/>
        <rFont val="Consolas"/>
        <family val="2"/>
      </rPr>
      <t>TRUE</t>
    </r>
    <r>
      <rPr>
        <b/>
        <i/>
        <sz val="9"/>
        <color theme="1" tint="0.499984740745262"/>
        <rFont val="Arial"/>
        <family val="2"/>
        <scheme val="minor"/>
      </rPr>
      <t xml:space="preserve"> </t>
    </r>
    <r>
      <rPr>
        <i/>
        <sz val="9"/>
        <color theme="1" tint="0.499984740745262"/>
        <rFont val="Arial"/>
        <family val="2"/>
        <scheme val="minor"/>
      </rPr>
      <t xml:space="preserve">on the </t>
    </r>
    <r>
      <rPr>
        <i/>
        <sz val="9"/>
        <color theme="1" tint="0.499984740745262"/>
        <rFont val="Consolas"/>
        <family val="2"/>
      </rPr>
      <t>Cover&amp;Configuration</t>
    </r>
    <r>
      <rPr>
        <i/>
        <sz val="9"/>
        <color theme="1" tint="0.499984740745262"/>
        <rFont val="Arial"/>
        <family val="2"/>
        <scheme val="minor"/>
      </rPr>
      <t xml:space="preserve"> tab to show a popup Command Prompt window to track RECAP progress. 
If "Show Console" is </t>
    </r>
    <r>
      <rPr>
        <i/>
        <sz val="9"/>
        <color theme="1" tint="0.499984740745262"/>
        <rFont val="Consolas"/>
        <family val="2"/>
      </rPr>
      <t>FALSE</t>
    </r>
    <r>
      <rPr>
        <i/>
        <sz val="9"/>
        <color theme="1" tint="0.499984740745262"/>
        <rFont val="Arial"/>
        <family val="2"/>
        <scheme val="minor"/>
      </rPr>
      <t xml:space="preserve"> (or you are on macOS), RECAP will run in the background.</t>
    </r>
  </si>
  <si>
    <t>bisection_xtol</t>
  </si>
  <si>
    <t>Run Settings</t>
  </si>
  <si>
    <t>calculate_reliability</t>
  </si>
  <si>
    <t>* Run dispatch with 0 perfect capacity addition; no tuning</t>
  </si>
  <si>
    <t>calculate_reliability_w_incremental_pcap</t>
  </si>
  <si>
    <t>* Run dispatch with incremental amount of perfect capacity; no tuning</t>
  </si>
  <si>
    <t>calculate_perfect_capacity_shortfall</t>
  </si>
  <si>
    <t>* Tune case to target reliability metric</t>
  </si>
  <si>
    <t>calculate_total_resource_need</t>
  </si>
  <si>
    <t xml:space="preserve">* Tune "empty portfolio" to get total resource need </t>
  </si>
  <si>
    <t>calculate_portfolio_ELCC</t>
  </si>
  <si>
    <t>* Tune case to target reliability metric and get portfolio ELCC</t>
  </si>
  <si>
    <t>calculate_marginal_ELCC</t>
  </si>
  <si>
    <r>
      <t xml:space="preserve">* Default to be </t>
    </r>
    <r>
      <rPr>
        <i/>
        <sz val="9"/>
        <color theme="1"/>
        <rFont val="Consolas"/>
        <family val="3"/>
      </rPr>
      <t>FALSE</t>
    </r>
    <r>
      <rPr>
        <i/>
        <sz val="9"/>
        <color theme="1"/>
        <rFont val="Arial"/>
        <family val="2"/>
      </rPr>
      <t xml:space="preserve">; 
toggle to </t>
    </r>
    <r>
      <rPr>
        <i/>
        <sz val="9"/>
        <color theme="1"/>
        <rFont val="Consolas"/>
        <family val="3"/>
      </rPr>
      <t>TRUE</t>
    </r>
    <r>
      <rPr>
        <i/>
        <sz val="9"/>
        <color theme="1"/>
        <rFont val="Arial"/>
        <family val="2"/>
      </rPr>
      <t xml:space="preserve"> for case purpose</t>
    </r>
  </si>
  <si>
    <t>calculate_incremental_last_in_ELCC</t>
  </si>
  <si>
    <t>calculate_decremental_last_in_ELCC</t>
  </si>
  <si>
    <t>calculate_ELCC_surface</t>
  </si>
  <si>
    <t>Calculation Settings</t>
  </si>
  <si>
    <t>Marginal ELCC Step Size (MW)</t>
  </si>
  <si>
    <r>
      <t xml:space="preserve">* </t>
    </r>
    <r>
      <rPr>
        <b/>
        <i/>
        <sz val="9"/>
        <color theme="1"/>
        <rFont val="Arial"/>
        <family val="2"/>
      </rPr>
      <t>Incremental last-in</t>
    </r>
    <r>
      <rPr>
        <i/>
        <sz val="9"/>
        <color theme="1"/>
        <rFont val="Arial"/>
        <family val="2"/>
      </rPr>
      <t xml:space="preserve"> resources will be removed from system in aggregate and individually added back to calculate last-in ELCC</t>
    </r>
  </si>
  <si>
    <r>
      <t xml:space="preserve">* </t>
    </r>
    <r>
      <rPr>
        <b/>
        <i/>
        <sz val="9"/>
        <color theme="1"/>
        <rFont val="Arial"/>
        <family val="2"/>
      </rPr>
      <t>Decremental last-in</t>
    </r>
    <r>
      <rPr>
        <i/>
        <sz val="9"/>
        <color theme="1"/>
        <rFont val="Arial"/>
        <family val="2"/>
      </rPr>
      <t xml:space="preserve"> resources will be individually removed from system to calculate last-in ELCC</t>
    </r>
  </si>
  <si>
    <t>* Must be included in current system</t>
  </si>
  <si>
    <t>Marginal Resources</t>
  </si>
  <si>
    <t>Incremental Last-in Resources</t>
  </si>
  <si>
    <t>Decremental Last-in Resources</t>
  </si>
  <si>
    <t>Resource Name</t>
  </si>
  <si>
    <t>Incremental To Existing Nameplate?</t>
  </si>
  <si>
    <t>* If TRUE, nameplate capacities of existing resources will be increased by amounts in ELCC surface points
* If FALSE, nameplate capacities of existing resources will be set to amounts in ELCC surface points</t>
  </si>
  <si>
    <t>RESOLVE builds</t>
  </si>
  <si>
    <t>Load specific case - run</t>
  </si>
  <si>
    <t>Case name</t>
  </si>
  <si>
    <t>Choose a RESOLVE case to load</t>
  </si>
  <si>
    <t>Run name</t>
  </si>
  <si>
    <t>For the selected case, choose the specific run</t>
  </si>
  <si>
    <t>This will read RESOLVE build results for selected case-run and append them as additional rows in "Resources" tab. 
Planned Installed Capacity (MW) and Planned Storage Capacity (MWh) will be updated and get assigned a new scenario tag starting from "Resolvebuilds_".</t>
  </si>
  <si>
    <t>Temporal Settings: Representative Period Configuration</t>
  </si>
  <si>
    <t>Chronological Periods</t>
  </si>
  <si>
    <t>Map to Rep Periods</t>
  </si>
  <si>
    <t>Representative Period Weights</t>
  </si>
  <si>
    <t>Hours in Representative Period to</t>
  </si>
  <si>
    <t>period</t>
  </si>
  <si>
    <t>Chronological Period</t>
  </si>
  <si>
    <t>Representative Period</t>
  </si>
  <si>
    <t>Weight</t>
  </si>
  <si>
    <t>Custom Constraints</t>
  </si>
  <si>
    <t>This tab provides a template for users to input "custom constraints", which allows uers to constrain any arbitrary set of RESOLVE model variables.</t>
  </si>
  <si>
    <r>
      <t xml:space="preserve">For simplicity, the templates provided in the Scenario Tool are targeted at only </t>
    </r>
    <r>
      <rPr>
        <b/>
        <sz val="9"/>
        <color theme="1"/>
        <rFont val="Arial"/>
        <family val="2"/>
      </rPr>
      <t>annual</t>
    </r>
    <r>
      <rPr>
        <sz val="9"/>
        <color theme="1"/>
        <rFont val="Arial"/>
        <family val="2"/>
      </rPr>
      <t xml:space="preserve"> and </t>
    </r>
    <r>
      <rPr>
        <b/>
        <sz val="9"/>
        <color theme="1"/>
        <rFont val="Arial"/>
        <family val="2"/>
      </rPr>
      <t>timepoint</t>
    </r>
    <r>
      <rPr>
        <sz val="9"/>
        <color theme="1"/>
        <rFont val="Arial"/>
        <family val="2"/>
      </rPr>
      <t xml:space="preserve"> constraints, though the underlying code allows other combinations.</t>
    </r>
  </si>
  <si>
    <t>Annual Custom Constraints</t>
  </si>
  <si>
    <t>Timepoint Custom Constraints</t>
  </si>
  <si>
    <t>Left-hand Side Variables</t>
  </si>
  <si>
    <t>Right-hand Side</t>
  </si>
  <si>
    <t>Multiplier</t>
  </si>
  <si>
    <r>
      <t xml:space="preserve">Target </t>
    </r>
    <r>
      <rPr>
        <sz val="10"/>
        <color theme="0"/>
        <rFont val="Arial"/>
        <family val="2"/>
      </rPr>
      <t>(Right-hand Side)</t>
    </r>
  </si>
  <si>
    <t>Custom Constraint Group</t>
  </si>
  <si>
    <t>Custom Constraint</t>
  </si>
  <si>
    <t>Model Formulation Variable</t>
  </si>
  <si>
    <t>Index 1</t>
  </si>
  <si>
    <t>Index 2</t>
  </si>
  <si>
    <t>Constraint Operator</t>
  </si>
  <si>
    <t>MODEL_YEARS</t>
  </si>
  <si>
    <t>REP_PERIODS</t>
  </si>
  <si>
    <t>HOURS</t>
  </si>
  <si>
    <t>System Configuration</t>
  </si>
  <si>
    <t>Saves to "./data/interim/systems/[SystemName]"</t>
  </si>
  <si>
    <t>Model Name</t>
  </si>
  <si>
    <t>Saved System Names</t>
  </si>
  <si>
    <t>recap</t>
  </si>
  <si>
    <t>Saves to multiple folders in "./data/interim". You should also see Linkages created in "./data/interim/linkages"</t>
  </si>
  <si>
    <t>component</t>
  </si>
  <si>
    <t>instance</t>
  </si>
  <si>
    <t>Sheet</t>
  </si>
  <si>
    <r>
      <t>Active Scenario Tags in Current Resolve Case</t>
    </r>
    <r>
      <rPr>
        <sz val="10"/>
        <color theme="0"/>
        <rFont val="Arial"/>
        <family val="2"/>
      </rPr>
      <t xml:space="preserve"> (in order of application)</t>
    </r>
  </si>
  <si>
    <t>Zone</t>
  </si>
  <si>
    <t>ResourceGroup</t>
  </si>
  <si>
    <t>wind</t>
  </si>
  <si>
    <t>offshore_wind</t>
  </si>
  <si>
    <t>solar</t>
  </si>
  <si>
    <t>storage</t>
  </si>
  <si>
    <t>long_duration_storage</t>
  </si>
  <si>
    <t>thermal</t>
  </si>
  <si>
    <t>hydro</t>
  </si>
  <si>
    <t>dr</t>
  </si>
  <si>
    <t>flex_load</t>
  </si>
  <si>
    <t>nuclear</t>
  </si>
  <si>
    <t>OutageDistribution</t>
  </si>
  <si>
    <t>outage_dist_1</t>
  </si>
  <si>
    <t>ThermalResource</t>
  </si>
  <si>
    <t>gas_CT</t>
  </si>
  <si>
    <t>gas_CCGT</t>
  </si>
  <si>
    <t>nuclear_resource</t>
  </si>
  <si>
    <t>VariableResource</t>
  </si>
  <si>
    <t>solar_MA</t>
  </si>
  <si>
    <t>solar_BTM</t>
  </si>
  <si>
    <t>wind_MA</t>
  </si>
  <si>
    <t>offshore_wind_MA</t>
  </si>
  <si>
    <t>biomass</t>
  </si>
  <si>
    <t>HydroResource</t>
  </si>
  <si>
    <t>hydro_NE</t>
  </si>
  <si>
    <t>StorageResource</t>
  </si>
  <si>
    <t>storage_4hr</t>
  </si>
  <si>
    <t>storage_12hr</t>
  </si>
  <si>
    <t>storage_100hr</t>
  </si>
  <si>
    <t>ShedDrResource</t>
  </si>
  <si>
    <t>shed_dr</t>
  </si>
  <si>
    <t>FlexLoadResource</t>
  </si>
  <si>
    <t>flex_load_resource</t>
  </si>
  <si>
    <t>HybridStorageResource</t>
  </si>
  <si>
    <t>Hybrid_Battery_Storage</t>
  </si>
  <si>
    <t>HybridVariableResource</t>
  </si>
  <si>
    <t>MA_Solar_Hybrid</t>
  </si>
  <si>
    <t>Reserve</t>
  </si>
  <si>
    <t>regulating_up</t>
  </si>
  <si>
    <t>Load</t>
  </si>
  <si>
    <t>ISONE_load_2yr</t>
  </si>
  <si>
    <t>Non-Optimized System Costs</t>
  </si>
  <si>
    <t>Sunk costs that constitute utility (or LSE) revenue requirement</t>
  </si>
  <si>
    <t>Costs ($/year)</t>
  </si>
  <si>
    <t>scenario</t>
  </si>
  <si>
    <t>annual_cost</t>
  </si>
  <si>
    <t>Cost Component</t>
  </si>
  <si>
    <t>Scenario</t>
  </si>
  <si>
    <t>Fuels</t>
  </si>
  <si>
    <t>Annual Fuel Price ($/MMBtu)</t>
  </si>
  <si>
    <t>Monthly Fuel Price Multiplier</t>
  </si>
  <si>
    <t>Fuel</t>
  </si>
  <si>
    <t>annual_price</t>
  </si>
  <si>
    <t>monthly_price_multiplier</t>
  </si>
  <si>
    <t>Load Inputs</t>
  </si>
  <si>
    <t>Relationships</t>
  </si>
  <si>
    <t>Attributes</t>
  </si>
  <si>
    <t>Weather Year Profile</t>
  </si>
  <si>
    <t>Model Year Profile</t>
  </si>
  <si>
    <r>
      <t xml:space="preserve">T&amp;D Losses Multiplier </t>
    </r>
    <r>
      <rPr>
        <sz val="10"/>
        <color theme="0"/>
        <rFont val="Arial"/>
        <family val="2"/>
      </rPr>
      <t>(%)</t>
    </r>
  </si>
  <si>
    <t>Scale by Peak</t>
  </si>
  <si>
    <t>Annual Peak Forecast (MW)</t>
  </si>
  <si>
    <t>Scale by Energy</t>
  </si>
  <si>
    <r>
      <t>Annual Electricity Sales Forecast</t>
    </r>
    <r>
      <rPr>
        <sz val="10"/>
        <color theme="0"/>
        <rFont val="Arial"/>
        <family val="2"/>
      </rPr>
      <t xml:space="preserve"> (MWh)</t>
    </r>
  </si>
  <si>
    <t>LoadToZone</t>
  </si>
  <si>
    <t>profile</t>
  </si>
  <si>
    <t>profile_model_years</t>
  </si>
  <si>
    <t>td_losses_adjustment</t>
  </si>
  <si>
    <t>scale_by_capacity</t>
  </si>
  <si>
    <t>annual_peak_forecast</t>
  </si>
  <si>
    <t>scale_by_energy</t>
  </si>
  <si>
    <t>annual_energy_forecast</t>
  </si>
  <si>
    <t>Load Components</t>
  </si>
  <si>
    <t>None</t>
  </si>
  <si>
    <t>./data/profiles/load_isone_sys2050_2yr.csv</t>
  </si>
  <si>
    <t>Operating Reserves</t>
  </si>
  <si>
    <t>Reserve Attributes</t>
  </si>
  <si>
    <t>Reserve Direction</t>
  </si>
  <si>
    <t>Exclusive Reserve</t>
  </si>
  <si>
    <t>Unserved Reserve Penalty ($/MW-hour)</t>
  </si>
  <si>
    <r>
      <t xml:space="preserve">Flat Requirement </t>
    </r>
    <r>
      <rPr>
        <sz val="10"/>
        <color theme="0"/>
        <rFont val="Arial"/>
        <family val="2"/>
      </rPr>
      <t>(MW)</t>
    </r>
  </si>
  <si>
    <t>direction</t>
  </si>
  <si>
    <t>exclusive</t>
  </si>
  <si>
    <t>penalty_unserved_reserve</t>
  </si>
  <si>
    <t>requirement</t>
  </si>
  <si>
    <t>up</t>
  </si>
  <si>
    <t>Reserve - Zone Relationships</t>
  </si>
  <si>
    <t>Resource Operating Reserve Capabilities</t>
  </si>
  <si>
    <t>Requirement (% of Zonal Gross Load)</t>
  </si>
  <si>
    <t>requirement_fraction_of_gross_load</t>
  </si>
  <si>
    <t>Resource - Reserve Attributes</t>
  </si>
  <si>
    <t>Reserve Factor (%)</t>
  </si>
  <si>
    <t>Resource</t>
  </si>
  <si>
    <t>max_fraction_of_capacity</t>
  </si>
  <si>
    <t>Incremental Reserve Requirement, % of Hourly Shape</t>
  </si>
  <si>
    <t>Profile</t>
  </si>
  <si>
    <r>
      <t xml:space="preserve">Reserve Factor </t>
    </r>
    <r>
      <rPr>
        <sz val="10"/>
        <color theme="0"/>
        <rFont val="Arial"/>
        <family val="2"/>
      </rPr>
      <t>(%)</t>
    </r>
  </si>
  <si>
    <t>Capacity Scalar (MW)</t>
  </si>
  <si>
    <t>Policies</t>
  </si>
  <si>
    <t>We model three kinds of policies:</t>
  </si>
  <si>
    <t>Emissions</t>
  </si>
  <si>
    <t>PRM</t>
  </si>
  <si>
    <t>RPS and CES</t>
  </si>
  <si>
    <t>Emissions Policies &amp; Tracking</t>
  </si>
  <si>
    <t>Policy Parameters</t>
  </si>
  <si>
    <r>
      <t xml:space="preserve">Target </t>
    </r>
    <r>
      <rPr>
        <sz val="10"/>
        <color theme="0"/>
        <rFont val="Arial"/>
        <family val="2"/>
      </rPr>
      <t>(tonnes)</t>
    </r>
  </si>
  <si>
    <r>
      <rPr>
        <b/>
        <sz val="10"/>
        <color theme="0"/>
        <rFont val="Arial"/>
        <family val="2"/>
      </rPr>
      <t>Target Adder</t>
    </r>
    <r>
      <rPr>
        <sz val="10"/>
        <color theme="0"/>
        <rFont val="Arial"/>
        <family val="2"/>
      </rPr>
      <t xml:space="preserve"> (tonnes)</t>
    </r>
  </si>
  <si>
    <t>AnnualEmissionsPolicy</t>
  </si>
  <si>
    <t>target</t>
  </si>
  <si>
    <t>target_adjustment</t>
  </si>
  <si>
    <t>Policy Name</t>
  </si>
  <si>
    <t>Emissions Rates</t>
  </si>
  <si>
    <r>
      <t xml:space="preserve">Emissions Rate </t>
    </r>
    <r>
      <rPr>
        <sz val="10"/>
        <color theme="0"/>
        <rFont val="Arial"/>
        <family val="2"/>
      </rPr>
      <t>(tonne/MMBtu)</t>
    </r>
  </si>
  <si>
    <t>CandidateFuel</t>
  </si>
  <si>
    <t>Policy</t>
  </si>
  <si>
    <t>multiplier</t>
  </si>
  <si>
    <t>GHG Planning Target</t>
  </si>
  <si>
    <r>
      <t xml:space="preserve">Emissions Rate </t>
    </r>
    <r>
      <rPr>
        <sz val="10"/>
        <color theme="0"/>
        <rFont val="Arial"/>
        <family val="2"/>
      </rPr>
      <t>(tonne/MWh)</t>
    </r>
  </si>
  <si>
    <r>
      <t xml:space="preserve">Forward Direction Emissions Rate </t>
    </r>
    <r>
      <rPr>
        <sz val="10"/>
        <color theme="0"/>
        <rFont val="Arial"/>
        <family val="2"/>
      </rPr>
      <t>(tonne/MWh)</t>
    </r>
  </si>
  <si>
    <r>
      <t xml:space="preserve">Reverse Direction Emissions Rate </t>
    </r>
    <r>
      <rPr>
        <sz val="10"/>
        <color theme="0"/>
        <rFont val="Arial"/>
        <family val="2"/>
      </rPr>
      <t>(tonne/MWh)</t>
    </r>
  </si>
  <si>
    <t>TXPath</t>
  </si>
  <si>
    <t>forward_dir_multiplier</t>
  </si>
  <si>
    <t>reverse_dir_multiplier</t>
  </si>
  <si>
    <t>Transmission Path</t>
  </si>
  <si>
    <t>User Calculations &amp; Tables Below</t>
  </si>
  <si>
    <r>
      <t xml:space="preserve">Price </t>
    </r>
    <r>
      <rPr>
        <sz val="10"/>
        <color theme="0"/>
        <rFont val="Arial"/>
        <family val="2"/>
      </rPr>
      <t>($/tonne)</t>
    </r>
  </si>
  <si>
    <t>price</t>
  </si>
  <si>
    <r>
      <t xml:space="preserve">Emissions Rate </t>
    </r>
    <r>
      <rPr>
        <sz val="10"/>
        <color theme="0"/>
        <rFont val="Arial"/>
        <family val="2"/>
      </rPr>
      <t>(tonne/MMBtu for fuel, tonne/MWh for resource)</t>
    </r>
  </si>
  <si>
    <t>Planning Reserve Margins</t>
  </si>
  <si>
    <t>Target Units</t>
  </si>
  <si>
    <t>Target</t>
  </si>
  <si>
    <r>
      <t xml:space="preserve">Target Adder </t>
    </r>
    <r>
      <rPr>
        <sz val="10"/>
        <color theme="0"/>
        <rFont val="Arial"/>
        <family val="2"/>
      </rPr>
      <t>(Effective MW)</t>
    </r>
  </si>
  <si>
    <t>PlanningReserveMargin</t>
  </si>
  <si>
    <t>target_units</t>
  </si>
  <si>
    <t>Qualifying Loads</t>
  </si>
  <si>
    <t>Qualifying Loads will be used to calculate the policy target if the "target units" are set to "relative"</t>
  </si>
  <si>
    <r>
      <t>Scalar</t>
    </r>
    <r>
      <rPr>
        <sz val="10"/>
        <color theme="0"/>
        <rFont val="Arial"/>
        <family val="2"/>
      </rPr>
      <t xml:space="preserve"> (%)</t>
    </r>
  </si>
  <si>
    <t>Load Component</t>
  </si>
  <si>
    <t>Static ELCCs</t>
  </si>
  <si>
    <t>Qualifying capacity is based on % ELCC multiplier (by technology type) * % of aggregated capacity contracted for RA</t>
  </si>
  <si>
    <r>
      <t xml:space="preserve">Qualifying Capacity </t>
    </r>
    <r>
      <rPr>
        <sz val="10"/>
        <color theme="0"/>
        <rFont val="Arial"/>
        <family val="2"/>
      </rPr>
      <t>(% of operational capacity)</t>
    </r>
  </si>
  <si>
    <t>nqc</t>
  </si>
  <si>
    <t>ELCCs</t>
  </si>
  <si>
    <t>ELCC Surface to PRM Mapping</t>
  </si>
  <si>
    <t>ELCCSurface</t>
  </si>
  <si>
    <t>ELCC Surface</t>
  </si>
  <si>
    <t>ELCC Surface Parameters</t>
  </si>
  <si>
    <t>Facet Intercept</t>
  </si>
  <si>
    <t>Facet Axis 1 Slope</t>
  </si>
  <si>
    <t>Facet Axis 2 Slope</t>
  </si>
  <si>
    <t>axis_0</t>
  </si>
  <si>
    <t>axis_1</t>
  </si>
  <si>
    <t>axis_2</t>
  </si>
  <si>
    <t>Facet</t>
  </si>
  <si>
    <t>Resource ELCC Parameters</t>
  </si>
  <si>
    <t>ELCC Axis</t>
  </si>
  <si>
    <t>ELCC Axis Multiplier</t>
  </si>
  <si>
    <t>Capacity Contracted for RA (%)</t>
  </si>
  <si>
    <t>elcc_axis_index</t>
  </si>
  <si>
    <t>elcc_axis_multiplier</t>
  </si>
  <si>
    <t>Renewable Portfolio &amp; Clean Energy Standard Policies</t>
  </si>
  <si>
    <t>Target Basis</t>
  </si>
  <si>
    <r>
      <t>Target Adder</t>
    </r>
    <r>
      <rPr>
        <sz val="10"/>
        <color theme="0"/>
        <rFont val="Arial"/>
        <family val="2"/>
      </rPr>
      <t xml:space="preserve"> (MWh)</t>
    </r>
  </si>
  <si>
    <t>AnnualEnergyStandard</t>
  </si>
  <si>
    <t>target_basis</t>
  </si>
  <si>
    <t>Qualifying Loads (Retail Sales)</t>
  </si>
  <si>
    <r>
      <t xml:space="preserve">Scalar </t>
    </r>
    <r>
      <rPr>
        <sz val="10"/>
        <color theme="0"/>
        <rFont val="Arial"/>
        <family val="2"/>
      </rPr>
      <t>(%)</t>
    </r>
  </si>
  <si>
    <t>Qualifying Generation (%)</t>
  </si>
  <si>
    <r>
      <t xml:space="preserve">Resource Policy Qualifying Share </t>
    </r>
    <r>
      <rPr>
        <sz val="10"/>
        <color theme="0"/>
        <rFont val="Arial"/>
        <family val="2"/>
      </rPr>
      <t>(% of generation)</t>
    </r>
  </si>
  <si>
    <t>Resource Groups</t>
  </si>
  <si>
    <t>By default, resources will be categorized into the following sub-categories:</t>
  </si>
  <si>
    <t>Thermal</t>
  </si>
  <si>
    <t>Fuel-burning resources (i.e., with defined heat rates), optionally with unit commitment (min up/down time)</t>
  </si>
  <si>
    <t>Variable</t>
  </si>
  <si>
    <t>Variable energy resources (e.g., wind, solar)</t>
  </si>
  <si>
    <t>Storage</t>
  </si>
  <si>
    <t>Storage resources (i.e., batteries)</t>
  </si>
  <si>
    <t>Hydro</t>
  </si>
  <si>
    <t>Hydro resources, with defined energy budgets</t>
  </si>
  <si>
    <t>DERs</t>
  </si>
  <si>
    <t>Shed demand response &amp; flexible loads ("shift" demand response)</t>
  </si>
  <si>
    <t>Recap Resource Grouping</t>
  </si>
  <si>
    <t>Category</t>
  </si>
  <si>
    <t>Fixed Annual Shape</t>
  </si>
  <si>
    <t>Random Seed</t>
  </si>
  <si>
    <t>category</t>
  </si>
  <si>
    <t>fixed_annual_shape</t>
  </si>
  <si>
    <t>random_seed</t>
  </si>
  <si>
    <t>Resource Group</t>
  </si>
  <si>
    <t>Included in Current System</t>
  </si>
  <si>
    <t>variable</t>
  </si>
  <si>
    <t>flexible_load</t>
  </si>
  <si>
    <t>Generic Assets</t>
  </si>
  <si>
    <t>Build Attributes</t>
  </si>
  <si>
    <t>Capacity Attributes</t>
  </si>
  <si>
    <t>Cost Attributes</t>
  </si>
  <si>
    <t>Planned Installed Capacity (MW)</t>
  </si>
  <si>
    <t>Minimum Cumulative New Build (MW)</t>
  </si>
  <si>
    <t>Can Build New?</t>
  </si>
  <si>
    <t>Total (Planned + New) Resource Potential in Modeled Year (MW)</t>
  </si>
  <si>
    <t>All-In Fixed Cost by Vintage ($/kW-year)</t>
  </si>
  <si>
    <t>Asset</t>
  </si>
  <si>
    <t>AllToPolicy</t>
  </si>
  <si>
    <t>AssetToELCC</t>
  </si>
  <si>
    <t>planned_installed_capacity</t>
  </si>
  <si>
    <t>min_cumulative_new_build</t>
  </si>
  <si>
    <t>can_build_new</t>
  </si>
  <si>
    <t>potential</t>
  </si>
  <si>
    <t>new_capacity_annualized_all_in_fixed_cost_by_vintage</t>
  </si>
  <si>
    <t>Thermal Resources</t>
  </si>
  <si>
    <t>Dispatch Attributes</t>
  </si>
  <si>
    <t>Reliability Attributes</t>
  </si>
  <si>
    <t>Primary Fuel</t>
  </si>
  <si>
    <t>Can Build New</t>
  </si>
  <si>
    <t>Can Retire</t>
  </si>
  <si>
    <t>Minimum Operational Capacity in Modeled Year (MW)</t>
  </si>
  <si>
    <t>Variable O&amp;M Cost ($/MWh)</t>
  </si>
  <si>
    <t>New Fixed O&amp;M Cost by Vintage ($/kW-year)</t>
  </si>
  <si>
    <t>Planned Fixed O&amp;M Cost by Vintage ($/kW-year)</t>
  </si>
  <si>
    <r>
      <t xml:space="preserve">Unit Commitment </t>
    </r>
    <r>
      <rPr>
        <sz val="10"/>
        <color theme="0"/>
        <rFont val="Arial"/>
        <family val="2"/>
      </rPr>
      <t>(Default: False)</t>
    </r>
  </si>
  <si>
    <t>Unit Size (MW)</t>
  </si>
  <si>
    <t>Min Stable Level</t>
  </si>
  <si>
    <t>Start Cost ($/unit)</t>
  </si>
  <si>
    <t>Shutdown Cost ($/unit)</t>
  </si>
  <si>
    <t>Start Fuel Use (MMBtu)</t>
  </si>
  <si>
    <t>Fuel Burn Intercept (MMBtu/hr)</t>
  </si>
  <si>
    <t>Fuel Burn Slope (MMBtu/MW)</t>
  </si>
  <si>
    <t>Min Down Time (hr)</t>
  </si>
  <si>
    <t>Min Up Time (hr)</t>
  </si>
  <si>
    <t>1-Hour Ramp Rate Limit</t>
  </si>
  <si>
    <t>2-Hour Ramp Rate Limit</t>
  </si>
  <si>
    <t>3-Hour Ramp Rate Limit</t>
  </si>
  <si>
    <t>4-Hour Ramp Rate Limit</t>
  </si>
  <si>
    <r>
      <t>Pmin Rating 
(</t>
    </r>
    <r>
      <rPr>
        <sz val="10"/>
        <color theme="0"/>
        <rFont val="Arial"/>
        <family val="2"/>
      </rPr>
      <t>% Nameplate)</t>
    </r>
  </si>
  <si>
    <r>
      <t>Pmin Rating 
(</t>
    </r>
    <r>
      <rPr>
        <sz val="10"/>
        <color theme="0"/>
        <rFont val="Arial"/>
        <family val="2"/>
      </rPr>
      <t>CSV file)</t>
    </r>
  </si>
  <si>
    <r>
      <t>Pmax Rating 
(</t>
    </r>
    <r>
      <rPr>
        <sz val="10"/>
        <color theme="0"/>
        <rFont val="Arial"/>
        <family val="2"/>
      </rPr>
      <t>% Nameplate)</t>
    </r>
  </si>
  <si>
    <r>
      <t>Pmax Rating 
(</t>
    </r>
    <r>
      <rPr>
        <sz val="10"/>
        <color theme="0"/>
        <rFont val="Arial"/>
        <family val="2"/>
      </rPr>
      <t>CSV file)</t>
    </r>
  </si>
  <si>
    <t>Stochastic Outage Rate</t>
  </si>
  <si>
    <t>Mean Time to Repair</t>
  </si>
  <si>
    <t>Outage Distribution</t>
  </si>
  <si>
    <t>ResourceToZone</t>
  </si>
  <si>
    <t>ResourceToResourceGroup</t>
  </si>
  <si>
    <t>CandidateFuelToResource</t>
  </si>
  <si>
    <t>PlantToReserve</t>
  </si>
  <si>
    <t>can_retire</t>
  </si>
  <si>
    <t>min_op_capacity</t>
  </si>
  <si>
    <t>variable_cost_provide_power</t>
  </si>
  <si>
    <t>new_capacity_fixed_om_by_vintage</t>
  </si>
  <si>
    <t>planned_fixed_om_by_model_year</t>
  </si>
  <si>
    <t>unit_commitment_linear</t>
  </si>
  <si>
    <t>unit_size_mw</t>
  </si>
  <si>
    <t>min_stable_level</t>
  </si>
  <si>
    <t>start_cost</t>
  </si>
  <si>
    <t>shutdown_cost</t>
  </si>
  <si>
    <t>start_fuel_use</t>
  </si>
  <si>
    <t>fuel_burn_intercept</t>
  </si>
  <si>
    <t>fuel_burn_slope</t>
  </si>
  <si>
    <t>min_down_time</t>
  </si>
  <si>
    <t>min_up_time</t>
  </si>
  <si>
    <t>ramp_rate</t>
  </si>
  <si>
    <t>ramp_rate_2_hour</t>
  </si>
  <si>
    <t>ramp_rate_3_hour</t>
  </si>
  <si>
    <t>ramp_rate_4_hour</t>
  </si>
  <si>
    <t>provide_power_min_profile</t>
  </si>
  <si>
    <t>provide_power_potential_profile</t>
  </si>
  <si>
    <t>stochastic_outage_rate</t>
  </si>
  <si>
    <t>mean_time_to_repair</t>
  </si>
  <si>
    <t>ResourceToOutageDistribution</t>
  </si>
  <si>
    <t>Resources</t>
  </si>
  <si>
    <t>Variable (Wind, Solar) Resources</t>
  </si>
  <si>
    <t>Linkages</t>
  </si>
  <si>
    <r>
      <t>Total (Existing + Candidate) Resource Potential in Modeled Year</t>
    </r>
    <r>
      <rPr>
        <sz val="10"/>
        <color theme="0"/>
        <rFont val="Arial"/>
        <family val="2"/>
      </rPr>
      <t xml:space="preserve"> (MW)</t>
    </r>
  </si>
  <si>
    <t>Curtailment Cost ($/MWh)</t>
  </si>
  <si>
    <r>
      <t xml:space="preserve">Curtailable </t>
    </r>
    <r>
      <rPr>
        <sz val="10"/>
        <color theme="0"/>
        <rFont val="Arial"/>
        <family val="2"/>
      </rPr>
      <t>(Default: True)</t>
    </r>
  </si>
  <si>
    <r>
      <t xml:space="preserve">Daily Energy Budget 
</t>
    </r>
    <r>
      <rPr>
        <sz val="10"/>
        <color theme="0"/>
        <rFont val="Arial"/>
        <family val="2"/>
      </rPr>
      <t>(Capacity Factor)</t>
    </r>
  </si>
  <si>
    <r>
      <t>Daily Energy Budget 
(</t>
    </r>
    <r>
      <rPr>
        <sz val="10"/>
        <color theme="0"/>
        <rFont val="Arial"/>
        <family val="2"/>
      </rPr>
      <t>CSV file)</t>
    </r>
  </si>
  <si>
    <r>
      <t xml:space="preserve">Annual Energy Budget 
</t>
    </r>
    <r>
      <rPr>
        <sz val="10"/>
        <color theme="0"/>
        <rFont val="Arial"/>
        <family val="2"/>
      </rPr>
      <t>(Capacity Factor)</t>
    </r>
  </si>
  <si>
    <r>
      <t>Annual Energy Budget 
(</t>
    </r>
    <r>
      <rPr>
        <sz val="10"/>
        <color theme="0"/>
        <rFont val="Arial"/>
        <family val="2"/>
      </rPr>
      <t>CSV file)</t>
    </r>
  </si>
  <si>
    <t>curtailment_cost</t>
  </si>
  <si>
    <t>curtailable</t>
  </si>
  <si>
    <t>daily_budget</t>
  </si>
  <si>
    <t>annual_budget</t>
  </si>
  <si>
    <t>.\data\profiles\MA_Utility_solar.csv</t>
  </si>
  <si>
    <t>.\data\profiles\MA_BTM_solar.csv</t>
  </si>
  <si>
    <t>.\data\profiles\onshore_Massachusetts_0.35-0.45.csv</t>
  </si>
  <si>
    <t>.\data\profiles\offshore_MA_+0.45.csv</t>
  </si>
  <si>
    <t>Hydro Resources</t>
  </si>
  <si>
    <r>
      <t>Max Charging Rating 
(</t>
    </r>
    <r>
      <rPr>
        <sz val="10"/>
        <color theme="0"/>
        <rFont val="Arial"/>
        <family val="2"/>
      </rPr>
      <t>% Nameplate)</t>
    </r>
  </si>
  <si>
    <r>
      <t>Max Charging Rating 
(</t>
    </r>
    <r>
      <rPr>
        <sz val="10"/>
        <color theme="0"/>
        <rFont val="Arial"/>
        <family val="2"/>
      </rPr>
      <t>CSV file)</t>
    </r>
  </si>
  <si>
    <t>increase_load_potential_profile</t>
  </si>
  <si>
    <t>energy_budget_daily</t>
  </si>
  <si>
    <t>energy_budget_monthly</t>
  </si>
  <si>
    <t>energy_budget_annual</t>
  </si>
  <si>
    <t>./data/profiles/ISONE_Hydro_Pmin.csv</t>
  </si>
  <si>
    <t>./data/profiles/ISONE_Hydro_Pmax.csv</t>
  </si>
  <si>
    <t>Storage Resources</t>
  </si>
  <si>
    <t>Fixed Duration (hour)</t>
  </si>
  <si>
    <t>Planned Storage Capacity (MWh)</t>
  </si>
  <si>
    <r>
      <t xml:space="preserve">All-In </t>
    </r>
    <r>
      <rPr>
        <b/>
        <u/>
        <sz val="10"/>
        <color theme="0"/>
        <rFont val="Arial"/>
        <family val="2"/>
      </rPr>
      <t>Storage</t>
    </r>
    <r>
      <rPr>
        <b/>
        <sz val="10"/>
        <color theme="0"/>
        <rFont val="Arial"/>
        <family val="2"/>
      </rPr>
      <t xml:space="preserve"> Fixed Cost by Vintage ($/kWh-year)</t>
    </r>
  </si>
  <si>
    <r>
      <rPr>
        <b/>
        <u/>
        <sz val="10"/>
        <color theme="0"/>
        <rFont val="Arial"/>
        <family val="2"/>
      </rPr>
      <t>New Storage</t>
    </r>
    <r>
      <rPr>
        <b/>
        <sz val="10"/>
        <color theme="0"/>
        <rFont val="Arial"/>
        <family val="2"/>
      </rPr>
      <t xml:space="preserve"> Fixed O&amp;M Cost by Vintage ($/kWh-year)</t>
    </r>
  </si>
  <si>
    <r>
      <rPr>
        <b/>
        <u/>
        <sz val="10"/>
        <color theme="0"/>
        <rFont val="Arial"/>
        <family val="2"/>
      </rPr>
      <t>Planned Storage</t>
    </r>
    <r>
      <rPr>
        <b/>
        <sz val="10"/>
        <color theme="0"/>
        <rFont val="Arial"/>
        <family val="2"/>
      </rPr>
      <t xml:space="preserve"> Fixed O&amp;M Cost by Vintage ($/kWh-year)</t>
    </r>
  </si>
  <si>
    <t>Charging Efficiency (%)</t>
  </si>
  <si>
    <t>Discharging Efficiency (%)</t>
  </si>
  <si>
    <t>Parasitic Loss (% SoC/hour)</t>
  </si>
  <si>
    <r>
      <t>Max Charging Rating (%)
(</t>
    </r>
    <r>
      <rPr>
        <sz val="10"/>
        <color theme="0"/>
        <rFont val="Arial"/>
        <family val="2"/>
      </rPr>
      <t>% Nameplate)</t>
    </r>
  </si>
  <si>
    <r>
      <t>Max Charging Rating (CSV file)
(</t>
    </r>
    <r>
      <rPr>
        <sz val="10"/>
        <color theme="0"/>
        <rFont val="Arial"/>
        <family val="2"/>
      </rPr>
      <t>CSV file)</t>
    </r>
  </si>
  <si>
    <t>ResourceToELCC</t>
  </si>
  <si>
    <t>duration</t>
  </si>
  <si>
    <t>planned_storage_capacity</t>
  </si>
  <si>
    <t>new_storage_annual_fixed_cost_dollars_per_kwh_yr_by_vintage</t>
  </si>
  <si>
    <t>new_storage_capacity_fixed_om_by_vintage</t>
  </si>
  <si>
    <t>planned_storage_capacity_fixed_om_by_model_year</t>
  </si>
  <si>
    <t>charging_efficiency</t>
  </si>
  <si>
    <t>discharging_efficiency</t>
  </si>
  <si>
    <t>parasitic_loss</t>
  </si>
  <si>
    <t>Hybrid Battery - Variable Relationships</t>
  </si>
  <si>
    <t>grid_charging_allowed</t>
  </si>
  <si>
    <t>interconnection_limit_mw</t>
  </si>
  <si>
    <t>Shed Demand Response</t>
  </si>
  <si>
    <r>
      <t xml:space="preserve">Fixed O&amp;M Cost </t>
    </r>
    <r>
      <rPr>
        <sz val="10"/>
        <color theme="0"/>
        <rFont val="Arial"/>
        <family val="2"/>
      </rPr>
      <t>($/kW-year)</t>
    </r>
  </si>
  <si>
    <r>
      <t>Shed Profile
(</t>
    </r>
    <r>
      <rPr>
        <sz val="10"/>
        <color theme="0"/>
        <rFont val="Arial"/>
        <family val="2"/>
      </rPr>
      <t>% of Nameplate)</t>
    </r>
  </si>
  <si>
    <r>
      <t xml:space="preserve">Take Profile </t>
    </r>
    <r>
      <rPr>
        <sz val="10"/>
        <color rgb="FFFFFFFF"/>
        <rFont val="Arial"/>
        <family val="2"/>
      </rPr>
      <t>(% Nameplate)</t>
    </r>
  </si>
  <si>
    <t>Pmin profile (% Nameplate)</t>
  </si>
  <si>
    <t># of Calls per Year</t>
  </si>
  <si>
    <t># of Calls per Month</t>
  </si>
  <si>
    <t># of Calls per Day</t>
  </si>
  <si>
    <t>Call Duration (hr)</t>
  </si>
  <si>
    <t>Daily Energy Budget (MWh)</t>
  </si>
  <si>
    <t>Monthly Energy Budget (MWh)</t>
  </si>
  <si>
    <t>Annual Energy Budget (MWh)</t>
  </si>
  <si>
    <t>max_annual_calls</t>
  </si>
  <si>
    <t>max_monthly_calls</t>
  </si>
  <si>
    <t>max_daily_calls</t>
  </si>
  <si>
    <t>max_call_duration</t>
  </si>
  <si>
    <t>Flexible Loads</t>
  </si>
  <si>
    <t>Grouping</t>
  </si>
  <si>
    <t>Adjacency</t>
  </si>
  <si>
    <t>Allow inter-period sharing</t>
  </si>
  <si>
    <t>Shift Direction</t>
  </si>
  <si>
    <t>adjacency</t>
  </si>
  <si>
    <t>allow_inter_period_sharing</t>
  </si>
  <si>
    <t>shift_direction</t>
  </si>
  <si>
    <t>pre_consumption</t>
  </si>
  <si>
    <t>Outage Distributions</t>
  </si>
  <si>
    <t>Derate fraction when generator is out (1 = fully out)</t>
  </si>
  <si>
    <t>When an outage occurs what fraction of the time is spent in each state of generator availability</t>
  </si>
  <si>
    <t>derate_prob</t>
  </si>
  <si>
    <t>derate</t>
  </si>
  <si>
    <t>Distribution Point</t>
  </si>
  <si>
    <t>Zones &amp; Zonal Transmission</t>
  </si>
  <si>
    <t>Zones</t>
  </si>
  <si>
    <t>Unserved Energy Penalty ($/MWh)</t>
  </si>
  <si>
    <t>Over-Generation Penalty ($/MWh)</t>
  </si>
  <si>
    <t>penalty_unserved_energy</t>
  </si>
  <si>
    <t>penalty_overgen</t>
  </si>
  <si>
    <t>Zonal Transmission Paths</t>
  </si>
  <si>
    <t>From Zone</t>
  </si>
  <si>
    <t>To Zone</t>
  </si>
  <si>
    <t>Can Retire?</t>
  </si>
  <si>
    <t>Forward Rating Profile (% of Planned Installed Capacity)</t>
  </si>
  <si>
    <t>Reverse Rating Profile (% of Planned Installed Capacity)</t>
  </si>
  <si>
    <t>Hurdle Rate Forward Direction ($/MWh)</t>
  </si>
  <si>
    <t>Hurdle Rate Reverse Direction ($/MWh)</t>
  </si>
  <si>
    <t>from_zone</t>
  </si>
  <si>
    <t>to_zone</t>
  </si>
  <si>
    <t>forward_rating_profile</t>
  </si>
  <si>
    <t>reverse_rating_profile</t>
  </si>
  <si>
    <t>hurdle_rate_forward_direction</t>
  </si>
  <si>
    <t>hurdle_rate_reverse_direction</t>
  </si>
  <si>
    <t>Transmission Paths</t>
  </si>
  <si>
    <t>Keep</t>
  </si>
  <si>
    <t>Simultaneous Flow Constraints</t>
  </si>
  <si>
    <t>Simultaneous Flow Group</t>
  </si>
  <si>
    <t>Direction</t>
  </si>
  <si>
    <t>Flow Group Limit (MW)</t>
  </si>
  <si>
    <t>Lists</t>
  </si>
  <si>
    <t>Unique Components</t>
  </si>
  <si>
    <t>Scenarios on Tab</t>
  </si>
  <si>
    <t>Tabs where Component attributes are found</t>
  </si>
  <si>
    <t>For compiling `linkages.csv` relationships, not linkage attribute data</t>
  </si>
  <si>
    <t>Model Formulation Variables &amp; Expressions</t>
  </si>
  <si>
    <t>Linkage-Specific Scenarios</t>
  </si>
  <si>
    <t>SystemCost</t>
  </si>
  <si>
    <t>AnnualEnergyTarget</t>
  </si>
  <si>
    <t>AllToPolicy.__3</t>
  </si>
  <si>
    <t>AllToPolicy.__2</t>
  </si>
  <si>
    <t>Components</t>
  </si>
  <si>
    <t>ELCC Surfaces</t>
  </si>
  <si>
    <t>Emissions Target</t>
  </si>
  <si>
    <t>Emissions Price</t>
  </si>
  <si>
    <t>Policies w/o Emissions</t>
  </si>
  <si>
    <t>Reserves</t>
  </si>
  <si>
    <t>Variable Resources</t>
  </si>
  <si>
    <t>Shed DR Resources</t>
  </si>
  <si>
    <t>Flexible Loads Resources</t>
  </si>
  <si>
    <t>Hybrid Storage Resources</t>
  </si>
  <si>
    <t>Hybrid Variable Resources</t>
  </si>
  <si>
    <t>Resources (all)</t>
  </si>
  <si>
    <t>Simultaneous Flow Groups</t>
  </si>
  <si>
    <t>Annual Custom Constraint Groups</t>
  </si>
  <si>
    <t>Timepoint Custom Constraint Groups</t>
  </si>
  <si>
    <t>Variables</t>
  </si>
  <si>
    <t>Expressions</t>
  </si>
  <si>
    <t>All</t>
  </si>
  <si>
    <t>Assets</t>
  </si>
  <si>
    <t>GHG Target</t>
  </si>
  <si>
    <t>Loads</t>
  </si>
  <si>
    <t>Shed DR</t>
  </si>
  <si>
    <t>Zones and Transmission</t>
  </si>
  <si>
    <t>All Scenarios</t>
  </si>
  <si>
    <t>Spreadsheet Start Year</t>
  </si>
  <si>
    <t>Saved System</t>
  </si>
  <si>
    <r>
      <t xml:space="preserve">Cases in </t>
    </r>
    <r>
      <rPr>
        <b/>
        <sz val="10"/>
        <color theme="0"/>
        <rFont val="Consolas"/>
        <family val="2"/>
      </rPr>
      <t>./data/settings/resolve/</t>
    </r>
  </si>
  <si>
    <r>
      <t xml:space="preserve">Cases in </t>
    </r>
    <r>
      <rPr>
        <b/>
        <sz val="10"/>
        <color theme="0"/>
        <rFont val="Consolas"/>
        <family val="2"/>
      </rPr>
      <t>./data/settings/recap/</t>
    </r>
  </si>
  <si>
    <t>Valid RESOLVE cases in reports/resolve</t>
  </si>
  <si>
    <t>Valid RESOLVE runs for specific case</t>
  </si>
  <si>
    <t>Model(s)</t>
  </si>
  <si>
    <t>Tab</t>
  </si>
  <si>
    <t>NMT Module</t>
  </si>
  <si>
    <t>Component Class</t>
  </si>
  <si>
    <t>Save Path</t>
  </si>
  <si>
    <t>Fully-Specified Attributes</t>
  </si>
  <si>
    <t>Linkage</t>
  </si>
  <si>
    <t>Named Range</t>
  </si>
  <si>
    <t>Type</t>
  </si>
  <si>
    <t>Scenario Column</t>
  </si>
  <si>
    <t>Other Column Name</t>
  </si>
  <si>
    <t>Other Column First</t>
  </si>
  <si>
    <t>Annual_Candidate_Fuel_Consumption_By_Final_Fuel_Demands</t>
  </si>
  <si>
    <t>Annual_Fuel_Zone_Candidate_Fuel_Consumption_By_Final_Fuel_Demands_MMBTU</t>
  </si>
  <si>
    <t>Resolve-only</t>
  </si>
  <si>
    <t>new_modeling_toolkit.common.asset</t>
  </si>
  <si>
    <t>assets</t>
  </si>
  <si>
    <t>NameColumn</t>
  </si>
  <si>
    <t>Asset.scenario</t>
  </si>
  <si>
    <t>Candidate_Fuel_Commodity_Production_In_Timepoint_MMBTU_H</t>
  </si>
  <si>
    <t>Annual_Fuel_Zone_Candidate_Fuel_Consumption_For_Final_Fuel_Demands_MMBTU</t>
  </si>
  <si>
    <t>new_modeling_toolkit.core.linkage</t>
  </si>
  <si>
    <t>linkages/all_to_policies.csv</t>
  </si>
  <si>
    <t>BooleanColumn</t>
  </si>
  <si>
    <t>Candidate_Fuel_Commodity_Production_MMBTU</t>
  </si>
  <si>
    <t>Annual_Fuel_Zone_Candidate_Fuel_Production_MMBTU</t>
  </si>
  <si>
    <t>new_modeling_toolkit.common.policy</t>
  </si>
  <si>
    <t>policies</t>
  </si>
  <si>
    <t>TupleColumn</t>
  </si>
  <si>
    <t>Candidate_Fuel_Production_From_Biomass_MT</t>
  </si>
  <si>
    <t>Annual_Fuel_Zone_Candidate_Fuel_Storage_MMBTU</t>
  </si>
  <si>
    <t>Both</t>
  </si>
  <si>
    <t>new_modeling_toolkit.common.asset.plant.resource</t>
  </si>
  <si>
    <t>resources/flexible_load</t>
  </si>
  <si>
    <t>ReserveToZone</t>
  </si>
  <si>
    <t>Committed_Units</t>
  </si>
  <si>
    <t>Annual_Fuel_Zone_Resource_Candidate_Fuel_Consumption_MMBTU</t>
  </si>
  <si>
    <t>Recap-only</t>
  </si>
  <si>
    <t>new_modeling_toolkit.common_v2.assets.resources.flex_load</t>
  </si>
  <si>
    <t>Daily_Budget_Slack</t>
  </si>
  <si>
    <t>Annual_Increase_Load</t>
  </si>
  <si>
    <t>new_modeling_toolkit.common.fuel</t>
  </si>
  <si>
    <t>candidate_fuels</t>
  </si>
  <si>
    <t>ELCC_MW</t>
  </si>
  <si>
    <t>Annual_Net_Candidate_Fuel_Imports_MMBTU</t>
  </si>
  <si>
    <t>ZoneToTransmissionPath</t>
  </si>
  <si>
    <t>Fuel_Conversion_Plant_Consumption_In_Timepoint_MMBTU</t>
  </si>
  <si>
    <t>Annual_Net_Fuel_Zone_Candidate_Fuel_Consumption_MMBTU</t>
  </si>
  <si>
    <t>Fuel_Storage_SOC_Inter_Period</t>
  </si>
  <si>
    <t>Annual_Provide_Power</t>
  </si>
  <si>
    <t>resources/hydro</t>
  </si>
  <si>
    <t>ResourceToReserve</t>
  </si>
  <si>
    <t>HybridStorageResourceToHybridVariableResource</t>
  </si>
  <si>
    <t>Fuel_Storage_SOC_Intra_Period</t>
  </si>
  <si>
    <t>Annual_Resource_Emissions_From_Candidate_Fuel</t>
  </si>
  <si>
    <t>new_modeling_toolkit.common_v2.assets.resources.hydro</t>
  </si>
  <si>
    <t>Fuel_Zone_Candidate_Fuel_Commodity_Production_In_Timepoint_MMBTU_H</t>
  </si>
  <si>
    <t>Annual_Resource_Emissions_In_Policy</t>
  </si>
  <si>
    <t>new_modeling_toolkit.common_v2.load_component</t>
  </si>
  <si>
    <t>loads</t>
  </si>
  <si>
    <t>Fuel_Zone_Candidate_Fuel_Consumption_By_Final_Fuel_Demands_MMBTU_H</t>
  </si>
  <si>
    <t>Annual_Resource_Fuel_Consumption</t>
  </si>
  <si>
    <t>new_modeling_toolkit.common_v2.system</t>
  </si>
  <si>
    <t>system_costs</t>
  </si>
  <si>
    <t>Increase_Load_For_Charging_Fuel_Storage_MW</t>
  </si>
  <si>
    <t>Annual_Transmission_Emissions_In_Policy</t>
  </si>
  <si>
    <t>linkages/resources_to_reserves.csv</t>
  </si>
  <si>
    <t>Increase_Load_For_Discharging_Fuel_Storage_MW</t>
  </si>
  <si>
    <t>Annual_Transmit_Candidate_Fuel_Forward</t>
  </si>
  <si>
    <t>new_modeling_toolkit.common.reserve</t>
  </si>
  <si>
    <t>reserves</t>
  </si>
  <si>
    <t>Increase_Load_MW</t>
  </si>
  <si>
    <t>Annual_Transmit_Candidate_Fuel_Reverse</t>
  </si>
  <si>
    <t>linkages/reserves_to_zones.csv</t>
  </si>
  <si>
    <t>Integer_Build</t>
  </si>
  <si>
    <t>Annual_Transmit_Power_Forward</t>
  </si>
  <si>
    <t>Operational_New_Capacity_By_Vintage_In_Model_Year</t>
  </si>
  <si>
    <t>Annual_Transmit_Power_Reverse</t>
  </si>
  <si>
    <t>new_modeling_toolkit.common.elcc</t>
  </si>
  <si>
    <t>ELCCFacets</t>
  </si>
  <si>
    <t>elcc_surfaces</t>
  </si>
  <si>
    <t>Operational_New_Fuel_Storage_Capacity_By_Vintage_In_Model_Year</t>
  </si>
  <si>
    <t>Asset_Net_Power_MW</t>
  </si>
  <si>
    <t>Load.scenario</t>
  </si>
  <si>
    <t>Operational_New_Fuel_Storage_Volume_By_Vintage_In_Model_Year</t>
  </si>
  <si>
    <t>Asset_Total_Annual_Fixed_Cost_In_Model_Year_Dollars</t>
  </si>
  <si>
    <t>linkages/assets_to_elcc.csv</t>
  </si>
  <si>
    <t>ReserveToZone.scenario</t>
  </si>
  <si>
    <t>Operational_New_Storage_By_Vintage_In_Model_Year</t>
  </si>
  <si>
    <t>Build_Capacity_MW</t>
  </si>
  <si>
    <t>AllToPolicy.scenario</t>
  </si>
  <si>
    <t>Operational_Planned_Capacity_In_Model_Year</t>
  </si>
  <si>
    <t>Build_Storage_MWh</t>
  </si>
  <si>
    <t>AllToPolicy.__4</t>
  </si>
  <si>
    <t>AllToPolicy.__4.scenario</t>
  </si>
  <si>
    <t>Operational_Planned_Fuel_Storage_Capacity_In_Model_Year</t>
  </si>
  <si>
    <t>Candidate_Fuel_Production_From_Biomass_MMBTU</t>
  </si>
  <si>
    <t>resources/shed_dr</t>
  </si>
  <si>
    <t>Operational_Planned_Fuel_Storage_Volume_In_Model_Year</t>
  </si>
  <si>
    <t>Candidate_Fuel_Production_From_Fuel_Production_Plant_In_Timepoint_MMBTU_H</t>
  </si>
  <si>
    <t>new_modeling_toolkit.common_v2.assets.resources.shed_dr</t>
  </si>
  <si>
    <t>Operational_Planned_Storage_In_Model_Year</t>
  </si>
  <si>
    <t>Candidate_Fuel_Production_From_Fuel_Production_Plant_MMBTU</t>
  </si>
  <si>
    <t>resources/storage</t>
  </si>
  <si>
    <t>Overgen_MW</t>
  </si>
  <si>
    <t>Candidate_Fuel_Production_From_Fuel_Production_Plants_In_Timepoint_MMBTU_H</t>
  </si>
  <si>
    <t>new_modeling_toolkit.common_v2.assets.resources.storage</t>
  </si>
  <si>
    <t>Overproduction_MMBTU_H</t>
  </si>
  <si>
    <t>Candidate_Fuel_Production_From_Fuel_Production_Plants_MMBTU</t>
  </si>
  <si>
    <t>resources/thermal</t>
  </si>
  <si>
    <t>Provide_Power_MW</t>
  </si>
  <si>
    <t>Committed_Capacity_MW</t>
  </si>
  <si>
    <t>new_modeling_toolkit.common_v2.assets.resources.thermal</t>
  </si>
  <si>
    <t>Provide_Reserve_MW</t>
  </si>
  <si>
    <t>Costs_Fuel_Final_Fuel_Demands_In_Model_Year</t>
  </si>
  <si>
    <t>resources/variable</t>
  </si>
  <si>
    <t>Reliability_Capacity_In_Model_Year</t>
  </si>
  <si>
    <t>Costs_Fuel_Resource_Burn_In_Timepoint</t>
  </si>
  <si>
    <t>new_modeling_toolkit.common_v2.assets.resources.variable</t>
  </si>
  <si>
    <t>Resource_Fuel_Consumption_In_Timepoint_MMBTU</t>
  </si>
  <si>
    <t>Cumulative_New_Storage_Energy_Capacity_MWh</t>
  </si>
  <si>
    <t>new_modeling_toolkit.common.asset.tx_path</t>
  </si>
  <si>
    <t>tx_paths</t>
  </si>
  <si>
    <t>Shutdown_Units</t>
  </si>
  <si>
    <t>ELCC_Facet_Value</t>
  </si>
  <si>
    <t>linkages/zones_to_tx_paths.csv</t>
  </si>
  <si>
    <t>SOC_Inter_Period</t>
  </si>
  <si>
    <t>ELCC_LHS</t>
  </si>
  <si>
    <t>new_modeling_toolkit.common.zone</t>
  </si>
  <si>
    <t>zones</t>
  </si>
  <si>
    <t>SOC_Intra_Period</t>
  </si>
  <si>
    <t>Emissions_Constraint_LHS</t>
  </si>
  <si>
    <t>Resources →</t>
  </si>
  <si>
    <t>new_modeling_toolkit.common_v2.resource_group</t>
  </si>
  <si>
    <t>resource_groups</t>
  </si>
  <si>
    <t>Start_Units</t>
  </si>
  <si>
    <t>Energy_Constraint_LHS</t>
  </si>
  <si>
    <t>new_modeling_toolkit.common_v2.outage_distribution</t>
  </si>
  <si>
    <t>outage_distributions</t>
  </si>
  <si>
    <t>Transmit_Candidate_Fuel_Forward_MMBTU_H</t>
  </si>
  <si>
    <t>Energy_Policy_Annual_Contribution_By_Resource</t>
  </si>
  <si>
    <t>Hybrid Storage</t>
  </si>
  <si>
    <t>new_modeling_toolkit.common_v2.assets.resources.hybrid</t>
  </si>
  <si>
    <t>resources/hybrid_storage</t>
  </si>
  <si>
    <t>Transmit_Candidate_Fuel_MMBTU_H</t>
  </si>
  <si>
    <t>Fuel_Conversion_Plant_Fuel_Cost</t>
  </si>
  <si>
    <t>Transmit_Candidate_Fuel_Reverse_MMBTU_H</t>
  </si>
  <si>
    <t>Fuel_Storage_Consumption_Increase_Load_Capacity_In_Timepoint_MW</t>
  </si>
  <si>
    <t>Hybrid Variable</t>
  </si>
  <si>
    <t>resources/hybrid_variable</t>
  </si>
  <si>
    <t>Transmit_Power_Forward_MW</t>
  </si>
  <si>
    <t>Fuel_Storage_Production_Increase_Load_Capacity_In_Timepoint_MW</t>
  </si>
  <si>
    <t>Transmit_Power_MW</t>
  </si>
  <si>
    <t>Fuel_Storage_SOC_Inter_Intra_Joint</t>
  </si>
  <si>
    <t>linkages/hybrid_resources.csv</t>
  </si>
  <si>
    <t>Transmit_Power_Reverse_MW</t>
  </si>
  <si>
    <t>Fuel_Transportation_Hurdle_Cost_In_Timepoint_Forward</t>
  </si>
  <si>
    <t>Unserved_Energy_MMBTU_H</t>
  </si>
  <si>
    <t>Fuel_Transportation_Hurdle_Cost_In_Timepoint_Reverse</t>
  </si>
  <si>
    <t>Unserved_Energy_MW</t>
  </si>
  <si>
    <t>Fuel_Zone_Candidate_Fuel_Production_In_Timepoint_MMBTU_H</t>
  </si>
  <si>
    <t>Unserved_Reserve_MW</t>
  </si>
  <si>
    <t>Fuel_Zone_Candidate_Fuel_Storage_In_Timepoint_MMBTU_H</t>
  </si>
  <si>
    <t>Fuel_Zone_Resource_Candidate_Fuel_Consumption_In_Timepoint_MMBTU_H</t>
  </si>
  <si>
    <t>ZoneToTransmissionPath.scenario</t>
  </si>
  <si>
    <t>Incremental_Reserve_Requirement_MW</t>
  </si>
  <si>
    <t>Net_Candidate_Fuel_Imports_In_Timepoint_MMBTU_H</t>
  </si>
  <si>
    <t>Net_Fuel_Zone_Candidate_Fuel_Consumption_In_Timepoint_MMBTU_H</t>
  </si>
  <si>
    <t>NQC_By_Resource</t>
  </si>
  <si>
    <t>NQC_LHS</t>
  </si>
  <si>
    <t>Operational_Capacity_In_Model_Year</t>
  </si>
  <si>
    <t>Operational_Fuel_Storage_Volume_In_Model_Year</t>
  </si>
  <si>
    <t>Operational_New_Capacity_MW</t>
  </si>
  <si>
    <t>Operational_New_Fuel_Storage_Capacity_MMBTU_H</t>
  </si>
  <si>
    <t>Operational_New_Fuel_Storage_Volume_In_Model_Year</t>
  </si>
  <si>
    <t>Operational_Storage_In_Model_Year</t>
  </si>
  <si>
    <t>Operational_Units_In_Timepoint</t>
  </si>
  <si>
    <t>Plant_Increase_Load_Capacity_In_Timepoint_MW</t>
  </si>
  <si>
    <t>Plant_Power_Min_Capacity_In_Timepoint_MW</t>
  </si>
  <si>
    <t>Plant_Provide_Power_Capacity_In_Timepoint_MW</t>
  </si>
  <si>
    <t>Plant_Variable_Cost_In_Timepoint</t>
  </si>
  <si>
    <t>Policy_LHS</t>
  </si>
  <si>
    <t>Resource_Curtailment_Cost_In_Timepoint</t>
  </si>
  <si>
    <t>Resource_Fuel_Cost</t>
  </si>
  <si>
    <t>HybridStorageResourceToHybridVariableResource.scenario</t>
  </si>
  <si>
    <t>Scheduled_Curtailment_MW</t>
  </si>
  <si>
    <t>Shutdown_Cost_In_Timepoint</t>
  </si>
  <si>
    <t>SOC_Inter_Intra_Joint</t>
  </si>
  <si>
    <t>Start_Cost_In_Timepoint</t>
  </si>
  <si>
    <t>Total_Annual_Candidate_Fuel_Consumption_All_Final_Fuel_Demands</t>
  </si>
  <si>
    <t>Total_Annual_Candidate_Fuel_Consumption_All_Resources</t>
  </si>
  <si>
    <t>Total_Annual_Candidate_Fuel_Consumption</t>
  </si>
  <si>
    <t>Total_Biomass_Fuel_Production_Cost_In_Model_Year</t>
  </si>
  <si>
    <t>Total_Candidate_Fuel_Consumption_In_Timepoint_All_Resources</t>
  </si>
  <si>
    <t>Total_Commodity_Fuel_Cost_In_Model_Year</t>
  </si>
  <si>
    <t>Total_Cost_In_Model_Year</t>
  </si>
  <si>
    <t>Total_Curtailment_Cost_In_Model_Year</t>
  </si>
  <si>
    <t>Total_Down_Reserves_By_Resource_By_Timepoint</t>
  </si>
  <si>
    <t>Total_Fixed_Cost_In_Model_Year</t>
  </si>
  <si>
    <t>Total_Fuel_Transportation_Hurdle_Cost_In_Model_Year</t>
  </si>
  <si>
    <t>Total_Fuel_Zone_Unserved_And_Overproduction_Cost_In_Model_Year</t>
  </si>
  <si>
    <t>Total_Policy_Cost_In_Model_Year</t>
  </si>
  <si>
    <t>Total_Start_And_Shutdown_Cost_In_Model_Year</t>
  </si>
  <si>
    <t>Total_Tx_Hurdle_Cost_In_Model_Year</t>
  </si>
  <si>
    <t>Total_Unserved_Reserves_Cost_In_Model_Year</t>
  </si>
  <si>
    <t>Total_Up_Reserves_By_Resource_By_Timepoint</t>
  </si>
  <si>
    <t>Total_Variable_Cost_In_Model_Year</t>
  </si>
  <si>
    <t>Total_Zonal_Unserved_Energy_And_Overgen_Cost_In_Model_Year</t>
  </si>
  <si>
    <t>Tx_Hurdle_Cost_In_Timepoint_Forward</t>
  </si>
  <si>
    <t>Tx_Hurdle_Cost_In_Timepoint_Reverse</t>
  </si>
  <si>
    <t>Unit_Commitment_Pmin</t>
  </si>
  <si>
    <t>Zonal_Increase_Load_MW</t>
  </si>
  <si>
    <t>Zonal_Provide_Power_MW</t>
  </si>
  <si>
    <t>RESOLVE Only</t>
  </si>
  <si>
    <t>RESOLVE + RECAP</t>
  </si>
  <si>
    <t>RECAP Only</t>
  </si>
  <si>
    <t>Check with Roderick</t>
  </si>
  <si>
    <t>Grid charging allowed?</t>
  </si>
  <si>
    <t>firm</t>
  </si>
  <si>
    <t>generic</t>
  </si>
  <si>
    <t>hybrid_storage</t>
  </si>
  <si>
    <t>Resource group categories</t>
  </si>
  <si>
    <t>EUE_and_100xLOLE</t>
  </si>
  <si>
    <t>print_duals</t>
  </si>
  <si>
    <t>print_raw_results</t>
  </si>
  <si>
    <t>Interpreter_Win</t>
  </si>
  <si>
    <t>Interpreter_Mac</t>
  </si>
  <si>
    <t>ONEDRIVE_WIN</t>
  </si>
  <si>
    <t>ONEDRIVE_MAC</t>
  </si>
  <si>
    <t>ONEDRIVE_COMMERCIAL_WIN</t>
  </si>
  <si>
    <t>ONEDRIVE_COMMERCIAL_MAC</t>
  </si>
  <si>
    <t>SHAREPOINT_WIN</t>
  </si>
  <si>
    <t>SHAREPOINT_MAC</t>
  </si>
  <si>
    <t>Show Console</t>
  </si>
  <si>
    <t>Instructions:</t>
  </si>
  <si>
    <t>If you want to rely on the settings in the addin or an xlwings.conf file, you can delete this sheet.</t>
  </si>
  <si>
    <t>Rename this sheet to "xlwings.conf" to activate it (remove the leading underscore).  The settings have to start in cell A1.</t>
  </si>
  <si>
    <t>When activated, these settings override the settings in the addin (.xlwings/xlwings.conf file in the user directory) and xlwings.conf in the same directory as this Excel file.</t>
  </si>
  <si>
    <t>If you delete a row from here, it will fall back to the first non-empty value xlwings finds in an xlwings.conf file and otherwise use the default values.</t>
  </si>
  <si>
    <t>Interconnection Limit (MW)</t>
  </si>
  <si>
    <t>unit_size</t>
  </si>
  <si>
    <t>unit_commitment</t>
  </si>
  <si>
    <t>Unit Commitment Type</t>
  </si>
  <si>
    <t>Min Output when Commit (MW CSV file)</t>
  </si>
  <si>
    <t>C:\Users\rli\AppData\Local\anaconda3\envs\kit\python.exe</t>
  </si>
  <si>
    <r>
      <t xml:space="preserve">Unit Commitment </t>
    </r>
    <r>
      <rPr>
        <sz val="10"/>
        <color theme="0"/>
        <rFont val="Arial"/>
        <family val="2"/>
      </rPr>
      <t>Type</t>
    </r>
  </si>
  <si>
    <t>linear</t>
  </si>
  <si>
    <t>Shed Profile
(CSV file)</t>
  </si>
  <si>
    <r>
      <t xml:space="preserve">Take Profile </t>
    </r>
    <r>
      <rPr>
        <sz val="10"/>
        <color rgb="FFFFFFFF"/>
        <rFont val="Arial"/>
        <family val="2"/>
      </rPr>
      <t>(CSV file)</t>
    </r>
  </si>
  <si>
    <t>Pmin profile (CSV file)</t>
  </si>
  <si>
    <t>FlexLoadResource.scenario</t>
  </si>
  <si>
    <t>HydroResource.scenario</t>
  </si>
  <si>
    <t>ShedDrResource.scenario</t>
  </si>
  <si>
    <t>StorageResource.scenario</t>
  </si>
  <si>
    <t>ThermalResource.scenario</t>
  </si>
  <si>
    <t>VariableResource.scenario</t>
  </si>
  <si>
    <t>HybridStorageResource.scenario</t>
  </si>
  <si>
    <t>HybridVariableResource.scenario</t>
  </si>
  <si>
    <t>Charging Efficiency (csv)</t>
  </si>
  <si>
    <t>Discharging Efficiency (csv)</t>
  </si>
  <si>
    <t>Disharging Efficiency (csv)</t>
  </si>
  <si>
    <r>
      <t xml:space="preserve">Monthly Energy Budget 
</t>
    </r>
    <r>
      <rPr>
        <sz val="10"/>
        <color theme="0"/>
        <rFont val="Arial"/>
        <family val="2"/>
      </rPr>
      <t>(Capacity Factor)</t>
    </r>
  </si>
  <si>
    <r>
      <t>Monthly Energy Budget 
(</t>
    </r>
    <r>
      <rPr>
        <sz val="10"/>
        <color theme="0"/>
        <rFont val="Arial"/>
        <family val="2"/>
      </rPr>
      <t>CSV file)</t>
    </r>
  </si>
  <si>
    <t>Duke_Test_1</t>
  </si>
  <si>
    <t>20231129_Duke_test_case_2024_incremental_storage</t>
  </si>
  <si>
    <t>Duke_Test_1_Flex_Loads</t>
  </si>
  <si>
    <t>20231129_Duke_test_case_2030_2000MW_firm_Energy_Only_Heuristics</t>
  </si>
  <si>
    <t>Duke_Test_1_no_dr</t>
  </si>
  <si>
    <t>20231129_Duke_test_case_2030_2000MW_firm_Energy_Only_optimized</t>
  </si>
  <si>
    <t>Duke_Test_2000MW_Storage</t>
  </si>
  <si>
    <t>20231129_Duke_test_case_2030_2000MW_storage_Energy_Only_heuristics</t>
  </si>
  <si>
    <t>Duke_Test_Base</t>
  </si>
  <si>
    <t>20231129_Duke_test_case_2030_2000MW_storage_Energy_Only_optimized</t>
  </si>
  <si>
    <t>Duke_Test_Base_Flex</t>
  </si>
  <si>
    <t>20231129_Duke_test_case_2030_Energy_Only_Optimized</t>
  </si>
  <si>
    <t>Duke_Test_Base_Flex_no_dr</t>
  </si>
  <si>
    <t>20231129_Duke_test_case_2030_Energy_Only_heuristics</t>
  </si>
  <si>
    <t>Duke_Test_Energy_Only</t>
  </si>
  <si>
    <t>20231129_Duke_test_case_2030_Flex_Loads_Energy_Only_Heuristics</t>
  </si>
  <si>
    <t>Duke_Test_Energy_Only_2000MW_PCAP</t>
  </si>
  <si>
    <t>20231129_Duke_test_case_2030_Flex_Loads_Energy_Only_Optimized</t>
  </si>
  <si>
    <t>Duke_Test_Energy_Only_2000MW_Storage</t>
  </si>
  <si>
    <t>20231130_Duke_test_case_2030_Flex_Constrained_Energy_Only_heuristics</t>
  </si>
  <si>
    <t>Duke_Test_Flex_Loads_Energy_Only</t>
  </si>
  <si>
    <t>20231130_Duke_test_case_2030_Flex_Constrained_Energy_Only_optimized</t>
  </si>
  <si>
    <t>20231130_Duke_test_case_2030_Flex_Linear_Energy_Only_Optimized</t>
  </si>
  <si>
    <t>20231130_Duke_test_case_2030_Flex_Linear_Energy_Only_heuristics</t>
  </si>
  <si>
    <t>20231201_Duke_test_case_2030_Flex_Constrained_Energy_Only_heuristics</t>
  </si>
  <si>
    <t>20231201_Duke_test_case_2030_Flex_Constrained_Energy_Only_optimized</t>
  </si>
  <si>
    <t>20231201_Duke_test_case_2030_Flex_Constrained_heuristics</t>
  </si>
  <si>
    <t>20231201_Duke_test_case_2030_Flex_Constrained_optimized</t>
  </si>
  <si>
    <t>20231204_Duke_test_case_2030_Flex_Constrained_linear_optimized</t>
  </si>
  <si>
    <t>20231204_Duke_test_case_2030_Flex_Constrained_pre-consumption_optimized</t>
  </si>
  <si>
    <t>20231204_Duke_test_case_2030_Flex_Constrained_pre_consumption_optimized</t>
  </si>
  <si>
    <t>20231204_Duke_test_case_2030_Flex_DR_Optimized</t>
  </si>
  <si>
    <t>20231204_Duke_test_case_2030_Flex_DR_annual_calls_Optimized</t>
  </si>
  <si>
    <t>20231204_Duke_test_case_2030_Flex_DR_annual_calls_heuristics</t>
  </si>
  <si>
    <t>20231204_Duke_test_case_2030_Flex_DR_heuristics</t>
  </si>
  <si>
    <t>20231205_Duke_test_case_2030_Base_Optimized</t>
  </si>
  <si>
    <t>20231207_Duke_base_case_2024</t>
  </si>
  <si>
    <t>20231207_Duke_base_case_2038</t>
  </si>
  <si>
    <t>20231207_Duke_test_case_2024_flex_hvac</t>
  </si>
  <si>
    <t>20231207_Duke_test_case_2024_incremental_storage</t>
  </si>
  <si>
    <t>20231207_Duke_test_case_2030_HVAC_1000MW_Optimized</t>
  </si>
  <si>
    <t>20231207_Duke_test_case_2030_incremental_storage</t>
  </si>
  <si>
    <t>20231207_Duke_test_case_2038_flex_hvac</t>
  </si>
  <si>
    <t>20231207_Duke_test_case_2038_incremental_storage</t>
  </si>
  <si>
    <t>20231210_Duke_test_case_2030_HVAC_ELCC</t>
  </si>
  <si>
    <t>20231214_Duke_test_case_2030_HVAC_ELCC_heuristic</t>
  </si>
  <si>
    <t>20231215_Duke_test_case_2030_HVAC_1000MW_Optimized</t>
  </si>
  <si>
    <t>20231215_Duke_test_case_2030_HVAC_1000MW_heuristic</t>
  </si>
  <si>
    <t>20231215_Duke_test_case_2030_HVAC_ELCC_1000</t>
  </si>
  <si>
    <t>20231215_Duke_test_case_2030_HVAC_ELCC_2000</t>
  </si>
  <si>
    <t>20231215_Duke_test_case_2030_HVAC_ELCC_3000</t>
  </si>
  <si>
    <t>Archive</t>
  </si>
  <si>
    <t>duke_day_draws</t>
  </si>
  <si>
    <t>Daily Energy Budget (csv)</t>
  </si>
  <si>
    <t>Monthly Energy Budget (csv)</t>
  </si>
  <si>
    <t>Annual Energy Budget (csv)</t>
  </si>
  <si>
    <t>New Style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</si>
</sst>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d/yyyy\ hh:mm"/>
    <numFmt numFmtId="165" formatCode="yyyy"/>
    <numFmt numFmtId="166" formatCode="_(* #,##0_);_(* \(#,##0\);_(* &quot;-&quot;??_);_(@_)"/>
    <numFmt numFmtId="167" formatCode="0.0%"/>
    <numFmt numFmtId="168" formatCode="_(* #,##0.000_);_(* \(#,##0.000\);_(* &quot;-&quot;??_);_(@_)"/>
    <numFmt numFmtId="169" formatCode="m/d/yyyy\ h:mm;@"/>
    <numFmt numFmtId="170" formatCode="mmm"/>
    <numFmt numFmtId="171" formatCode="_(* #,##0.0000_);_(* \(#,##0.0000\);_(* &quot;-&quot;??_);_(@_)"/>
    <numFmt numFmtId="172" formatCode="0.0"/>
  </numFmts>
  <fonts count="60">
    <font>
      <sz val="9"/>
      <color theme="1"/>
      <name val="Arial"/>
      <family val="2"/>
    </font>
    <font>
      <sz val="11"/>
      <color theme="1"/>
      <name val="Arial"/>
      <family val="2"/>
      <scheme val="minor"/>
    </font>
    <font>
      <sz val="10"/>
      <color theme="1"/>
      <name val="Arial"/>
      <family val="2"/>
      <scheme val="minor"/>
    </font>
    <font>
      <sz val="9"/>
      <color theme="1"/>
      <name val="Arial"/>
      <family val="2"/>
    </font>
    <font>
      <sz val="9"/>
      <name val="Arial"/>
      <family val="2"/>
    </font>
    <font>
      <b/>
      <sz val="10"/>
      <color theme="0"/>
      <name val="Arial"/>
      <family val="2"/>
    </font>
    <font>
      <b/>
      <i/>
      <u/>
      <sz val="9"/>
      <color theme="9"/>
      <name val="Arial"/>
      <family val="2"/>
    </font>
    <font>
      <sz val="11"/>
      <color theme="0"/>
      <name val="Arial"/>
      <family val="2"/>
      <scheme val="minor"/>
    </font>
    <font>
      <b/>
      <sz val="14"/>
      <name val="Arial"/>
      <family val="2"/>
      <scheme val="minor"/>
    </font>
    <font>
      <sz val="9"/>
      <name val="Arial"/>
      <family val="2"/>
      <scheme val="minor"/>
    </font>
    <font>
      <i/>
      <sz val="9"/>
      <name val="Arial"/>
      <family val="2"/>
      <scheme val="minor"/>
    </font>
    <font>
      <b/>
      <sz val="9"/>
      <color theme="0"/>
      <name val="Arial"/>
      <family val="2"/>
      <scheme val="minor"/>
    </font>
    <font>
      <sz val="9"/>
      <color rgb="FFE85F31"/>
      <name val="Arial"/>
      <family val="2"/>
      <scheme val="minor"/>
    </font>
    <font>
      <b/>
      <i/>
      <sz val="9"/>
      <color theme="1"/>
      <name val="Arial"/>
      <family val="2"/>
    </font>
    <font>
      <sz val="9"/>
      <color rgb="FF9C0006"/>
      <name val="Arial"/>
      <family val="2"/>
      <scheme val="minor"/>
    </font>
    <font>
      <sz val="9"/>
      <color rgb="FF006100"/>
      <name val="Arial"/>
      <family val="2"/>
      <scheme val="minor"/>
    </font>
    <font>
      <sz val="9"/>
      <color rgb="FF9C5700"/>
      <name val="Arial"/>
      <family val="2"/>
      <scheme val="minor"/>
    </font>
    <font>
      <b/>
      <i/>
      <sz val="9"/>
      <color theme="6" tint="-0.24994659260841701"/>
      <name val="Arial"/>
      <family val="2"/>
      <scheme val="minor"/>
    </font>
    <font>
      <b/>
      <sz val="9"/>
      <color theme="1"/>
      <name val="Arial"/>
      <family val="2"/>
      <scheme val="minor"/>
    </font>
    <font>
      <i/>
      <sz val="9"/>
      <color theme="1" tint="0.499984740745262"/>
      <name val="Arial"/>
      <family val="2"/>
      <scheme val="minor"/>
    </font>
    <font>
      <b/>
      <sz val="13"/>
      <color theme="3"/>
      <name val="Arial"/>
      <family val="2"/>
      <scheme val="minor"/>
    </font>
    <font>
      <b/>
      <sz val="11"/>
      <color theme="3"/>
      <name val="Arial"/>
      <family val="2"/>
      <scheme val="minor"/>
    </font>
    <font>
      <b/>
      <i/>
      <sz val="10"/>
      <color theme="3"/>
      <name val="Arial"/>
      <family val="2"/>
      <scheme val="minor"/>
    </font>
    <font>
      <b/>
      <sz val="22"/>
      <color theme="3"/>
      <name val="Arial"/>
      <family val="2"/>
      <scheme val="major"/>
    </font>
    <font>
      <b/>
      <u/>
      <sz val="10"/>
      <color theme="0"/>
      <name val="Arial"/>
      <family val="2"/>
    </font>
    <font>
      <b/>
      <sz val="9"/>
      <color theme="1"/>
      <name val="Arial"/>
      <family val="2"/>
    </font>
    <font>
      <sz val="7"/>
      <color rgb="FF242424"/>
      <name val="Segoe UI"/>
      <family val="2"/>
    </font>
    <font>
      <sz val="9"/>
      <color rgb="FF424242"/>
      <name val="Consolas"/>
      <family val="3"/>
    </font>
    <font>
      <i/>
      <sz val="9"/>
      <color theme="0" tint="-0.24994659260841701"/>
      <name val="Arial"/>
      <family val="2"/>
      <scheme val="minor"/>
    </font>
    <font>
      <sz val="10"/>
      <color theme="0"/>
      <name val="Arial"/>
      <family val="2"/>
    </font>
    <font>
      <sz val="9"/>
      <color theme="1"/>
      <name val="Consolas"/>
      <family val="2"/>
    </font>
    <font>
      <b/>
      <sz val="10"/>
      <color theme="0"/>
      <name val="Consolas"/>
      <family val="2"/>
    </font>
    <font>
      <i/>
      <sz val="9"/>
      <color theme="1" tint="0.499984740745262"/>
      <name val="Consolas"/>
      <family val="2"/>
    </font>
    <font>
      <i/>
      <u/>
      <sz val="9"/>
      <color theme="1" tint="0.499984740745262"/>
      <name val="Arial (Body)"/>
    </font>
    <font>
      <b/>
      <sz val="22"/>
      <color rgb="FF034E6E"/>
      <name val="Arial"/>
      <family val="2"/>
    </font>
    <font>
      <b/>
      <sz val="10"/>
      <color rgb="FFFFFFFF"/>
      <name val="Arial"/>
      <family val="2"/>
    </font>
    <font>
      <sz val="10"/>
      <color rgb="FFFFFFFF"/>
      <name val="Arial"/>
      <family val="2"/>
    </font>
    <font>
      <b/>
      <sz val="9"/>
      <name val="Arial"/>
      <family val="2"/>
      <scheme val="minor"/>
    </font>
    <font>
      <sz val="10.5"/>
      <color theme="1"/>
      <name val="-apple-system"/>
    </font>
    <font>
      <b/>
      <i/>
      <u val="double"/>
      <sz val="9"/>
      <color theme="0"/>
      <name val="Arial"/>
      <family val="2"/>
      <scheme val="minor"/>
    </font>
    <font>
      <sz val="11"/>
      <color rgb="FFDCDCAA"/>
      <name val="Consolas"/>
      <family val="3"/>
    </font>
    <font>
      <sz val="8"/>
      <name val="Arial"/>
      <family val="2"/>
    </font>
    <font>
      <i/>
      <sz val="9"/>
      <color theme="1"/>
      <name val="Arial"/>
      <family val="2"/>
    </font>
    <font>
      <i/>
      <sz val="9"/>
      <color theme="1"/>
      <name val="Consolas"/>
      <family val="3"/>
    </font>
    <font>
      <i/>
      <sz val="9"/>
      <color theme="0" tint="-0.499984740745262"/>
      <name val="Arial"/>
      <family val="2"/>
      <scheme val="minor"/>
    </font>
    <font>
      <b/>
      <i/>
      <sz val="9"/>
      <name val="Arial"/>
      <family val="2"/>
      <scheme val="minor"/>
    </font>
    <font>
      <sz val="9"/>
      <color theme="1"/>
      <name val="Arial"/>
      <family val="2"/>
      <scheme val="minor"/>
    </font>
    <font>
      <b/>
      <u/>
      <sz val="13"/>
      <color theme="3"/>
      <name val="Arial"/>
      <family val="2"/>
      <scheme val="minor"/>
    </font>
    <font>
      <b/>
      <u/>
      <sz val="13"/>
      <color theme="4" tint="-0.249977111117893"/>
      <name val="Arial"/>
      <family val="2"/>
      <scheme val="minor"/>
    </font>
    <font>
      <b/>
      <i/>
      <sz val="9"/>
      <color theme="1" tint="0.499984740745262"/>
      <name val="Arial"/>
      <family val="2"/>
      <scheme val="minor"/>
    </font>
    <font>
      <b/>
      <sz val="14"/>
      <name val="Arial"/>
      <family val="2"/>
    </font>
    <font>
      <i/>
      <sz val="9"/>
      <color rgb="FF808080"/>
      <name val="Arial"/>
      <family val="2"/>
    </font>
    <font>
      <i/>
      <sz val="8"/>
      <color theme="1" tint="0.499984740745262"/>
      <name val="Arial"/>
      <family val="2"/>
      <scheme val="minor"/>
    </font>
    <font>
      <b/>
      <i/>
      <sz val="9"/>
      <color theme="1" tint="0.499984740745262"/>
      <name val="Consolas"/>
      <family val="2"/>
    </font>
    <font>
      <sz val="9"/>
      <name val="Arial"/>
      <family val="2"/>
      <scheme val="minor"/>
    </font>
    <font>
      <b/>
      <sz val="13"/>
      <color theme="3"/>
      <name val="Arial"/>
      <family val="2"/>
      <scheme val="minor"/>
    </font>
    <font>
      <b/>
      <sz val="9"/>
      <color theme="6"/>
      <name val="Arial"/>
      <family val="2"/>
    </font>
    <font>
      <i/>
      <sz val="9"/>
      <color theme="0" tint="-0.24994659260841701"/>
      <name val="Arial"/>
      <family val="2"/>
      <scheme val="minor"/>
    </font>
    <font>
      <b/>
      <sz val="22"/>
      <color theme="3"/>
      <name val="Arial"/>
      <family val="2"/>
      <scheme val="major"/>
    </font>
    <font>
      <b/>
      <sz val="14"/>
      <name val="Arial"/>
      <family val="2"/>
      <scheme val="minor"/>
    </font>
  </fonts>
  <fills count="46">
    <fill>
      <patternFill patternType="none"/>
    </fill>
    <fill>
      <patternFill patternType="gray125"/>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4506668294322"/>
        <bgColor indexed="64"/>
      </patternFill>
    </fill>
    <fill>
      <patternFill patternType="solid">
        <fgColor theme="0" tint="-0.24994659260841701"/>
        <bgColor indexed="64"/>
      </patternFill>
    </fill>
    <fill>
      <patternFill patternType="solid">
        <fgColor theme="3"/>
        <bgColor indexed="64"/>
      </patternFill>
    </fill>
    <fill>
      <patternFill patternType="solid">
        <fgColor theme="4" tint="0.59996337778862885"/>
        <bgColor indexed="64"/>
      </patternFill>
    </fill>
    <fill>
      <patternFill patternType="solid">
        <fgColor theme="0"/>
      </patternFill>
    </fill>
    <fill>
      <patternFill patternType="solid">
        <fgColor rgb="FF034E6E"/>
        <bgColor rgb="FF000000"/>
      </patternFill>
    </fill>
    <fill>
      <patternFill patternType="solid">
        <fgColor rgb="FFFFFFCC"/>
        <bgColor rgb="FF000000"/>
      </patternFill>
    </fill>
    <fill>
      <patternFill patternType="solid">
        <fgColor rgb="FF7030A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CE99"/>
        <bgColor rgb="FF000000"/>
      </patternFill>
    </fill>
  </fills>
  <borders count="38">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medium">
        <color indexed="6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3" tint="0.39994506668294322"/>
      </bottom>
      <diagonal/>
    </border>
    <border>
      <left/>
      <right/>
      <top/>
      <bottom style="medium">
        <color theme="3"/>
      </bottom>
      <diagonal/>
    </border>
    <border>
      <left style="thin">
        <color theme="3"/>
      </left>
      <right style="thin">
        <color theme="3"/>
      </right>
      <top style="thin">
        <color theme="3"/>
      </top>
      <bottom style="thin">
        <color theme="3"/>
      </bottom>
      <diagonal/>
    </border>
    <border>
      <left/>
      <right/>
      <top style="thin">
        <color theme="3"/>
      </top>
      <bottom style="double">
        <color theme="3"/>
      </bottom>
      <diagonal/>
    </border>
    <border>
      <left style="thin">
        <color theme="0"/>
      </left>
      <right style="thin">
        <color theme="0"/>
      </right>
      <top style="thin">
        <color theme="0"/>
      </top>
      <bottom style="thin">
        <color theme="0"/>
      </bottom>
      <diagonal/>
    </border>
    <border>
      <left style="thin">
        <color theme="3"/>
      </left>
      <right/>
      <top/>
      <bottom/>
      <diagonal/>
    </border>
    <border>
      <left/>
      <right/>
      <top/>
      <bottom style="medium">
        <color rgb="FF034E6E"/>
      </bottom>
      <diagonal/>
    </border>
    <border>
      <left style="thin">
        <color rgb="FF034E6E"/>
      </left>
      <right style="thin">
        <color rgb="FF034E6E"/>
      </right>
      <top style="thin">
        <color rgb="FF034E6E"/>
      </top>
      <bottom style="thin">
        <color rgb="FF034E6E"/>
      </bottom>
      <diagonal/>
    </border>
    <border>
      <left style="thin">
        <color rgb="FF034E6E"/>
      </left>
      <right/>
      <top/>
      <bottom/>
      <diagonal/>
    </border>
    <border>
      <left style="thin">
        <color rgb="FF808080"/>
      </left>
      <right style="thin">
        <color rgb="FF808080"/>
      </right>
      <top style="thin">
        <color rgb="FF808080"/>
      </top>
      <bottom style="thin">
        <color rgb="FF808080"/>
      </bottom>
      <diagonal/>
    </border>
    <border>
      <left/>
      <right/>
      <top style="thin">
        <color rgb="FF808080"/>
      </top>
      <bottom style="thin">
        <color rgb="FF808080"/>
      </bottom>
      <diagonal/>
    </border>
    <border>
      <left/>
      <right style="thin">
        <color rgb="FF808080"/>
      </right>
      <top style="thin">
        <color rgb="FF808080"/>
      </top>
      <bottom style="thin">
        <color rgb="FF808080"/>
      </bottom>
      <diagonal/>
    </border>
    <border>
      <left style="thin">
        <color theme="0" tint="-0.499984740745262"/>
      </left>
      <right/>
      <top style="thin">
        <color rgb="FF808080"/>
      </top>
      <bottom style="thin">
        <color rgb="FF808080"/>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rgb="FF808080"/>
      </right>
      <top style="thin">
        <color theme="0" tint="-0.499984740745262"/>
      </top>
      <bottom style="thin">
        <color rgb="FF808080"/>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3"/>
      </left>
      <right/>
      <top style="thin">
        <color theme="3"/>
      </top>
      <bottom/>
      <diagonal/>
    </border>
    <border>
      <left style="thin">
        <color theme="3"/>
      </left>
      <right/>
      <top style="thin">
        <color theme="0" tint="-0.499984740745262"/>
      </top>
      <bottom/>
      <diagonal/>
    </border>
    <border>
      <left style="thin">
        <color theme="0" tint="-0.499984740745262"/>
      </left>
      <right/>
      <top style="thin">
        <color theme="3"/>
      </top>
      <bottom/>
      <diagonal/>
    </border>
    <border>
      <left/>
      <right style="thin">
        <color theme="3"/>
      </right>
      <top style="thin">
        <color theme="3"/>
      </top>
      <bottom style="thin">
        <color theme="3"/>
      </bottom>
      <diagonal/>
    </border>
    <border>
      <left style="thin">
        <color theme="0" tint="-0.499984740745262"/>
      </left>
      <right/>
      <top/>
      <bottom/>
      <diagonal/>
    </border>
    <border>
      <left/>
      <right/>
      <top/>
      <bottom style="thin">
        <color theme="0"/>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3"/>
      </left>
      <right/>
      <top/>
      <bottom style="thin">
        <color theme="0"/>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3"/>
      </left>
      <right style="thin">
        <color theme="3"/>
      </right>
      <top/>
      <bottom/>
      <diagonal/>
    </border>
    <border>
      <left/>
      <right style="thin">
        <color theme="0" tint="-0.499984740745262"/>
      </right>
      <top/>
      <bottom/>
      <diagonal/>
    </border>
  </borders>
  <cellStyleXfs count="57">
    <xf numFmtId="0" fontId="0" fillId="0" borderId="0">
      <alignment vertical="center"/>
    </xf>
    <xf numFmtId="0" fontId="5" fillId="37" borderId="8" applyNumberFormat="0">
      <alignment vertical="center"/>
    </xf>
    <xf numFmtId="0" fontId="3" fillId="38" borderId="1" applyNumberFormat="0">
      <alignment vertical="center"/>
    </xf>
    <xf numFmtId="0" fontId="4" fillId="0" borderId="1" applyNumberFormat="0">
      <alignment vertical="center"/>
    </xf>
    <xf numFmtId="0" fontId="3" fillId="5" borderId="1">
      <alignment horizontal="center" vertical="center"/>
    </xf>
    <xf numFmtId="9" fontId="2" fillId="0" borderId="0" applyFont="0" applyFill="0" applyBorder="0" applyAlignment="0" applyProtection="0">
      <protection locked="0"/>
    </xf>
    <xf numFmtId="43" fontId="2" fillId="0" borderId="0" applyFont="0" applyFill="0" applyBorder="0" applyAlignment="0" applyProtection="0">
      <protection locked="0"/>
    </xf>
    <xf numFmtId="41" fontId="2" fillId="0" borderId="0" applyFont="0" applyFill="0" applyBorder="0" applyAlignment="0" applyProtection="0"/>
    <xf numFmtId="42" fontId="2" fillId="0" borderId="0" applyFont="0" applyFill="0" applyBorder="0" applyAlignment="0" applyProtection="0"/>
    <xf numFmtId="0" fontId="6" fillId="6" borderId="1" applyNumberFormat="0" applyProtection="0">
      <alignment vertical="center"/>
    </xf>
    <xf numFmtId="44" fontId="3" fillId="0" borderId="0" applyFont="0" applyFill="0" applyBorder="0" applyAlignment="0" applyProtection="0">
      <protection locked="0"/>
    </xf>
    <xf numFmtId="0" fontId="23" fillId="0" borderId="7" applyNumberFormat="0" applyAlignment="0"/>
    <xf numFmtId="0" fontId="8" fillId="0" borderId="2" applyNumberFormat="0" applyAlignment="0"/>
    <xf numFmtId="0" fontId="20" fillId="0" borderId="7" applyNumberFormat="0" applyAlignment="0">
      <alignment vertical="center"/>
    </xf>
    <xf numFmtId="0" fontId="21" fillId="0" borderId="5" applyNumberFormat="0" applyAlignment="0"/>
    <xf numFmtId="0" fontId="22" fillId="0" borderId="6" applyNumberFormat="0" applyAlignment="0"/>
    <xf numFmtId="0" fontId="15" fillId="7" borderId="0" applyNumberFormat="0" applyBorder="0" applyProtection="0">
      <alignment vertical="center"/>
    </xf>
    <xf numFmtId="0" fontId="14" fillId="8" borderId="0" applyNumberFormat="0" applyBorder="0" applyProtection="0">
      <alignment vertical="center"/>
    </xf>
    <xf numFmtId="0" fontId="16" fillId="9" borderId="0" applyNumberFormat="0" applyBorder="0" applyProtection="0">
      <alignment vertical="center"/>
    </xf>
    <xf numFmtId="0" fontId="9" fillId="3" borderId="1" applyNumberFormat="0" applyProtection="0">
      <alignment vertical="center"/>
    </xf>
    <xf numFmtId="0" fontId="10" fillId="2" borderId="1" applyNumberFormat="0">
      <alignment vertical="center"/>
    </xf>
    <xf numFmtId="0" fontId="10" fillId="4" borderId="1" applyNumberFormat="0">
      <alignment vertical="center"/>
    </xf>
    <xf numFmtId="0" fontId="12" fillId="0" borderId="3" applyNumberFormat="0">
      <alignment vertical="center"/>
    </xf>
    <xf numFmtId="0" fontId="11" fillId="10" borderId="4" applyNumberFormat="0">
      <alignment vertical="center"/>
    </xf>
    <xf numFmtId="0" fontId="17" fillId="0" borderId="0" applyNumberFormat="0" applyFill="0" applyBorder="0">
      <alignment vertical="center"/>
    </xf>
    <xf numFmtId="0" fontId="13" fillId="35" borderId="1" applyNumberFormat="0">
      <alignment vertical="center"/>
    </xf>
    <xf numFmtId="0" fontId="19" fillId="0" borderId="0" applyNumberFormat="0" applyFill="0" applyBorder="0" applyAlignment="0"/>
    <xf numFmtId="0" fontId="18" fillId="0" borderId="9" applyNumberFormat="0">
      <alignment vertical="center"/>
    </xf>
    <xf numFmtId="0" fontId="7"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7"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7"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7"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7"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7"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164" fontId="3" fillId="0" borderId="0" applyFont="0" applyFill="0" applyBorder="0" applyProtection="0">
      <alignment vertical="center"/>
      <protection locked="0"/>
    </xf>
    <xf numFmtId="0" fontId="10" fillId="36" borderId="1" applyNumberFormat="0">
      <alignment vertical="center"/>
    </xf>
    <xf numFmtId="0" fontId="9" fillId="28" borderId="1" applyNumberFormat="0">
      <alignment vertical="center"/>
    </xf>
    <xf numFmtId="0" fontId="28" fillId="39" borderId="10">
      <alignment vertical="center"/>
    </xf>
    <xf numFmtId="0" fontId="39" fillId="42" borderId="1" applyNumberFormat="0" applyAlignment="0" applyProtection="0">
      <alignment vertical="center"/>
    </xf>
  </cellStyleXfs>
  <cellXfs count="152">
    <xf numFmtId="0" fontId="0" fillId="0" borderId="0" xfId="0">
      <alignment vertical="center"/>
    </xf>
    <xf numFmtId="167" fontId="9" fillId="3" borderId="1" xfId="19" applyNumberFormat="1">
      <alignment vertical="center"/>
    </xf>
    <xf numFmtId="0" fontId="6" fillId="6" borderId="1" xfId="9">
      <alignment vertical="center"/>
    </xf>
    <xf numFmtId="0" fontId="9" fillId="3" borderId="1" xfId="19">
      <alignment vertical="center"/>
    </xf>
    <xf numFmtId="43" fontId="3" fillId="5" borderId="1" xfId="6" applyFont="1" applyFill="1" applyBorder="1" applyAlignment="1" applyProtection="1">
      <alignment vertical="center"/>
    </xf>
    <xf numFmtId="0" fontId="23" fillId="0" borderId="7" xfId="11" applyAlignment="1">
      <alignment vertical="center"/>
    </xf>
    <xf numFmtId="0" fontId="5" fillId="37" borderId="8" xfId="1">
      <alignment vertical="center"/>
    </xf>
    <xf numFmtId="164" fontId="9" fillId="28" borderId="1" xfId="54" applyNumberFormat="1">
      <alignment vertical="center"/>
    </xf>
    <xf numFmtId="0" fontId="4" fillId="0" borderId="1" xfId="3">
      <alignment vertical="center"/>
    </xf>
    <xf numFmtId="0" fontId="8" fillId="0" borderId="2" xfId="12" applyAlignment="1">
      <alignment vertical="center"/>
    </xf>
    <xf numFmtId="0" fontId="3" fillId="38" borderId="1" xfId="2">
      <alignment vertical="center"/>
    </xf>
    <xf numFmtId="0" fontId="5" fillId="37" borderId="8" xfId="1" applyAlignment="1">
      <alignment vertical="center" wrapText="1"/>
    </xf>
    <xf numFmtId="0" fontId="10" fillId="4" borderId="1" xfId="21">
      <alignment vertical="center"/>
    </xf>
    <xf numFmtId="0" fontId="3" fillId="5" borderId="1" xfId="4" applyAlignment="1">
      <alignment vertical="center"/>
    </xf>
    <xf numFmtId="165" fontId="3" fillId="5" borderId="1" xfId="4" applyNumberFormat="1" applyAlignment="1">
      <alignment vertical="center"/>
    </xf>
    <xf numFmtId="0" fontId="25" fillId="0" borderId="0" xfId="0" applyFont="1">
      <alignment vertical="center"/>
    </xf>
    <xf numFmtId="0" fontId="0" fillId="0" borderId="0" xfId="0" applyAlignment="1"/>
    <xf numFmtId="0" fontId="27" fillId="0" borderId="0" xfId="0" applyFont="1" applyAlignment="1">
      <alignment horizontal="left" vertical="center" wrapText="1" indent="1"/>
    </xf>
    <xf numFmtId="0" fontId="26" fillId="0" borderId="0" xfId="0" applyFont="1" applyAlignment="1">
      <alignment horizontal="left" vertical="center" wrapText="1" indent="1"/>
    </xf>
    <xf numFmtId="0" fontId="9" fillId="28" borderId="1" xfId="54">
      <alignment vertical="center"/>
    </xf>
    <xf numFmtId="0" fontId="20" fillId="0" borderId="7" xfId="13">
      <alignment vertical="center"/>
    </xf>
    <xf numFmtId="0" fontId="9" fillId="28" borderId="1" xfId="54" applyAlignment="1">
      <alignment horizontal="center" vertical="center"/>
    </xf>
    <xf numFmtId="0" fontId="9" fillId="3" borderId="1" xfId="19" applyAlignment="1">
      <alignment horizontal="center" vertical="center"/>
    </xf>
    <xf numFmtId="43" fontId="9" fillId="3" borderId="1" xfId="6" applyFont="1" applyFill="1" applyBorder="1" applyAlignment="1" applyProtection="1">
      <alignment vertical="center"/>
    </xf>
    <xf numFmtId="43" fontId="0" fillId="0" borderId="0" xfId="6" applyFont="1" applyAlignment="1" applyProtection="1">
      <alignment vertical="center"/>
    </xf>
    <xf numFmtId="166" fontId="9" fillId="3" borderId="1" xfId="6" applyNumberFormat="1" applyFont="1" applyFill="1" applyBorder="1" applyAlignment="1" applyProtection="1">
      <alignment vertical="center"/>
    </xf>
    <xf numFmtId="0" fontId="3" fillId="5" borderId="1" xfId="4">
      <alignment horizontal="center" vertical="center"/>
    </xf>
    <xf numFmtId="0" fontId="28" fillId="39" borderId="10" xfId="55">
      <alignment vertical="center"/>
    </xf>
    <xf numFmtId="0" fontId="23" fillId="0" borderId="7" xfId="11" applyAlignment="1"/>
    <xf numFmtId="9" fontId="9" fillId="3" borderId="1" xfId="5" applyFont="1" applyFill="1" applyBorder="1" applyAlignment="1" applyProtection="1">
      <alignment vertical="center"/>
    </xf>
    <xf numFmtId="0" fontId="28" fillId="0" borderId="10" xfId="55" applyFill="1">
      <alignment vertical="center"/>
    </xf>
    <xf numFmtId="43" fontId="9" fillId="3" borderId="1" xfId="19" applyNumberFormat="1">
      <alignment vertical="center"/>
    </xf>
    <xf numFmtId="166" fontId="0" fillId="0" borderId="0" xfId="0" applyNumberFormat="1">
      <alignment vertical="center"/>
    </xf>
    <xf numFmtId="166" fontId="0" fillId="0" borderId="0" xfId="6" applyNumberFormat="1" applyFont="1" applyAlignment="1" applyProtection="1">
      <alignment vertical="center"/>
    </xf>
    <xf numFmtId="0" fontId="10" fillId="36" borderId="1" xfId="53">
      <alignment vertical="center"/>
    </xf>
    <xf numFmtId="10" fontId="9" fillId="3" borderId="1" xfId="5" applyNumberFormat="1" applyFont="1" applyFill="1" applyBorder="1" applyAlignment="1" applyProtection="1">
      <alignment vertical="center"/>
    </xf>
    <xf numFmtId="166" fontId="8" fillId="0" borderId="2" xfId="12" applyNumberFormat="1" applyAlignment="1">
      <alignment vertical="center"/>
    </xf>
    <xf numFmtId="167" fontId="9" fillId="3" borderId="1" xfId="5" applyNumberFormat="1" applyFont="1" applyFill="1" applyBorder="1" applyAlignment="1" applyProtection="1">
      <alignment vertical="center"/>
    </xf>
    <xf numFmtId="22" fontId="9" fillId="28" borderId="1" xfId="54" applyNumberFormat="1">
      <alignment vertical="center"/>
    </xf>
    <xf numFmtId="0" fontId="10" fillId="4" borderId="1" xfId="21" applyAlignment="1">
      <alignment horizontal="center" vertical="center"/>
    </xf>
    <xf numFmtId="166" fontId="3" fillId="5" borderId="1" xfId="6" applyNumberFormat="1" applyFont="1" applyFill="1" applyBorder="1" applyAlignment="1" applyProtection="1">
      <alignment vertical="center"/>
    </xf>
    <xf numFmtId="9" fontId="3" fillId="5" borderId="1" xfId="5" applyFont="1" applyFill="1" applyBorder="1" applyAlignment="1" applyProtection="1">
      <alignment vertical="center"/>
    </xf>
    <xf numFmtId="0" fontId="9" fillId="3" borderId="1" xfId="5" applyNumberFormat="1" applyFont="1" applyFill="1" applyBorder="1" applyAlignment="1" applyProtection="1">
      <alignment vertical="center"/>
    </xf>
    <xf numFmtId="166" fontId="9" fillId="3" borderId="1" xfId="19" applyNumberFormat="1">
      <alignment vertical="center"/>
    </xf>
    <xf numFmtId="168" fontId="9" fillId="3" borderId="1" xfId="6" applyNumberFormat="1" applyFont="1" applyFill="1" applyBorder="1" applyAlignment="1" applyProtection="1">
      <alignment vertical="center"/>
    </xf>
    <xf numFmtId="0" fontId="19" fillId="0" borderId="0" xfId="26" applyAlignment="1">
      <alignment vertical="center"/>
    </xf>
    <xf numFmtId="14" fontId="4" fillId="0" borderId="1" xfId="3" applyNumberFormat="1">
      <alignment vertical="center"/>
    </xf>
    <xf numFmtId="169" fontId="10" fillId="4" borderId="1" xfId="21" applyNumberFormat="1">
      <alignment vertical="center"/>
    </xf>
    <xf numFmtId="0" fontId="0" fillId="5" borderId="1" xfId="4" applyFont="1">
      <alignment horizontal="center" vertical="center"/>
    </xf>
    <xf numFmtId="164" fontId="9" fillId="3" borderId="1" xfId="19" applyNumberFormat="1">
      <alignment vertical="center"/>
    </xf>
    <xf numFmtId="170" fontId="3" fillId="5" borderId="1" xfId="4" applyNumberFormat="1">
      <alignment horizontal="center" vertical="center"/>
    </xf>
    <xf numFmtId="0" fontId="9" fillId="3" borderId="1" xfId="19" applyAlignment="1">
      <alignment horizontal="left" vertical="center"/>
    </xf>
    <xf numFmtId="0" fontId="9" fillId="28" borderId="1" xfId="54" applyAlignment="1">
      <alignment horizontal="left" vertical="center"/>
    </xf>
    <xf numFmtId="0" fontId="10" fillId="4" borderId="1" xfId="21" applyAlignment="1">
      <alignment horizontal="left" vertical="center"/>
    </xf>
    <xf numFmtId="0" fontId="10" fillId="36" borderId="1" xfId="53" applyAlignment="1">
      <alignment horizontal="left" vertical="center"/>
    </xf>
    <xf numFmtId="0" fontId="5" fillId="37" borderId="8" xfId="1" applyAlignment="1">
      <alignment horizontal="left" vertical="center"/>
    </xf>
    <xf numFmtId="0" fontId="3" fillId="38" borderId="1" xfId="2" applyAlignment="1">
      <alignment horizontal="left" vertical="center"/>
    </xf>
    <xf numFmtId="0" fontId="3" fillId="5" borderId="1" xfId="4" applyAlignment="1">
      <alignment horizontal="left" vertical="center"/>
    </xf>
    <xf numFmtId="0" fontId="5" fillId="37" borderId="11" xfId="1" applyBorder="1">
      <alignment vertical="center"/>
    </xf>
    <xf numFmtId="165" fontId="3" fillId="5" borderId="1" xfId="4" applyNumberFormat="1">
      <alignment horizontal="center" vertical="center"/>
    </xf>
    <xf numFmtId="0" fontId="20" fillId="0" borderId="7" xfId="13" applyAlignment="1">
      <alignment vertical="center"/>
    </xf>
    <xf numFmtId="165" fontId="3" fillId="38" borderId="1" xfId="2" applyNumberFormat="1">
      <alignment vertical="center"/>
    </xf>
    <xf numFmtId="0" fontId="9" fillId="3" borderId="1" xfId="19" applyProtection="1">
      <alignment vertical="center"/>
    </xf>
    <xf numFmtId="0" fontId="34" fillId="0" borderId="12" xfId="11" applyFont="1" applyBorder="1" applyAlignment="1">
      <alignment vertical="center"/>
    </xf>
    <xf numFmtId="0" fontId="35" fillId="40" borderId="13" xfId="1" applyFont="1" applyFill="1" applyBorder="1">
      <alignment vertical="center"/>
    </xf>
    <xf numFmtId="0" fontId="35" fillId="40" borderId="14" xfId="1" applyFont="1" applyFill="1" applyBorder="1">
      <alignment vertical="center"/>
    </xf>
    <xf numFmtId="0" fontId="35" fillId="40" borderId="13" xfId="1" applyFont="1" applyFill="1" applyBorder="1" applyAlignment="1">
      <alignment vertical="center" wrapText="1"/>
    </xf>
    <xf numFmtId="0" fontId="4" fillId="41" borderId="15" xfId="0" applyFont="1" applyFill="1" applyBorder="1">
      <alignment vertical="center"/>
    </xf>
    <xf numFmtId="0" fontId="35" fillId="37" borderId="8" xfId="1" applyFont="1" applyAlignment="1">
      <alignment vertical="center" wrapText="1"/>
    </xf>
    <xf numFmtId="0" fontId="5" fillId="37" borderId="25" xfId="1" applyBorder="1">
      <alignment vertical="center"/>
    </xf>
    <xf numFmtId="0" fontId="37" fillId="3" borderId="26" xfId="19" applyFont="1" applyBorder="1" applyAlignment="1">
      <alignment horizontal="center" vertical="center"/>
    </xf>
    <xf numFmtId="0" fontId="37" fillId="3" borderId="24" xfId="19" applyFont="1" applyBorder="1" applyAlignment="1">
      <alignment horizontal="center" vertical="center"/>
    </xf>
    <xf numFmtId="0" fontId="9" fillId="3" borderId="27" xfId="19" applyBorder="1">
      <alignment vertical="center"/>
    </xf>
    <xf numFmtId="169" fontId="9" fillId="3" borderId="24" xfId="19" applyNumberFormat="1" applyBorder="1">
      <alignment vertical="center"/>
    </xf>
    <xf numFmtId="169" fontId="9" fillId="3" borderId="23" xfId="19" applyNumberFormat="1" applyBorder="1">
      <alignment vertical="center"/>
    </xf>
    <xf numFmtId="0" fontId="9" fillId="3" borderId="24" xfId="19" applyBorder="1">
      <alignment vertical="center"/>
    </xf>
    <xf numFmtId="0" fontId="9" fillId="3" borderId="22" xfId="19" applyBorder="1">
      <alignment vertical="center"/>
    </xf>
    <xf numFmtId="169" fontId="9" fillId="3" borderId="22" xfId="19" applyNumberFormat="1" applyBorder="1">
      <alignment vertical="center"/>
    </xf>
    <xf numFmtId="169" fontId="9" fillId="3" borderId="1" xfId="19" applyNumberFormat="1">
      <alignment vertical="center"/>
    </xf>
    <xf numFmtId="0" fontId="0" fillId="38" borderId="1" xfId="2" applyFont="1">
      <alignment vertical="center"/>
    </xf>
    <xf numFmtId="0" fontId="22" fillId="0" borderId="6" xfId="15" applyAlignment="1">
      <alignment vertical="center"/>
    </xf>
    <xf numFmtId="1" fontId="9" fillId="3" borderId="1" xfId="6" applyNumberFormat="1" applyFont="1" applyFill="1" applyBorder="1" applyAlignment="1" applyProtection="1">
      <alignment vertical="center"/>
    </xf>
    <xf numFmtId="1" fontId="0" fillId="0" borderId="0" xfId="0" applyNumberFormat="1">
      <alignment vertical="center"/>
    </xf>
    <xf numFmtId="0" fontId="21" fillId="0" borderId="5" xfId="14" applyAlignment="1">
      <alignment vertical="center"/>
    </xf>
    <xf numFmtId="0" fontId="29" fillId="37" borderId="8" xfId="1" applyFont="1">
      <alignment vertical="center"/>
    </xf>
    <xf numFmtId="44" fontId="9" fillId="3" borderId="1" xfId="10" applyFont="1" applyFill="1" applyBorder="1" applyAlignment="1" applyProtection="1">
      <alignment vertical="center"/>
    </xf>
    <xf numFmtId="165" fontId="0" fillId="5" borderId="1" xfId="4" applyNumberFormat="1" applyFont="1">
      <alignment horizontal="center" vertical="center"/>
    </xf>
    <xf numFmtId="43" fontId="0" fillId="0" borderId="0" xfId="0" applyNumberFormat="1">
      <alignment vertical="center"/>
    </xf>
    <xf numFmtId="167" fontId="9" fillId="28" borderId="1" xfId="54" applyNumberFormat="1">
      <alignment vertical="center"/>
    </xf>
    <xf numFmtId="0" fontId="0" fillId="0" borderId="0" xfId="0" applyAlignment="1">
      <alignment vertical="center" wrapText="1"/>
    </xf>
    <xf numFmtId="0" fontId="38" fillId="0" borderId="0" xfId="0" applyFont="1" applyAlignment="1">
      <alignment vertical="center" wrapText="1"/>
    </xf>
    <xf numFmtId="22" fontId="10" fillId="4" borderId="1" xfId="21" applyNumberFormat="1">
      <alignment vertical="center"/>
    </xf>
    <xf numFmtId="0" fontId="5" fillId="37" borderId="28" xfId="1" applyBorder="1">
      <alignment vertical="center"/>
    </xf>
    <xf numFmtId="9" fontId="9" fillId="3" borderId="1" xfId="19" applyNumberFormat="1">
      <alignment vertical="center"/>
    </xf>
    <xf numFmtId="0" fontId="40" fillId="0" borderId="0" xfId="0" applyFont="1">
      <alignment vertical="center"/>
    </xf>
    <xf numFmtId="9" fontId="0" fillId="0" borderId="0" xfId="0" applyNumberFormat="1">
      <alignment vertical="center"/>
    </xf>
    <xf numFmtId="9" fontId="0" fillId="0" borderId="0" xfId="5" applyFont="1" applyAlignment="1" applyProtection="1">
      <alignment vertical="center"/>
    </xf>
    <xf numFmtId="171" fontId="0" fillId="0" borderId="0" xfId="6" applyNumberFormat="1" applyFont="1" applyAlignment="1" applyProtection="1">
      <alignment vertical="center"/>
    </xf>
    <xf numFmtId="0" fontId="9" fillId="3" borderId="1" xfId="19" applyNumberFormat="1">
      <alignment vertical="center"/>
    </xf>
    <xf numFmtId="0" fontId="0" fillId="0" borderId="2" xfId="12" applyFont="1" applyAlignment="1">
      <alignment vertical="center" wrapText="1"/>
    </xf>
    <xf numFmtId="0" fontId="42" fillId="0" borderId="0" xfId="0" applyFont="1">
      <alignment vertical="center"/>
    </xf>
    <xf numFmtId="164" fontId="9" fillId="28" borderId="1" xfId="54" applyNumberFormat="1" applyAlignment="1">
      <alignment horizontal="center" vertical="center"/>
    </xf>
    <xf numFmtId="164" fontId="9" fillId="3" borderId="1" xfId="19" applyNumberFormat="1" applyAlignment="1">
      <alignment horizontal="center" vertical="center"/>
    </xf>
    <xf numFmtId="0" fontId="42" fillId="0" borderId="0" xfId="0" applyFont="1" applyAlignment="1">
      <alignment vertical="center" wrapText="1"/>
    </xf>
    <xf numFmtId="0" fontId="0" fillId="0" borderId="30" xfId="0" applyBorder="1" applyAlignment="1">
      <alignment vertical="center" wrapText="1"/>
    </xf>
    <xf numFmtId="0" fontId="44" fillId="39" borderId="10" xfId="55" applyFont="1" applyAlignment="1">
      <alignment horizontal="right" vertical="center" wrapText="1"/>
    </xf>
    <xf numFmtId="0" fontId="0" fillId="5" borderId="33" xfId="0" applyFill="1" applyBorder="1">
      <alignment vertical="center"/>
    </xf>
    <xf numFmtId="0" fontId="5" fillId="37" borderId="34" xfId="1" applyBorder="1">
      <alignment vertical="center"/>
    </xf>
    <xf numFmtId="0" fontId="9" fillId="28" borderId="35" xfId="54" applyBorder="1" applyAlignment="1">
      <alignment horizontal="center" vertical="center"/>
    </xf>
    <xf numFmtId="0" fontId="0" fillId="5" borderId="32" xfId="0" applyFill="1" applyBorder="1">
      <alignment vertical="center"/>
    </xf>
    <xf numFmtId="172" fontId="9" fillId="28" borderId="1" xfId="54" applyNumberFormat="1" applyAlignment="1">
      <alignment horizontal="center" vertical="center"/>
    </xf>
    <xf numFmtId="10" fontId="9" fillId="3" borderId="1" xfId="19" applyNumberFormat="1" applyProtection="1">
      <alignment vertical="center"/>
    </xf>
    <xf numFmtId="1" fontId="9" fillId="3" borderId="1" xfId="19" applyNumberFormat="1" applyProtection="1">
      <alignment vertical="center"/>
    </xf>
    <xf numFmtId="0" fontId="5" fillId="37" borderId="36" xfId="1" applyBorder="1" applyAlignment="1">
      <alignment vertical="center" wrapText="1"/>
    </xf>
    <xf numFmtId="0" fontId="45" fillId="4" borderId="1" xfId="21" applyFont="1">
      <alignment vertical="center"/>
    </xf>
    <xf numFmtId="1" fontId="0" fillId="5" borderId="1" xfId="4" applyNumberFormat="1" applyFont="1">
      <alignment horizontal="center" vertical="center"/>
    </xf>
    <xf numFmtId="1" fontId="9" fillId="3" borderId="1" xfId="5" applyNumberFormat="1" applyFont="1" applyFill="1" applyBorder="1" applyAlignment="1" applyProtection="1">
      <alignment vertical="center"/>
    </xf>
    <xf numFmtId="1" fontId="9" fillId="3" borderId="1" xfId="19" applyNumberFormat="1">
      <alignment vertical="center"/>
    </xf>
    <xf numFmtId="0" fontId="9" fillId="43" borderId="1" xfId="54" applyFill="1">
      <alignment vertical="center"/>
    </xf>
    <xf numFmtId="0" fontId="10" fillId="43" borderId="1" xfId="54" applyFont="1" applyFill="1">
      <alignment vertical="center"/>
    </xf>
    <xf numFmtId="0" fontId="46" fillId="43" borderId="1" xfId="26" applyFont="1" applyFill="1" applyBorder="1" applyAlignment="1">
      <alignment vertical="center"/>
    </xf>
    <xf numFmtId="0" fontId="5" fillId="37" borderId="0" xfId="1" applyBorder="1">
      <alignment vertical="center"/>
    </xf>
    <xf numFmtId="0" fontId="3" fillId="43" borderId="1" xfId="2" applyFill="1">
      <alignment vertical="center"/>
    </xf>
    <xf numFmtId="0" fontId="3" fillId="44" borderId="1" xfId="2" applyFill="1">
      <alignment vertical="center"/>
    </xf>
    <xf numFmtId="0" fontId="50" fillId="0" borderId="2" xfId="12" applyFont="1" applyAlignment="1">
      <alignment vertical="center"/>
    </xf>
    <xf numFmtId="164" fontId="4" fillId="45" borderId="15" xfId="54" applyNumberFormat="1" applyFont="1" applyFill="1" applyBorder="1">
      <alignment vertical="center"/>
    </xf>
    <xf numFmtId="0" fontId="51" fillId="0" borderId="0" xfId="26" applyFont="1" applyFill="1" applyBorder="1" applyAlignment="1">
      <alignment vertical="center" wrapText="1"/>
    </xf>
    <xf numFmtId="0" fontId="52" fillId="0" borderId="0" xfId="26" applyFont="1" applyAlignment="1">
      <alignment vertical="center"/>
    </xf>
    <xf numFmtId="0" fontId="19" fillId="0" borderId="0" xfId="26" applyAlignment="1">
      <alignment vertical="center" wrapText="1"/>
    </xf>
    <xf numFmtId="0" fontId="54" fillId="43" borderId="1" xfId="54" applyFont="1" applyFill="1">
      <alignment vertical="center"/>
    </xf>
    <xf numFmtId="0" fontId="55" fillId="0" borderId="7" xfId="13" applyFont="1">
      <alignment vertical="center"/>
    </xf>
    <xf numFmtId="0" fontId="56" fillId="0" borderId="0" xfId="0" applyFont="1">
      <alignment vertical="center"/>
    </xf>
    <xf numFmtId="0" fontId="57" fillId="0" borderId="10" xfId="55" applyFont="1" applyFill="1">
      <alignment vertical="center"/>
    </xf>
    <xf numFmtId="0" fontId="58" fillId="0" borderId="7" xfId="11" applyFont="1" applyAlignment="1">
      <alignment vertical="center"/>
    </xf>
    <xf numFmtId="0" fontId="59" fillId="0" borderId="2" xfId="12" applyFont="1" applyAlignment="1">
      <alignment vertical="center"/>
    </xf>
    <xf numFmtId="0" fontId="47" fillId="0" borderId="37" xfId="13" applyFont="1" applyBorder="1" applyAlignment="1">
      <alignment horizontal="right" vertical="center" textRotation="90"/>
    </xf>
    <xf numFmtId="0" fontId="19" fillId="0" borderId="0" xfId="26" applyAlignment="1">
      <alignment vertical="center" wrapText="1"/>
    </xf>
    <xf numFmtId="0" fontId="0" fillId="0" borderId="0" xfId="0" applyAlignment="1">
      <alignment horizontal="left" vertical="center" wrapText="1"/>
    </xf>
    <xf numFmtId="0" fontId="25" fillId="0" borderId="31" xfId="0" applyFont="1" applyBorder="1" applyAlignment="1">
      <alignment horizontal="center" vertical="center"/>
    </xf>
    <xf numFmtId="0" fontId="42" fillId="0" borderId="29" xfId="0" applyFont="1" applyBorder="1" applyAlignment="1">
      <alignment horizontal="left" vertical="center" wrapText="1"/>
    </xf>
    <xf numFmtId="0" fontId="48" fillId="0" borderId="37" xfId="13" applyFont="1" applyBorder="1" applyAlignment="1">
      <alignment horizontal="right" vertical="center" textRotation="90"/>
    </xf>
    <xf numFmtId="0" fontId="47" fillId="0" borderId="37" xfId="13" applyFont="1" applyBorder="1" applyAlignment="1">
      <alignment horizontal="right" vertical="center" textRotation="90"/>
    </xf>
    <xf numFmtId="0" fontId="19" fillId="0" borderId="0" xfId="26" applyAlignment="1">
      <alignment horizontal="center" vertical="top" wrapText="1"/>
    </xf>
    <xf numFmtId="0" fontId="44" fillId="39" borderId="0" xfId="55" applyFont="1" applyBorder="1" applyAlignment="1">
      <alignment horizontal="right" vertical="center" wrapText="1"/>
    </xf>
    <xf numFmtId="0" fontId="44" fillId="39" borderId="37" xfId="55" applyFont="1" applyBorder="1" applyAlignment="1">
      <alignment horizontal="right" vertical="center" wrapText="1"/>
    </xf>
    <xf numFmtId="0" fontId="4" fillId="0" borderId="1" xfId="3">
      <alignment vertical="center"/>
    </xf>
    <xf numFmtId="0" fontId="4" fillId="0" borderId="18" xfId="0" applyFont="1" applyBorder="1">
      <alignment vertical="center"/>
    </xf>
    <xf numFmtId="0" fontId="4" fillId="0" borderId="16" xfId="0" applyFont="1" applyBorder="1">
      <alignment vertical="center"/>
    </xf>
    <xf numFmtId="0" fontId="4" fillId="0" borderId="17" xfId="0" applyFont="1" applyBorder="1">
      <alignment vertical="center"/>
    </xf>
    <xf numFmtId="0" fontId="4" fillId="0" borderId="19" xfId="0" applyFont="1" applyBorder="1">
      <alignment vertical="center"/>
    </xf>
    <xf numFmtId="0" fontId="4" fillId="0" borderId="20" xfId="0" applyFont="1" applyBorder="1">
      <alignment vertical="center"/>
    </xf>
    <xf numFmtId="0" fontId="4" fillId="0" borderId="21" xfId="0" applyFont="1" applyBorder="1">
      <alignment vertical="center"/>
    </xf>
  </cellXfs>
  <cellStyles count="57">
    <cellStyle name="20% - Accent1" xfId="29" builtinId="30" hidden="1"/>
    <cellStyle name="20% - Accent2" xfId="33" builtinId="34" hidden="1"/>
    <cellStyle name="20% - Accent3" xfId="37" builtinId="38" hidden="1"/>
    <cellStyle name="20% - Accent4" xfId="41" builtinId="42" hidden="1"/>
    <cellStyle name="20% - Accent5" xfId="45" builtinId="46" hidden="1"/>
    <cellStyle name="20% - Accent6" xfId="49" builtinId="50" hidden="1"/>
    <cellStyle name="40% - Accent1" xfId="30" builtinId="31" hidden="1"/>
    <cellStyle name="40% - Accent2" xfId="34" builtinId="35" hidden="1"/>
    <cellStyle name="40% - Accent3" xfId="38" builtinId="39" hidden="1"/>
    <cellStyle name="40% - Accent4" xfId="42" builtinId="43" hidden="1"/>
    <cellStyle name="40% - Accent5" xfId="46" builtinId="47" hidden="1"/>
    <cellStyle name="40% - Accent6" xfId="50" builtinId="51" hidden="1"/>
    <cellStyle name="60% - Accent1" xfId="31" builtinId="32" hidden="1"/>
    <cellStyle name="60% - Accent2" xfId="35" builtinId="36" hidden="1"/>
    <cellStyle name="60% - Accent3" xfId="39" builtinId="40" hidden="1"/>
    <cellStyle name="60% - Accent4" xfId="43" builtinId="44" hidden="1"/>
    <cellStyle name="60% - Accent5" xfId="47" builtinId="48" hidden="1"/>
    <cellStyle name="60% - Accent6" xfId="51" builtinId="52" hidden="1"/>
    <cellStyle name="Accent1" xfId="28" builtinId="29" hidden="1"/>
    <cellStyle name="Accent2" xfId="32" builtinId="33" hidden="1"/>
    <cellStyle name="Accent3" xfId="36" builtinId="37" hidden="1"/>
    <cellStyle name="Accent4" xfId="40" builtinId="41" hidden="1"/>
    <cellStyle name="Accent5" xfId="44" builtinId="45" hidden="1"/>
    <cellStyle name="Accent6" xfId="48" builtinId="49" hidden="1"/>
    <cellStyle name="Bad" xfId="17" builtinId="27" customBuiltin="1"/>
    <cellStyle name="Calculation" xfId="21" builtinId="22" customBuiltin="1"/>
    <cellStyle name="Calculation with Different Formula" xfId="53" xr:uid="{86A69745-C685-4E53-A848-07ABA0DE5447}"/>
    <cellStyle name="Check Cell" xfId="23" builtinId="23" customBuiltin="1"/>
    <cellStyle name="Comma" xfId="6" builtinId="3" customBuiltin="1"/>
    <cellStyle name="Comma [0]" xfId="7" builtinId="6" hidden="1"/>
    <cellStyle name="Currency" xfId="10" builtinId="4" customBuiltin="1"/>
    <cellStyle name="Currency [0]" xfId="8" builtinId="7" hidden="1"/>
    <cellStyle name="Datetime Format" xfId="52" xr:uid="{F8B743EC-3D1E-4EC9-851A-EB90DD1814C6}"/>
    <cellStyle name="Dropdown Input" xfId="54" xr:uid="{070CA8DA-14F5-407A-8D4C-695D910B2800}"/>
    <cellStyle name="Explanatory Text" xfId="26"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idden Header" xfId="55" xr:uid="{BF27CF6E-6091-A042-9771-3AEFAE21B52D}"/>
    <cellStyle name="Hyperlink" xfId="9" builtinId="8" customBuiltin="1"/>
    <cellStyle name="Input" xfId="19" builtinId="20" customBuiltin="1"/>
    <cellStyle name="Linked Cell" xfId="22" builtinId="24" customBuiltin="1"/>
    <cellStyle name="Neutral" xfId="18" builtinId="28" customBuiltin="1"/>
    <cellStyle name="Normal" xfId="0" builtinId="0" customBuiltin="1"/>
    <cellStyle name="Note" xfId="25" builtinId="10" customBuiltin="1"/>
    <cellStyle name="Output" xfId="20" builtinId="21" customBuiltin="1"/>
    <cellStyle name="Percent" xfId="5" builtinId="5" customBuiltin="1"/>
    <cellStyle name="Placeholder Data" xfId="56" xr:uid="{435AD6C5-1D1C-4631-9EA9-127F4D334E1A}"/>
    <cellStyle name="Table Header" xfId="1" xr:uid="{13587C19-EA50-488D-84F7-7E2E20679318}"/>
    <cellStyle name="Table Index" xfId="2" xr:uid="{E94AADE6-6DE4-4E30-ADB3-BBB185426671}"/>
    <cellStyle name="Table Sub-Header" xfId="4" xr:uid="{E6DE962F-309E-449D-AB36-9FD53AC7A115}"/>
    <cellStyle name="Table Value" xfId="3" xr:uid="{96588695-D2D5-4DE8-8EA4-3870B7FF2D45}"/>
    <cellStyle name="Title" xfId="11" builtinId="15" customBuiltin="1"/>
    <cellStyle name="Total" xfId="27" builtinId="25" customBuiltin="1"/>
    <cellStyle name="Warning Text" xfId="24" builtinId="11" customBuiltin="1"/>
  </cellStyles>
  <dxfs count="72">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color theme="0" tint="-0.24994659260841701"/>
      </font>
      <fill>
        <patternFill>
          <bgColor theme="0" tint="-4.9989318521683403E-2"/>
        </patternFill>
      </fill>
    </dxf>
    <dxf>
      <font>
        <b val="0"/>
        <i/>
        <color theme="0" tint="-0.24994659260841701"/>
      </font>
      <fill>
        <patternFill>
          <bgColor theme="0" tint="-4.9989318521683403E-2"/>
        </patternFill>
      </fill>
    </dxf>
    <dxf>
      <font>
        <b val="0"/>
        <i/>
        <color theme="0" tint="-0.24994659260841701"/>
      </font>
      <fill>
        <patternFill>
          <bgColor theme="0" tint="-4.9989318521683403E-2"/>
        </patternFill>
      </fill>
    </dxf>
    <dxf>
      <font>
        <color rgb="FF9C0006"/>
      </font>
      <fill>
        <patternFill>
          <bgColor rgb="FFFFC7CE"/>
        </patternFill>
      </fill>
    </dxf>
    <dxf>
      <font>
        <color rgb="FF9C0006"/>
      </font>
      <fill>
        <patternFill>
          <bgColor rgb="FFFFC7CE"/>
        </patternFill>
      </fill>
    </dxf>
    <dxf>
      <font>
        <b val="0"/>
        <i/>
        <color theme="0" tint="-0.24994659260841701"/>
      </font>
      <fill>
        <patternFill>
          <bgColor theme="0" tint="-4.9989318521683403E-2"/>
        </patternFill>
      </fill>
    </dxf>
    <dxf>
      <font>
        <b val="0"/>
        <i/>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0" tint="-0.24994659260841701"/>
      </font>
      <fill>
        <patternFill>
          <bgColor theme="0" tint="-4.9989318521683403E-2"/>
        </patternFill>
      </fill>
    </dxf>
    <dxf>
      <font>
        <b val="0"/>
        <i/>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0" tint="-0.24994659260841701"/>
      </font>
      <fill>
        <patternFill>
          <bgColor theme="0" tint="-4.9989318521683403E-2"/>
        </patternFill>
      </fill>
    </dxf>
    <dxf>
      <font>
        <b val="0"/>
        <i/>
        <color theme="0" tint="-0.24994659260841701"/>
      </font>
      <fill>
        <patternFill>
          <bgColor theme="0" tint="-4.9989318521683403E-2"/>
        </patternFill>
      </fill>
    </dxf>
    <dxf>
      <font>
        <color rgb="FF006100"/>
      </font>
      <fill>
        <patternFill>
          <bgColor rgb="FFC6EFCE"/>
        </patternFill>
      </fill>
    </dxf>
    <dxf>
      <font>
        <b val="0"/>
        <i/>
        <color theme="0" tint="-0.24994659260841701"/>
      </font>
      <fill>
        <patternFill>
          <bgColor theme="0" tint="-4.9989318521683403E-2"/>
        </patternFill>
      </fill>
    </dxf>
    <dxf>
      <font>
        <color rgb="FF9C0006"/>
      </font>
      <fill>
        <patternFill>
          <bgColor rgb="FFFFC7CE"/>
        </patternFill>
      </fill>
    </dxf>
    <dxf>
      <font>
        <color rgb="FF9C0006"/>
      </font>
      <fill>
        <patternFill>
          <bgColor rgb="FFFFC7CE"/>
        </patternFill>
      </fill>
    </dxf>
    <dxf>
      <font>
        <b val="0"/>
        <i/>
        <color theme="0" tint="-0.24994659260841701"/>
      </font>
      <fill>
        <patternFill>
          <bgColor theme="0" tint="-4.9989318521683403E-2"/>
        </patternFill>
      </fill>
    </dxf>
    <dxf>
      <font>
        <b val="0"/>
        <i/>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0" tint="-0.24994659260841701"/>
      </font>
      <fill>
        <patternFill>
          <bgColor theme="0" tint="-4.9989318521683403E-2"/>
        </patternFill>
      </fill>
    </dxf>
    <dxf>
      <font>
        <b val="0"/>
        <i/>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0" tint="-0.24994659260841701"/>
      </font>
      <fill>
        <patternFill>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DE0EC88-2030-4FA3-81F1-541FB30632DE}">
      <tableStyleElement type="wholeTable" dxfId="71"/>
      <tableStyleElement type="headerRow" dxfId="70"/>
    </tableStyle>
  </tableStyles>
  <colors>
    <mruColors>
      <color rgb="FFFFFFCC"/>
      <color rgb="FFE85F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17/10/relationships/person" Target="persons/person.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17/06/relationships/rdRichValueStructure" Target="richData/rdrichvaluestructure.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3.xml"/><Relationship Id="rId20" Type="http://schemas.openxmlformats.org/officeDocument/2006/relationships/worksheet" Target="worksheets/sheet20.xml"/><Relationship Id="rId41" Type="http://schemas.microsoft.com/office/2017/06/relationships/rdRichValueTypes" Target="richData/rdRichValueTyp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xdr:col>
      <xdr:colOff>4616814</xdr:colOff>
      <xdr:row>10</xdr:row>
      <xdr:rowOff>25401</xdr:rowOff>
    </xdr:to>
    <xdr:pic>
      <xdr:nvPicPr>
        <xdr:cNvPr id="5" name="Graphic 4" descr="E3 logo">
          <a:extLst>
            <a:ext uri="{FF2B5EF4-FFF2-40B4-BE49-F238E27FC236}">
              <a16:creationId xmlns:a16="http://schemas.microsoft.com/office/drawing/2014/main" id="{84A04C91-C2B8-B942-92DC-29CE5DBE3EB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17500" y="981364"/>
          <a:ext cx="4616814" cy="8077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393365</xdr:colOff>
      <xdr:row>6</xdr:row>
      <xdr:rowOff>0</xdr:rowOff>
    </xdr:from>
    <xdr:to>
      <xdr:col>4</xdr:col>
      <xdr:colOff>2430103</xdr:colOff>
      <xdr:row>8</xdr:row>
      <xdr:rowOff>44061</xdr:rowOff>
    </xdr:to>
    <xdr:sp macro="[0]!Sheet4.Save_Case_Settings" textlink="">
      <xdr:nvSpPr>
        <xdr:cNvPr id="11" name="Rounded Rectangle 10">
          <a:extLst>
            <a:ext uri="{FF2B5EF4-FFF2-40B4-BE49-F238E27FC236}">
              <a16:creationId xmlns:a16="http://schemas.microsoft.com/office/drawing/2014/main" id="{E9EC520B-E494-0049-A7A4-2867C3EA6A24}"/>
            </a:ext>
          </a:extLst>
        </xdr:cNvPr>
        <xdr:cNvSpPr/>
      </xdr:nvSpPr>
      <xdr:spPr>
        <a:xfrm>
          <a:off x="3663896" y="1236283"/>
          <a:ext cx="2041183" cy="371895"/>
        </a:xfrm>
        <a:prstGeom prst="roundRect">
          <a:avLst/>
        </a:prstGeom>
        <a:solidFill>
          <a:schemeClr val="bg1">
            <a:lumMod val="95000"/>
          </a:schemeClr>
        </a:solidFill>
        <a:ln>
          <a:solidFill>
            <a:schemeClr val="bg1">
              <a:lumMod val="9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tx1"/>
              </a:solidFill>
            </a:rPr>
            <a:t>Save</a:t>
          </a:r>
          <a:r>
            <a:rPr lang="en-US" sz="1000" baseline="0">
              <a:solidFill>
                <a:schemeClr val="tx1"/>
              </a:solidFill>
            </a:rPr>
            <a:t> Case Settings</a:t>
          </a:r>
          <a:endParaRPr lang="en-US" sz="1000">
            <a:solidFill>
              <a:schemeClr val="tx1"/>
            </a:solidFill>
          </a:endParaRPr>
        </a:p>
      </xdr:txBody>
    </xdr:sp>
    <xdr:clientData/>
  </xdr:twoCellAnchor>
  <xdr:twoCellAnchor editAs="oneCell">
    <xdr:from>
      <xdr:col>7</xdr:col>
      <xdr:colOff>0</xdr:colOff>
      <xdr:row>22</xdr:row>
      <xdr:rowOff>0</xdr:rowOff>
    </xdr:from>
    <xdr:to>
      <xdr:col>7</xdr:col>
      <xdr:colOff>2051724</xdr:colOff>
      <xdr:row>24</xdr:row>
      <xdr:rowOff>66225</xdr:rowOff>
    </xdr:to>
    <xdr:sp macro="[0]!Sheet4.Run_Case" textlink="">
      <xdr:nvSpPr>
        <xdr:cNvPr id="14" name="Rounded Rectangle 6">
          <a:extLst>
            <a:ext uri="{FF2B5EF4-FFF2-40B4-BE49-F238E27FC236}">
              <a16:creationId xmlns:a16="http://schemas.microsoft.com/office/drawing/2014/main" id="{76A4F0C2-CB5A-C045-A32E-D9EC258D18CE}"/>
            </a:ext>
          </a:extLst>
        </xdr:cNvPr>
        <xdr:cNvSpPr/>
      </xdr:nvSpPr>
      <xdr:spPr>
        <a:xfrm>
          <a:off x="8052741" y="2304815"/>
          <a:ext cx="2049819" cy="365818"/>
        </a:xfrm>
        <a:prstGeom prst="roundRect">
          <a:avLst/>
        </a:prstGeom>
        <a:solidFill>
          <a:schemeClr val="accent4">
            <a:lumMod val="20000"/>
            <a:lumOff val="80000"/>
          </a:schemeClr>
        </a:solidFill>
        <a:ln>
          <a:solidFill>
            <a:schemeClr val="accent4">
              <a:lumMod val="20000"/>
              <a:lumOff val="8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tx1"/>
              </a:solidFill>
            </a:rPr>
            <a:t>Run RESOLVE Cases</a:t>
          </a:r>
        </a:p>
      </xdr:txBody>
    </xdr:sp>
    <xdr:clientData/>
  </xdr:twoCellAnchor>
  <xdr:twoCellAnchor editAs="oneCell">
    <xdr:from>
      <xdr:col>7</xdr:col>
      <xdr:colOff>0</xdr:colOff>
      <xdr:row>6</xdr:row>
      <xdr:rowOff>0</xdr:rowOff>
    </xdr:from>
    <xdr:to>
      <xdr:col>7</xdr:col>
      <xdr:colOff>2044993</xdr:colOff>
      <xdr:row>8</xdr:row>
      <xdr:rowOff>44061</xdr:rowOff>
    </xdr:to>
    <xdr:sp macro="[0]!Sheet4.Update_Saved_Cases" textlink="">
      <xdr:nvSpPr>
        <xdr:cNvPr id="15" name="Rounded Rectangle 14">
          <a:extLst>
            <a:ext uri="{FF2B5EF4-FFF2-40B4-BE49-F238E27FC236}">
              <a16:creationId xmlns:a16="http://schemas.microsoft.com/office/drawing/2014/main" id="{7D42843E-B0CC-0F45-9C2A-1898818D2E2D}"/>
            </a:ext>
          </a:extLst>
        </xdr:cNvPr>
        <xdr:cNvSpPr/>
      </xdr:nvSpPr>
      <xdr:spPr>
        <a:xfrm>
          <a:off x="8052741" y="1213556"/>
          <a:ext cx="2041183" cy="365817"/>
        </a:xfrm>
        <a:prstGeom prst="roundRect">
          <a:avLst/>
        </a:prstGeom>
        <a:solidFill>
          <a:schemeClr val="bg1">
            <a:lumMod val="95000"/>
          </a:schemeClr>
        </a:solidFill>
        <a:ln>
          <a:solidFill>
            <a:schemeClr val="bg1">
              <a:lumMod val="9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tx1"/>
              </a:solidFill>
            </a:rPr>
            <a:t>Update List</a:t>
          </a:r>
          <a:r>
            <a:rPr lang="en-US" sz="1000" baseline="0">
              <a:solidFill>
                <a:schemeClr val="tx1"/>
              </a:solidFill>
            </a:rPr>
            <a:t> of Saved Cases</a:t>
          </a:r>
          <a:endParaRPr lang="en-US" sz="1000">
            <a:solidFill>
              <a:schemeClr val="tx1"/>
            </a:solidFill>
          </a:endParaRPr>
        </a:p>
      </xdr:txBody>
    </xdr:sp>
    <xdr:clientData/>
  </xdr:twoCellAnchor>
  <xdr:twoCellAnchor editAs="oneCell">
    <xdr:from>
      <xdr:col>7</xdr:col>
      <xdr:colOff>0</xdr:colOff>
      <xdr:row>127</xdr:row>
      <xdr:rowOff>0</xdr:rowOff>
    </xdr:from>
    <xdr:to>
      <xdr:col>7</xdr:col>
      <xdr:colOff>2042922</xdr:colOff>
      <xdr:row>131</xdr:row>
      <xdr:rowOff>4285</xdr:rowOff>
    </xdr:to>
    <xdr:sp macro="[0]!Regroup_Modeled_Year_Columns" textlink="">
      <xdr:nvSpPr>
        <xdr:cNvPr id="2" name="Rounded Rectangle 1">
          <a:extLst>
            <a:ext uri="{FF2B5EF4-FFF2-40B4-BE49-F238E27FC236}">
              <a16:creationId xmlns:a16="http://schemas.microsoft.com/office/drawing/2014/main" id="{EE2F186B-2EB1-4F4B-BAD6-289747A8C486}"/>
            </a:ext>
          </a:extLst>
        </xdr:cNvPr>
        <xdr:cNvSpPr/>
      </xdr:nvSpPr>
      <xdr:spPr>
        <a:xfrm>
          <a:off x="8778240" y="18460720"/>
          <a:ext cx="2039112" cy="457200"/>
        </a:xfrm>
        <a:prstGeom prst="roundRect">
          <a:avLst/>
        </a:prstGeom>
        <a:solidFill>
          <a:schemeClr val="bg1">
            <a:lumMod val="95000"/>
          </a:schemeClr>
        </a:solidFill>
        <a:ln>
          <a:solidFill>
            <a:schemeClr val="bg1">
              <a:lumMod val="9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tx1"/>
              </a:solidFill>
            </a:rPr>
            <a:t>Regroup Columns</a:t>
          </a:r>
          <a:r>
            <a:rPr lang="en-US" sz="1000" baseline="0">
              <a:solidFill>
                <a:schemeClr val="tx1"/>
              </a:solidFill>
            </a:rPr>
            <a:t> for </a:t>
          </a:r>
          <a:br>
            <a:rPr lang="en-US" sz="1000" baseline="0">
              <a:solidFill>
                <a:schemeClr val="tx1"/>
              </a:solidFill>
            </a:rPr>
          </a:br>
          <a:r>
            <a:rPr lang="en-US" sz="1000" baseline="0">
              <a:solidFill>
                <a:schemeClr val="tx1"/>
              </a:solidFill>
            </a:rPr>
            <a:t>Active Modeled Years</a:t>
          </a:r>
          <a:endParaRPr lang="en-US" sz="10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1</xdr:col>
      <xdr:colOff>2033563</xdr:colOff>
      <xdr:row>8</xdr:row>
      <xdr:rowOff>58666</xdr:rowOff>
    </xdr:to>
    <xdr:sp macro="" textlink="">
      <xdr:nvSpPr>
        <xdr:cNvPr id="2" name="Rounded Rectangle 1">
          <a:extLst>
            <a:ext uri="{FF2B5EF4-FFF2-40B4-BE49-F238E27FC236}">
              <a16:creationId xmlns:a16="http://schemas.microsoft.com/office/drawing/2014/main" id="{727EC2C1-E350-734F-B0C4-0A95C8D2838B}"/>
            </a:ext>
          </a:extLst>
        </xdr:cNvPr>
        <xdr:cNvSpPr/>
      </xdr:nvSpPr>
      <xdr:spPr>
        <a:xfrm>
          <a:off x="723900" y="1219200"/>
          <a:ext cx="2033563" cy="363466"/>
        </a:xfrm>
        <a:prstGeom prst="roundRect">
          <a:avLst/>
        </a:prstGeom>
        <a:solidFill>
          <a:schemeClr val="bg1">
            <a:lumMod val="95000"/>
          </a:schemeClr>
        </a:solidFill>
        <a:ln>
          <a:solidFill>
            <a:schemeClr val="bg1">
              <a:lumMod val="9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tx1"/>
              </a:solidFill>
            </a:rPr>
            <a:t>Update List</a:t>
          </a:r>
          <a:r>
            <a:rPr lang="en-US" sz="1000" baseline="0">
              <a:solidFill>
                <a:schemeClr val="tx1"/>
              </a:solidFill>
            </a:rPr>
            <a:t> of Saved Cases</a:t>
          </a:r>
          <a:endParaRPr lang="en-US" sz="1000">
            <a:solidFill>
              <a:schemeClr val="tx1"/>
            </a:solidFill>
          </a:endParaRPr>
        </a:p>
      </xdr:txBody>
    </xdr:sp>
    <xdr:clientData/>
  </xdr:twoCellAnchor>
  <xdr:twoCellAnchor editAs="oneCell">
    <xdr:from>
      <xdr:col>1</xdr:col>
      <xdr:colOff>0</xdr:colOff>
      <xdr:row>22</xdr:row>
      <xdr:rowOff>0</xdr:rowOff>
    </xdr:from>
    <xdr:to>
      <xdr:col>2</xdr:col>
      <xdr:colOff>39</xdr:colOff>
      <xdr:row>24</xdr:row>
      <xdr:rowOff>64320</xdr:rowOff>
    </xdr:to>
    <xdr:sp macro="" textlink="">
      <xdr:nvSpPr>
        <xdr:cNvPr id="3" name="Rounded Rectangle 6">
          <a:extLst>
            <a:ext uri="{FF2B5EF4-FFF2-40B4-BE49-F238E27FC236}">
              <a16:creationId xmlns:a16="http://schemas.microsoft.com/office/drawing/2014/main" id="{4321C348-0BC0-1D4D-84A4-4A500F6E9B97}"/>
            </a:ext>
          </a:extLst>
        </xdr:cNvPr>
        <xdr:cNvSpPr/>
      </xdr:nvSpPr>
      <xdr:spPr>
        <a:xfrm>
          <a:off x="723900" y="3670300"/>
          <a:ext cx="2120939" cy="369120"/>
        </a:xfrm>
        <a:prstGeom prst="roundRect">
          <a:avLst/>
        </a:prstGeom>
        <a:solidFill>
          <a:schemeClr val="accent4">
            <a:lumMod val="20000"/>
            <a:lumOff val="80000"/>
          </a:schemeClr>
        </a:solidFill>
        <a:ln>
          <a:solidFill>
            <a:schemeClr val="accent4">
              <a:lumMod val="20000"/>
              <a:lumOff val="8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tx1"/>
              </a:solidFill>
            </a:rPr>
            <a:t>Run RECAP Cases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2309091</xdr:colOff>
      <xdr:row>8</xdr:row>
      <xdr:rowOff>44749</xdr:rowOff>
    </xdr:from>
    <xdr:to>
      <xdr:col>4</xdr:col>
      <xdr:colOff>304844</xdr:colOff>
      <xdr:row>10</xdr:row>
      <xdr:rowOff>92364</xdr:rowOff>
    </xdr:to>
    <xdr:sp macro="[0]!Sheet32.Save_RECAP_Case_Settings" textlink="">
      <xdr:nvSpPr>
        <xdr:cNvPr id="2" name="Save_Recap_Case_Settings">
          <a:extLst>
            <a:ext uri="{FF2B5EF4-FFF2-40B4-BE49-F238E27FC236}">
              <a16:creationId xmlns:a16="http://schemas.microsoft.com/office/drawing/2014/main" id="{0F3FDBF3-A35F-194D-B5E4-3D521065925E}"/>
            </a:ext>
          </a:extLst>
        </xdr:cNvPr>
        <xdr:cNvSpPr/>
      </xdr:nvSpPr>
      <xdr:spPr>
        <a:xfrm>
          <a:off x="3013364" y="1614931"/>
          <a:ext cx="2140571" cy="359342"/>
        </a:xfrm>
        <a:prstGeom prst="roundRect">
          <a:avLst/>
        </a:prstGeom>
        <a:solidFill>
          <a:sysClr val="window" lastClr="FFFFFF">
            <a:lumMod val="95000"/>
          </a:sysClr>
        </a:solidFill>
        <a:ln w="12700" cap="flat" cmpd="sng" algn="ctr">
          <a:solidFill>
            <a:sysClr val="window" lastClr="FFFFFF">
              <a:lumMod val="95000"/>
            </a:sysClr>
          </a:solidFill>
          <a:prstDash val="solid"/>
          <a:miter lim="800000"/>
        </a:ln>
        <a:effectLst>
          <a:outerShdw blurRad="50800" dist="38100" dir="2700000" algn="tl" rotWithShape="0">
            <a:prstClr val="black">
              <a:alpha val="40000"/>
            </a:prst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rgbClr val="000000"/>
              </a:solidFill>
              <a:effectLst/>
              <a:uLnTx/>
              <a:uFillTx/>
              <a:latin typeface="Arial" panose="020B0604020202020204"/>
              <a:ea typeface="+mn-ea"/>
              <a:cs typeface="+mn-cs"/>
            </a:rPr>
            <a:t>1. Save RECAP Case Settings</a:t>
          </a:r>
        </a:p>
      </xdr:txBody>
    </xdr:sp>
    <xdr:clientData/>
  </xdr:twoCellAnchor>
  <xdr:twoCellAnchor editAs="oneCell">
    <xdr:from>
      <xdr:col>9</xdr:col>
      <xdr:colOff>152730</xdr:colOff>
      <xdr:row>28</xdr:row>
      <xdr:rowOff>99909</xdr:rowOff>
    </xdr:from>
    <xdr:to>
      <xdr:col>9</xdr:col>
      <xdr:colOff>2200059</xdr:colOff>
      <xdr:row>30</xdr:row>
      <xdr:rowOff>149913</xdr:rowOff>
    </xdr:to>
    <xdr:sp macro="[0]!Sheet32.Run_RECAP_Case" textlink="">
      <xdr:nvSpPr>
        <xdr:cNvPr id="3" name="Rounded Rectangle 6">
          <a:extLst>
            <a:ext uri="{FF2B5EF4-FFF2-40B4-BE49-F238E27FC236}">
              <a16:creationId xmlns:a16="http://schemas.microsoft.com/office/drawing/2014/main" id="{9B702276-60F7-E349-85FA-78EBDFA7E32D}"/>
            </a:ext>
          </a:extLst>
        </xdr:cNvPr>
        <xdr:cNvSpPr/>
      </xdr:nvSpPr>
      <xdr:spPr>
        <a:xfrm>
          <a:off x="12927436" y="4619615"/>
          <a:ext cx="2047329" cy="363769"/>
        </a:xfrm>
        <a:prstGeom prst="roundRect">
          <a:avLst/>
        </a:prstGeom>
        <a:solidFill>
          <a:schemeClr val="accent4">
            <a:lumMod val="20000"/>
            <a:lumOff val="80000"/>
          </a:schemeClr>
        </a:solidFill>
        <a:ln>
          <a:solidFill>
            <a:schemeClr val="accent4">
              <a:lumMod val="20000"/>
              <a:lumOff val="8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tx1"/>
              </a:solidFill>
            </a:rPr>
            <a:t>3. Run RECAP Cases</a:t>
          </a:r>
        </a:p>
      </xdr:txBody>
    </xdr:sp>
    <xdr:clientData/>
  </xdr:twoCellAnchor>
  <xdr:twoCellAnchor editAs="oneCell">
    <xdr:from>
      <xdr:col>9</xdr:col>
      <xdr:colOff>175964</xdr:colOff>
      <xdr:row>5</xdr:row>
      <xdr:rowOff>22951</xdr:rowOff>
    </xdr:from>
    <xdr:to>
      <xdr:col>9</xdr:col>
      <xdr:colOff>2214657</xdr:colOff>
      <xdr:row>7</xdr:row>
      <xdr:rowOff>68429</xdr:rowOff>
    </xdr:to>
    <xdr:sp macro="[0]!Sheet32.Update_RECAP_Saved_Cases" textlink="">
      <xdr:nvSpPr>
        <xdr:cNvPr id="4" name="Rounded Rectangle 3">
          <a:extLst>
            <a:ext uri="{FF2B5EF4-FFF2-40B4-BE49-F238E27FC236}">
              <a16:creationId xmlns:a16="http://schemas.microsoft.com/office/drawing/2014/main" id="{CA4F5268-21BD-564D-895E-598135CBDD1E}"/>
            </a:ext>
          </a:extLst>
        </xdr:cNvPr>
        <xdr:cNvSpPr/>
      </xdr:nvSpPr>
      <xdr:spPr>
        <a:xfrm>
          <a:off x="13523664" y="1191351"/>
          <a:ext cx="2038693" cy="362978"/>
        </a:xfrm>
        <a:prstGeom prst="roundRect">
          <a:avLst/>
        </a:prstGeom>
        <a:solidFill>
          <a:schemeClr val="bg1">
            <a:lumMod val="95000"/>
          </a:schemeClr>
        </a:solidFill>
        <a:ln>
          <a:solidFill>
            <a:schemeClr val="bg1">
              <a:lumMod val="9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tx1"/>
              </a:solidFill>
            </a:rPr>
            <a:t>2. Update List</a:t>
          </a:r>
          <a:r>
            <a:rPr lang="en-US" sz="1000" b="1" baseline="0">
              <a:solidFill>
                <a:schemeClr val="tx1"/>
              </a:solidFill>
            </a:rPr>
            <a:t> of Saved Cases</a:t>
          </a:r>
          <a:endParaRPr lang="en-US" sz="1000" b="1">
            <a:solidFill>
              <a:schemeClr val="tx1"/>
            </a:solidFill>
          </a:endParaRPr>
        </a:p>
      </xdr:txBody>
    </xdr:sp>
    <xdr:clientData/>
  </xdr:twoCellAnchor>
  <xdr:twoCellAnchor editAs="oneCell">
    <xdr:from>
      <xdr:col>9</xdr:col>
      <xdr:colOff>164902</xdr:colOff>
      <xdr:row>12</xdr:row>
      <xdr:rowOff>1499</xdr:rowOff>
    </xdr:from>
    <xdr:to>
      <xdr:col>9</xdr:col>
      <xdr:colOff>2212231</xdr:colOff>
      <xdr:row>13</xdr:row>
      <xdr:rowOff>143390</xdr:rowOff>
    </xdr:to>
    <xdr:sp macro="[0]!Sheet32.Load_RECAP_Cases_Settings" textlink="">
      <xdr:nvSpPr>
        <xdr:cNvPr id="5" name="Rounded Rectangle 6">
          <a:extLst>
            <a:ext uri="{FF2B5EF4-FFF2-40B4-BE49-F238E27FC236}">
              <a16:creationId xmlns:a16="http://schemas.microsoft.com/office/drawing/2014/main" id="{70F27DD6-1BB6-3B44-BDF7-77ACDD0F6D04}"/>
            </a:ext>
          </a:extLst>
        </xdr:cNvPr>
        <xdr:cNvSpPr/>
      </xdr:nvSpPr>
      <xdr:spPr>
        <a:xfrm>
          <a:off x="13512602" y="2312899"/>
          <a:ext cx="2047329" cy="370491"/>
        </a:xfrm>
        <a:prstGeom prst="roundRect">
          <a:avLst/>
        </a:prstGeom>
        <a:solidFill>
          <a:schemeClr val="accent1">
            <a:lumMod val="20000"/>
            <a:lumOff val="80000"/>
          </a:schemeClr>
        </a:solidFill>
        <a:ln>
          <a:solidFill>
            <a:schemeClr val="accent1">
              <a:lumMod val="20000"/>
              <a:lumOff val="8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i="1">
              <a:solidFill>
                <a:schemeClr val="tx1"/>
              </a:solidFill>
            </a:rPr>
            <a:t>(Optional) </a:t>
          </a:r>
          <a:r>
            <a:rPr lang="en-US" sz="1000">
              <a:solidFill>
                <a:schemeClr val="tx1"/>
              </a:solidFill>
            </a:rPr>
            <a:t>Load Case</a:t>
          </a:r>
          <a:r>
            <a:rPr lang="en-US" sz="1000" baseline="0">
              <a:solidFill>
                <a:schemeClr val="tx1"/>
              </a:solidFill>
            </a:rPr>
            <a:t> Settings</a:t>
          </a:r>
          <a:endParaRPr lang="en-US" sz="10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9872</xdr:colOff>
      <xdr:row>15</xdr:row>
      <xdr:rowOff>134472</xdr:rowOff>
    </xdr:from>
    <xdr:to>
      <xdr:col>1</xdr:col>
      <xdr:colOff>2026184</xdr:colOff>
      <xdr:row>18</xdr:row>
      <xdr:rowOff>49266</xdr:rowOff>
    </xdr:to>
    <xdr:sp macro="[0]!Sheet11.Load_Resolve_Results" textlink="">
      <xdr:nvSpPr>
        <xdr:cNvPr id="8" name="Rounded Rectangle 6">
          <a:extLst>
            <a:ext uri="{FF2B5EF4-FFF2-40B4-BE49-F238E27FC236}">
              <a16:creationId xmlns:a16="http://schemas.microsoft.com/office/drawing/2014/main" id="{970CBBA1-746B-44CA-9EF9-287066D3F439}"/>
            </a:ext>
          </a:extLst>
        </xdr:cNvPr>
        <xdr:cNvSpPr/>
      </xdr:nvSpPr>
      <xdr:spPr>
        <a:xfrm>
          <a:off x="2422872" y="2674472"/>
          <a:ext cx="2016312" cy="350223"/>
        </a:xfrm>
        <a:prstGeom prst="roundRect">
          <a:avLst/>
        </a:prstGeom>
        <a:solidFill>
          <a:schemeClr val="accent4">
            <a:lumMod val="20000"/>
            <a:lumOff val="80000"/>
          </a:schemeClr>
        </a:solidFill>
        <a:ln>
          <a:solidFill>
            <a:schemeClr val="bg1">
              <a:lumMod val="9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tx1"/>
              </a:solidFill>
            </a:rPr>
            <a:t>3. Load</a:t>
          </a:r>
          <a:r>
            <a:rPr lang="en-US" sz="1000" b="1" baseline="0">
              <a:solidFill>
                <a:schemeClr val="tx1"/>
              </a:solidFill>
            </a:rPr>
            <a:t> Results</a:t>
          </a:r>
          <a:endParaRPr lang="en-US" sz="1000" b="1">
            <a:solidFill>
              <a:schemeClr val="tx1"/>
            </a:solidFill>
          </a:endParaRPr>
        </a:p>
      </xdr:txBody>
    </xdr:sp>
    <xdr:clientData/>
  </xdr:twoCellAnchor>
  <xdr:twoCellAnchor editAs="oneCell">
    <xdr:from>
      <xdr:col>1</xdr:col>
      <xdr:colOff>9071</xdr:colOff>
      <xdr:row>6</xdr:row>
      <xdr:rowOff>9071</xdr:rowOff>
    </xdr:from>
    <xdr:to>
      <xdr:col>1</xdr:col>
      <xdr:colOff>2061935</xdr:colOff>
      <xdr:row>8</xdr:row>
      <xdr:rowOff>63565</xdr:rowOff>
    </xdr:to>
    <xdr:sp macro="[0]!Sheet11.Refresh_RESOLVE_case" textlink="">
      <xdr:nvSpPr>
        <xdr:cNvPr id="9" name="Rounded Rectangle 6">
          <a:extLst>
            <a:ext uri="{FF2B5EF4-FFF2-40B4-BE49-F238E27FC236}">
              <a16:creationId xmlns:a16="http://schemas.microsoft.com/office/drawing/2014/main" id="{311E5853-E967-4A21-8041-F39A62FC92A7}"/>
            </a:ext>
          </a:extLst>
        </xdr:cNvPr>
        <xdr:cNvSpPr/>
      </xdr:nvSpPr>
      <xdr:spPr>
        <a:xfrm>
          <a:off x="2422071" y="1188357"/>
          <a:ext cx="2052864" cy="362922"/>
        </a:xfrm>
        <a:prstGeom prst="roundRect">
          <a:avLst/>
        </a:prstGeom>
        <a:solidFill>
          <a:schemeClr val="bg1">
            <a:lumMod val="95000"/>
          </a:schemeClr>
        </a:solidFill>
        <a:ln>
          <a:solidFill>
            <a:schemeClr val="bg1">
              <a:lumMod val="9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tx1"/>
              </a:solidFill>
            </a:rPr>
            <a:t>1. Update RESOLVE</a:t>
          </a:r>
          <a:r>
            <a:rPr lang="en-US" sz="1000" b="1" baseline="0">
              <a:solidFill>
                <a:schemeClr val="tx1"/>
              </a:solidFill>
            </a:rPr>
            <a:t> Cases</a:t>
          </a:r>
          <a:endParaRPr lang="en-US" sz="1000" b="1">
            <a:solidFill>
              <a:schemeClr val="tx1"/>
            </a:solidFill>
          </a:endParaRPr>
        </a:p>
      </xdr:txBody>
    </xdr:sp>
    <xdr:clientData/>
  </xdr:twoCellAnchor>
  <xdr:twoCellAnchor editAs="oneCell">
    <xdr:from>
      <xdr:col>1</xdr:col>
      <xdr:colOff>9553</xdr:colOff>
      <xdr:row>10</xdr:row>
      <xdr:rowOff>136607</xdr:rowOff>
    </xdr:from>
    <xdr:to>
      <xdr:col>1</xdr:col>
      <xdr:colOff>2062417</xdr:colOff>
      <xdr:row>13</xdr:row>
      <xdr:rowOff>85550</xdr:rowOff>
    </xdr:to>
    <xdr:sp macro="[0]!Sheet11.Refresh_RESOLVE_run" textlink="">
      <xdr:nvSpPr>
        <xdr:cNvPr id="10" name="Rounded Rectangle 6">
          <a:extLst>
            <a:ext uri="{FF2B5EF4-FFF2-40B4-BE49-F238E27FC236}">
              <a16:creationId xmlns:a16="http://schemas.microsoft.com/office/drawing/2014/main" id="{1E6ACEE9-5CBB-4D71-A3BC-A235A6ADE655}"/>
            </a:ext>
          </a:extLst>
        </xdr:cNvPr>
        <xdr:cNvSpPr/>
      </xdr:nvSpPr>
      <xdr:spPr>
        <a:xfrm>
          <a:off x="2422553" y="1923678"/>
          <a:ext cx="2052864" cy="402515"/>
        </a:xfrm>
        <a:prstGeom prst="roundRect">
          <a:avLst/>
        </a:prstGeom>
        <a:solidFill>
          <a:schemeClr val="bg1">
            <a:lumMod val="95000"/>
          </a:schemeClr>
        </a:solidFill>
        <a:ln>
          <a:solidFill>
            <a:schemeClr val="bg1">
              <a:lumMod val="9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tx1"/>
              </a:solidFill>
            </a:rPr>
            <a:t>2. Choose the specific Run</a:t>
          </a:r>
        </a:p>
      </xdr:txBody>
    </xdr:sp>
    <xdr:clientData/>
  </xdr:twoCellAnchor>
  <xdr:twoCellAnchor>
    <xdr:from>
      <xdr:col>1</xdr:col>
      <xdr:colOff>956235</xdr:colOff>
      <xdr:row>14</xdr:row>
      <xdr:rowOff>82176</xdr:rowOff>
    </xdr:from>
    <xdr:to>
      <xdr:col>2</xdr:col>
      <xdr:colOff>5513293</xdr:colOff>
      <xdr:row>19</xdr:row>
      <xdr:rowOff>642470</xdr:rowOff>
    </xdr:to>
    <xdr:sp macro="" textlink="">
      <xdr:nvSpPr>
        <xdr:cNvPr id="11" name="TextBox 10">
          <a:extLst>
            <a:ext uri="{FF2B5EF4-FFF2-40B4-BE49-F238E27FC236}">
              <a16:creationId xmlns:a16="http://schemas.microsoft.com/office/drawing/2014/main" id="{23C14D31-41D9-0F5F-AE80-A1F36D303FC8}"/>
            </a:ext>
          </a:extLst>
        </xdr:cNvPr>
        <xdr:cNvSpPr txBox="1"/>
      </xdr:nvSpPr>
      <xdr:spPr>
        <a:xfrm>
          <a:off x="3369235" y="2495176"/>
          <a:ext cx="7119470" cy="1307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600">
              <a:solidFill>
                <a:schemeClr val="bg1">
                  <a:lumMod val="50000"/>
                </a:schemeClr>
              </a:solidFill>
            </a:rPr>
            <a:t>Not Working</a:t>
          </a:r>
          <a:r>
            <a:rPr lang="en-US" sz="6600" baseline="0">
              <a:solidFill>
                <a:schemeClr val="bg1">
                  <a:lumMod val="50000"/>
                </a:schemeClr>
              </a:solidFill>
            </a:rPr>
            <a:t> now</a:t>
          </a:r>
          <a:endParaRPr lang="en-US" sz="6600">
            <a:solidFill>
              <a:schemeClr val="bg1">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582660</xdr:colOff>
      <xdr:row>4</xdr:row>
      <xdr:rowOff>665842</xdr:rowOff>
    </xdr:from>
    <xdr:to>
      <xdr:col>2</xdr:col>
      <xdr:colOff>748282</xdr:colOff>
      <xdr:row>7</xdr:row>
      <xdr:rowOff>61236</xdr:rowOff>
    </xdr:to>
    <xdr:sp macro="[0]!Sheet5.Save_System" textlink="">
      <xdr:nvSpPr>
        <xdr:cNvPr id="3" name="Rounded Rectangle 6">
          <a:extLst>
            <a:ext uri="{FF2B5EF4-FFF2-40B4-BE49-F238E27FC236}">
              <a16:creationId xmlns:a16="http://schemas.microsoft.com/office/drawing/2014/main" id="{00000000-0008-0000-0300-000003000000}"/>
            </a:ext>
          </a:extLst>
        </xdr:cNvPr>
        <xdr:cNvSpPr/>
      </xdr:nvSpPr>
      <xdr:spPr>
        <a:xfrm>
          <a:off x="582660" y="1482271"/>
          <a:ext cx="2297408" cy="352761"/>
        </a:xfrm>
        <a:prstGeom prst="roundRect">
          <a:avLst/>
        </a:prstGeom>
        <a:solidFill>
          <a:schemeClr val="bg1">
            <a:lumMod val="95000"/>
          </a:schemeClr>
        </a:solidFill>
        <a:ln>
          <a:solidFill>
            <a:schemeClr val="bg1">
              <a:lumMod val="9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chemeClr val="tx1"/>
              </a:solidFill>
            </a:rPr>
            <a:t>1. Save System Configuration</a:t>
          </a:r>
        </a:p>
      </xdr:txBody>
    </xdr:sp>
    <xdr:clientData/>
  </xdr:twoCellAnchor>
  <xdr:twoCellAnchor editAs="oneCell">
    <xdr:from>
      <xdr:col>0</xdr:col>
      <xdr:colOff>619178</xdr:colOff>
      <xdr:row>12</xdr:row>
      <xdr:rowOff>54429</xdr:rowOff>
    </xdr:from>
    <xdr:to>
      <xdr:col>2</xdr:col>
      <xdr:colOff>806472</xdr:colOff>
      <xdr:row>14</xdr:row>
      <xdr:rowOff>130078</xdr:rowOff>
    </xdr:to>
    <xdr:sp macro="[0]!Sheet5.Save_Attributes" textlink="">
      <xdr:nvSpPr>
        <xdr:cNvPr id="6" name="Rounded Rectangle 6">
          <a:extLst>
            <a:ext uri="{FF2B5EF4-FFF2-40B4-BE49-F238E27FC236}">
              <a16:creationId xmlns:a16="http://schemas.microsoft.com/office/drawing/2014/main" id="{4228327C-FFF9-4C12-BB34-E93AAE70C2A9}"/>
            </a:ext>
          </a:extLst>
        </xdr:cNvPr>
        <xdr:cNvSpPr/>
      </xdr:nvSpPr>
      <xdr:spPr>
        <a:xfrm>
          <a:off x="619178" y="3120572"/>
          <a:ext cx="2319080" cy="365935"/>
        </a:xfrm>
        <a:prstGeom prst="roundRect">
          <a:avLst/>
        </a:prstGeom>
        <a:solidFill>
          <a:schemeClr val="bg1">
            <a:lumMod val="95000"/>
          </a:schemeClr>
        </a:solidFill>
        <a:ln>
          <a:solidFill>
            <a:schemeClr val="bg1">
              <a:lumMod val="9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chemeClr val="tx1"/>
              </a:solidFill>
            </a:rPr>
            <a:t>2. Save</a:t>
          </a:r>
          <a:r>
            <a:rPr lang="en-US" sz="1000" b="0" baseline="0">
              <a:solidFill>
                <a:schemeClr val="tx1"/>
              </a:solidFill>
            </a:rPr>
            <a:t> Component Data for Model</a:t>
          </a:r>
        </a:p>
      </xdr:txBody>
    </xdr:sp>
    <xdr:clientData/>
  </xdr:twoCellAnchor>
  <xdr:twoCellAnchor editAs="oneCell">
    <xdr:from>
      <xdr:col>11</xdr:col>
      <xdr:colOff>197478</xdr:colOff>
      <xdr:row>11</xdr:row>
      <xdr:rowOff>591039</xdr:rowOff>
    </xdr:from>
    <xdr:to>
      <xdr:col>14</xdr:col>
      <xdr:colOff>189614</xdr:colOff>
      <xdr:row>15</xdr:row>
      <xdr:rowOff>26863</xdr:rowOff>
    </xdr:to>
    <xdr:sp macro="[0]!Sheet5.Load_System" textlink="">
      <xdr:nvSpPr>
        <xdr:cNvPr id="4" name="Rounded Rectangle 6">
          <a:extLst>
            <a:ext uri="{FF2B5EF4-FFF2-40B4-BE49-F238E27FC236}">
              <a16:creationId xmlns:a16="http://schemas.microsoft.com/office/drawing/2014/main" id="{1BEEA2F0-44F1-4A6D-8D92-285881A35986}"/>
            </a:ext>
          </a:extLst>
        </xdr:cNvPr>
        <xdr:cNvSpPr/>
      </xdr:nvSpPr>
      <xdr:spPr>
        <a:xfrm>
          <a:off x="5404478" y="3013110"/>
          <a:ext cx="3221565" cy="484275"/>
        </a:xfrm>
        <a:prstGeom prst="roundRect">
          <a:avLst/>
        </a:prstGeom>
        <a:solidFill>
          <a:schemeClr val="accent1">
            <a:lumMod val="20000"/>
            <a:lumOff val="80000"/>
          </a:schemeClr>
        </a:solidFill>
        <a:ln>
          <a:solidFill>
            <a:schemeClr val="accent1">
              <a:lumMod val="20000"/>
              <a:lumOff val="8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i="1">
              <a:solidFill>
                <a:schemeClr val="tx1"/>
              </a:solidFill>
            </a:rPr>
            <a:t>(Optional) </a:t>
          </a:r>
          <a:r>
            <a:rPr lang="en-US" sz="1000">
              <a:solidFill>
                <a:schemeClr val="tx1"/>
              </a:solidFill>
            </a:rPr>
            <a:t>Load components for an </a:t>
          </a:r>
          <a:r>
            <a:rPr lang="en-US" sz="1000" b="1">
              <a:solidFill>
                <a:schemeClr val="tx1"/>
              </a:solidFill>
            </a:rPr>
            <a:t>Existing</a:t>
          </a:r>
          <a:r>
            <a:rPr lang="en-US" sz="1000">
              <a:solidFill>
                <a:schemeClr val="tx1"/>
              </a:solidFill>
            </a:rPr>
            <a:t> System</a:t>
          </a:r>
        </a:p>
      </xdr:txBody>
    </xdr:sp>
    <xdr:clientData/>
  </xdr:twoCellAnchor>
  <xdr:twoCellAnchor editAs="oneCell">
    <xdr:from>
      <xdr:col>11</xdr:col>
      <xdr:colOff>273539</xdr:colOff>
      <xdr:row>4</xdr:row>
      <xdr:rowOff>9769</xdr:rowOff>
    </xdr:from>
    <xdr:to>
      <xdr:col>13</xdr:col>
      <xdr:colOff>1042845</xdr:colOff>
      <xdr:row>7</xdr:row>
      <xdr:rowOff>29408</xdr:rowOff>
    </xdr:to>
    <xdr:sp macro="[0]!Sheet5.Refresh_System_list" textlink="">
      <xdr:nvSpPr>
        <xdr:cNvPr id="5" name="Rounded Rectangle 6">
          <a:extLst>
            <a:ext uri="{FF2B5EF4-FFF2-40B4-BE49-F238E27FC236}">
              <a16:creationId xmlns:a16="http://schemas.microsoft.com/office/drawing/2014/main" id="{56F4D12B-FB1B-42E5-82AE-0953596418BD}"/>
            </a:ext>
          </a:extLst>
        </xdr:cNvPr>
        <xdr:cNvSpPr/>
      </xdr:nvSpPr>
      <xdr:spPr>
        <a:xfrm>
          <a:off x="5477441" y="856436"/>
          <a:ext cx="2669144" cy="484273"/>
        </a:xfrm>
        <a:prstGeom prst="roundRect">
          <a:avLst/>
        </a:prstGeom>
        <a:solidFill>
          <a:schemeClr val="accent1">
            <a:lumMod val="20000"/>
            <a:lumOff val="80000"/>
          </a:schemeClr>
        </a:solidFill>
        <a:ln>
          <a:solidFill>
            <a:schemeClr val="accent1">
              <a:lumMod val="20000"/>
              <a:lumOff val="8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i="1">
              <a:solidFill>
                <a:schemeClr val="tx1"/>
              </a:solidFill>
            </a:rPr>
            <a:t>(Optional) </a:t>
          </a:r>
          <a:r>
            <a:rPr lang="en-US" sz="1000">
              <a:solidFill>
                <a:schemeClr val="tx1"/>
              </a:solidFill>
            </a:rPr>
            <a:t>Update List of Saved</a:t>
          </a:r>
          <a:r>
            <a:rPr lang="en-US" sz="1000" baseline="0">
              <a:solidFill>
                <a:schemeClr val="tx1"/>
              </a:solidFill>
            </a:rPr>
            <a:t> Systems</a:t>
          </a:r>
          <a:endParaRPr lang="en-US" sz="1000">
            <a:solidFill>
              <a:schemeClr val="tx1"/>
            </a:solidFil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Roderick Go" id="{1D82E3D6-1D3A-8946-AD82-B4292DA6B021}" userId="S::roderick@ethree.com::6820df96-2ef9-4479-871b-39e346d71162" providerId="AD"/>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heme/theme1.xml><?xml version="1.0" encoding="utf-8"?>
<a:theme xmlns:a="http://schemas.openxmlformats.org/drawingml/2006/main" name="E3 Bright Arial">
  <a:themeElements>
    <a:clrScheme name="E3 Bright">
      <a:dk1>
        <a:srgbClr val="000000"/>
      </a:dk1>
      <a:lt1>
        <a:sysClr val="window" lastClr="FFFFFF"/>
      </a:lt1>
      <a:dk2>
        <a:srgbClr val="034E6E"/>
      </a:dk2>
      <a:lt2>
        <a:srgbClr val="EEECE1"/>
      </a:lt2>
      <a:accent1>
        <a:srgbClr val="6EA1B6"/>
      </a:accent1>
      <a:accent2>
        <a:srgbClr val="FFB700"/>
      </a:accent2>
      <a:accent3>
        <a:srgbClr val="FF5F39"/>
      </a:accent3>
      <a:accent4>
        <a:srgbClr val="30D773"/>
      </a:accent4>
      <a:accent5>
        <a:srgbClr val="FF8700"/>
      </a:accent5>
      <a:accent6>
        <a:srgbClr val="4458D2"/>
      </a:accent6>
      <a:hlink>
        <a:srgbClr val="6565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86" dT="2022-06-05T18:46:45.84" personId="{1D82E3D6-1D3A-8946-AD82-B4292DA6B021}" id="{40A412CE-EC91-184A-84CC-A3F1639372C8}">
    <text>Finicky to have formulas hidden in grouped columns. Think about locking sheet</text>
  </threadedComment>
</ThreadedComment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3-.github.io/new-modeling-toolkit/resolve/scenario_tool"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7D424-1B6D-4131-A6E9-ED0C08F837E6}">
  <sheetPr codeName="Sheet31"/>
  <dimension ref="A1"/>
  <sheetViews>
    <sheetView workbookViewId="0"/>
  </sheetViews>
  <sheetFormatPr baseColWidth="10" defaultColWidth="9" defaultRowHeight="12"/>
  <sheetData>
    <row r="1" spans="1:1">
      <c r="A1" t="s">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708EE-F658-EC45-A748-7DAD1BC57A4C}">
  <sheetPr codeName="Sheet12"/>
  <dimension ref="A1:B15"/>
  <sheetViews>
    <sheetView workbookViewId="0">
      <selection activeCell="B7" sqref="B7"/>
    </sheetView>
  </sheetViews>
  <sheetFormatPr baseColWidth="10" defaultColWidth="11.19921875" defaultRowHeight="12"/>
  <cols>
    <col min="1" max="1" width="32.3984375" customWidth="1"/>
  </cols>
  <sheetData>
    <row r="1" spans="1:2">
      <c r="A1" t="s">
        <v>845</v>
      </c>
      <c r="B1" t="str">
        <f>'Cover &amp; Configuration'!$H$7</f>
        <v>C:\Users\rli\AppData\Local\anaconda3\envs\kit\python.exe</v>
      </c>
    </row>
    <row r="2" spans="1:2">
      <c r="A2" t="s">
        <v>846</v>
      </c>
      <c r="B2" t="str">
        <f>'Cover &amp; Configuration'!$H$7</f>
        <v>C:\Users\rli\AppData\Local\anaconda3\envs\kit\python.exe</v>
      </c>
    </row>
    <row r="3" spans="1:2">
      <c r="A3" t="s">
        <v>847</v>
      </c>
    </row>
    <row r="4" spans="1:2">
      <c r="A4" t="s">
        <v>848</v>
      </c>
    </row>
    <row r="5" spans="1:2">
      <c r="A5" t="s">
        <v>849</v>
      </c>
      <c r="B5" t="str">
        <f>'Cover &amp; Configuration'!$H$14</f>
        <v/>
      </c>
    </row>
    <row r="6" spans="1:2">
      <c r="A6" t="s">
        <v>850</v>
      </c>
      <c r="B6" t="str">
        <f>'Cover &amp; Configuration'!$H$14</f>
        <v/>
      </c>
    </row>
    <row r="7" spans="1:2">
      <c r="A7" t="s">
        <v>851</v>
      </c>
      <c r="B7" t="str">
        <f>'Cover &amp; Configuration'!$H$15</f>
        <v/>
      </c>
    </row>
    <row r="8" spans="1:2">
      <c r="A8" t="s">
        <v>852</v>
      </c>
      <c r="B8" t="str">
        <f>'Cover &amp; Configuration'!$H$15</f>
        <v/>
      </c>
    </row>
    <row r="9" spans="1:2">
      <c r="A9" t="s">
        <v>853</v>
      </c>
      <c r="B9" t="b">
        <f>show_console</f>
        <v>0</v>
      </c>
    </row>
    <row r="11" spans="1:2">
      <c r="A11" t="s">
        <v>854</v>
      </c>
    </row>
    <row r="12" spans="1:2">
      <c r="A12" t="s">
        <v>855</v>
      </c>
    </row>
    <row r="13" spans="1:2">
      <c r="A13" t="s">
        <v>856</v>
      </c>
    </row>
    <row r="14" spans="1:2">
      <c r="A14" t="s">
        <v>857</v>
      </c>
    </row>
    <row r="15" spans="1:2">
      <c r="A15" t="s">
        <v>858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D88D3-6065-47CA-88A4-3295BA7A70CD}">
  <sheetPr codeName="Sheet1">
    <tabColor theme="2"/>
  </sheetPr>
  <dimension ref="A1:O32"/>
  <sheetViews>
    <sheetView showGridLines="0" topLeftCell="I1" zoomScaleNormal="100" workbookViewId="0">
      <selection activeCell="K7" sqref="K7"/>
    </sheetView>
  </sheetViews>
  <sheetFormatPr baseColWidth="10" defaultColWidth="9" defaultRowHeight="12"/>
  <cols>
    <col min="1" max="1" width="5" customWidth="1"/>
    <col min="2" max="2" width="73.59765625" customWidth="1"/>
    <col min="7" max="7" width="21" bestFit="1" customWidth="1"/>
    <col min="8" max="8" width="117.3984375" customWidth="1"/>
    <col min="10" max="10" width="11.59765625" bestFit="1" customWidth="1"/>
    <col min="11" max="11" width="57" customWidth="1"/>
    <col min="12" max="12" width="12.59765625" customWidth="1"/>
  </cols>
  <sheetData>
    <row r="1" spans="1:15" s="5" customFormat="1" ht="29" thickBot="1">
      <c r="A1" s="5" t="s">
        <v>1</v>
      </c>
    </row>
    <row r="4" spans="1:15" ht="19" thickBot="1">
      <c r="B4" s="9" t="s">
        <v>2</v>
      </c>
      <c r="G4" s="9" t="s">
        <v>3</v>
      </c>
      <c r="H4" s="9"/>
      <c r="J4" s="9" t="s">
        <v>4</v>
      </c>
      <c r="K4" s="9"/>
      <c r="L4" s="9"/>
      <c r="M4" s="9"/>
      <c r="N4" s="9"/>
      <c r="O4" s="9"/>
    </row>
    <row r="6" spans="1:15" ht="13">
      <c r="G6" s="10" t="s">
        <v>5</v>
      </c>
      <c r="H6" s="19" t="s">
        <v>6</v>
      </c>
      <c r="J6" s="6" t="s">
        <v>5</v>
      </c>
      <c r="K6" s="6" t="s">
        <v>6</v>
      </c>
      <c r="L6" s="6"/>
      <c r="M6" s="6"/>
      <c r="N6" s="6"/>
      <c r="O6" s="6"/>
    </row>
    <row r="7" spans="1:15">
      <c r="G7" s="10" t="s">
        <v>7</v>
      </c>
      <c r="H7" s="12" t="str">
        <f>IF(ISBLANK(INDEX($K7:$O7,MATCH($H$6,$K$6:$O$6,0))),"",INDEX($K7:$O7,MATCH($H$6,$K$6:$O$6,0)))</f>
        <v>C:\Users\rli\AppData\Local\anaconda3\envs\kit\python.exe</v>
      </c>
      <c r="J7" s="10" t="s">
        <v>7</v>
      </c>
      <c r="K7" s="3" t="s">
        <v>864</v>
      </c>
      <c r="L7" s="3"/>
      <c r="M7" s="3"/>
      <c r="N7" s="3"/>
      <c r="O7" s="3"/>
    </row>
    <row r="8" spans="1:15">
      <c r="G8" s="10" t="s">
        <v>8</v>
      </c>
      <c r="H8" s="12" t="str">
        <f>IF(ISBLANK(INDEX($K8:$O8,MATCH($H$6,$K$6:$O$6,0))),"",INDEX($K8:$O8,MATCH($H$6,$K$6:$O$6,0)))</f>
        <v/>
      </c>
      <c r="J8" s="10" t="s">
        <v>8</v>
      </c>
      <c r="K8" s="3"/>
      <c r="L8" s="3"/>
      <c r="M8" s="3"/>
      <c r="N8" s="3"/>
      <c r="O8" s="3"/>
    </row>
    <row r="9" spans="1:15">
      <c r="J9" s="127" t="s">
        <v>9</v>
      </c>
    </row>
    <row r="10" spans="1:15">
      <c r="G10" s="79" t="s">
        <v>10</v>
      </c>
      <c r="H10" s="19" t="b">
        <v>0</v>
      </c>
    </row>
    <row r="12" spans="1:15" ht="14" thickBot="1">
      <c r="G12" s="80" t="s">
        <v>11</v>
      </c>
      <c r="H12" s="80"/>
    </row>
    <row r="13" spans="1:15" ht="19" thickBot="1">
      <c r="B13" s="9" t="s">
        <v>12</v>
      </c>
    </row>
    <row r="14" spans="1:15">
      <c r="G14" s="10" t="s">
        <v>13</v>
      </c>
      <c r="H14" s="12" t="str">
        <f>IF(ISBLANK(INDEX($K14:$O14,MATCH($H$6,$K$6:$O$6,0))),"",INDEX($K14:$O14,MATCH($H$6,$K$6:$O$6,0)))</f>
        <v/>
      </c>
      <c r="J14" s="10" t="s">
        <v>13</v>
      </c>
      <c r="K14" s="3"/>
      <c r="L14" s="3"/>
      <c r="M14" s="3"/>
      <c r="N14" s="3"/>
      <c r="O14" s="3"/>
    </row>
    <row r="15" spans="1:15">
      <c r="B15" s="15" t="s">
        <v>14</v>
      </c>
      <c r="G15" s="10" t="s">
        <v>15</v>
      </c>
      <c r="H15" s="12" t="str">
        <f>IF(ISBLANK(INDEX($K15:$O15,MATCH($H$6,$K$6:$O$6,0))),"",INDEX($K15:$O15,MATCH($H$6,$K$6:$O$6,0)))</f>
        <v/>
      </c>
      <c r="J15" s="10" t="s">
        <v>15</v>
      </c>
      <c r="K15" s="3"/>
      <c r="L15" s="3"/>
      <c r="M15" s="3"/>
      <c r="N15" s="3"/>
      <c r="O15" s="3"/>
    </row>
    <row r="16" spans="1:15">
      <c r="B16" s="51" t="s">
        <v>16</v>
      </c>
    </row>
    <row r="17" spans="2:2">
      <c r="B17" s="52" t="s">
        <v>17</v>
      </c>
    </row>
    <row r="18" spans="2:2">
      <c r="B18" s="53" t="s">
        <v>18</v>
      </c>
    </row>
    <row r="19" spans="2:2">
      <c r="B19" s="54" t="s">
        <v>19</v>
      </c>
    </row>
    <row r="20" spans="2:2" ht="13">
      <c r="B20" s="55" t="s">
        <v>20</v>
      </c>
    </row>
    <row r="21" spans="2:2">
      <c r="B21" s="56" t="s">
        <v>21</v>
      </c>
    </row>
    <row r="22" spans="2:2">
      <c r="B22" s="57" t="s">
        <v>22</v>
      </c>
    </row>
    <row r="25" spans="2:2" ht="19" thickBot="1">
      <c r="B25" s="9" t="s">
        <v>23</v>
      </c>
    </row>
    <row r="27" spans="2:2">
      <c r="B27" s="15" t="s">
        <v>24</v>
      </c>
    </row>
    <row r="28" spans="2:2">
      <c r="B28" s="2" t="s">
        <v>25</v>
      </c>
    </row>
    <row r="30" spans="2:2" ht="19" thickBot="1">
      <c r="B30" s="9" t="s">
        <v>26</v>
      </c>
    </row>
    <row r="32" spans="2:2">
      <c r="B32" t="s">
        <v>27</v>
      </c>
    </row>
  </sheetData>
  <sheetProtection formatCells="0" insertColumns="0" insertRows="0" sort="0" autoFilter="0" pivotTables="0"/>
  <dataValidations count="2">
    <dataValidation type="list" allowBlank="1" showErrorMessage="1" promptTitle="Note:" sqref="H10" xr:uid="{206A6724-23DF-D640-8D42-31DEBE77D7DB}">
      <formula1>"TRUE,FALSE"</formula1>
    </dataValidation>
    <dataValidation type="list" allowBlank="1" showInputMessage="1" showErrorMessage="1" sqref="H6" xr:uid="{EAA4E677-CCA2-8D49-AB7C-71DDE8ACBF12}">
      <formula1>$K$6:$O$6</formula1>
    </dataValidation>
  </dataValidations>
  <hyperlinks>
    <hyperlink ref="B28" r:id="rId1" xr:uid="{9FA4191C-2154-A340-ACB7-EEDD2168A0E3}"/>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2449A-7B7F-1645-94A2-FF7375074CDE}">
  <sheetPr codeName="Sheet19"/>
  <dimension ref="A1"/>
  <sheetViews>
    <sheetView tabSelected="1" workbookViewId="0"/>
  </sheetViews>
  <sheetFormatPr baseColWidth="10" defaultRowHeight="1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8DACE-A094-324F-A2B2-45D4149C019B}">
  <sheetPr codeName="Sheet4">
    <tabColor theme="3"/>
  </sheetPr>
  <dimension ref="A1:J194"/>
  <sheetViews>
    <sheetView showGridLines="0" topLeftCell="A5" zoomScale="80" zoomScaleNormal="80" workbookViewId="0">
      <selection activeCell="E172" sqref="E172"/>
    </sheetView>
  </sheetViews>
  <sheetFormatPr baseColWidth="10" defaultColWidth="11" defaultRowHeight="12" outlineLevelRow="2" outlineLevelCol="1"/>
  <cols>
    <col min="2" max="2" width="8.3984375" hidden="1" customWidth="1" outlineLevel="1"/>
    <col min="3" max="3" width="40.59765625" bestFit="1" customWidth="1" collapsed="1"/>
    <col min="4" max="4" width="28.796875" hidden="1" customWidth="1" outlineLevel="1"/>
    <col min="5" max="5" width="44.796875" bestFit="1" customWidth="1" collapsed="1"/>
    <col min="6" max="6" width="25" bestFit="1" customWidth="1"/>
    <col min="7" max="7" width="16.3984375" bestFit="1" customWidth="1"/>
    <col min="8" max="8" width="41.3984375" bestFit="1" customWidth="1"/>
  </cols>
  <sheetData>
    <row r="1" spans="1:8" s="5" customFormat="1" ht="29" thickBot="1">
      <c r="A1" s="5" t="s">
        <v>28</v>
      </c>
    </row>
    <row r="5" spans="1:8" ht="19" thickBot="1">
      <c r="C5" s="9" t="s">
        <v>29</v>
      </c>
      <c r="D5" s="9"/>
      <c r="E5" s="9"/>
      <c r="F5" s="9"/>
      <c r="H5" s="9" t="s">
        <v>30</v>
      </c>
    </row>
    <row r="7" spans="1:8" ht="13">
      <c r="C7" s="6" t="s">
        <v>31</v>
      </c>
    </row>
    <row r="8" spans="1:8">
      <c r="C8" s="49"/>
    </row>
    <row r="10" spans="1:8" ht="13">
      <c r="C10" s="6" t="s">
        <v>32</v>
      </c>
      <c r="H10" s="6" t="s">
        <v>33</v>
      </c>
    </row>
    <row r="11" spans="1:8" hidden="1" outlineLevel="1">
      <c r="B11" s="27" t="s">
        <v>34</v>
      </c>
      <c r="C11" s="27" t="s">
        <v>35</v>
      </c>
      <c r="H11" s="27" t="s">
        <v>36</v>
      </c>
    </row>
    <row r="12" spans="1:8" collapsed="1">
      <c r="B12" s="12" t="s">
        <v>37</v>
      </c>
      <c r="C12" s="12" t="str">
        <f>system_name</f>
        <v>ISONE_toy_system</v>
      </c>
      <c r="H12" s="7"/>
    </row>
    <row r="13" spans="1:8">
      <c r="H13" s="7"/>
    </row>
    <row r="14" spans="1:8">
      <c r="H14" s="7"/>
    </row>
    <row r="15" spans="1:8" ht="18" thickBot="1">
      <c r="C15" s="20" t="s">
        <v>38</v>
      </c>
      <c r="E15" s="20"/>
      <c r="F15" s="20"/>
      <c r="H15" s="7"/>
    </row>
    <row r="16" spans="1:8">
      <c r="H16" s="7"/>
    </row>
    <row r="17" spans="3:10" ht="13">
      <c r="C17" s="6" t="s">
        <v>39</v>
      </c>
      <c r="E17" s="6" t="s">
        <v>40</v>
      </c>
      <c r="H17" s="7"/>
    </row>
    <row r="18" spans="3:10" s="27" customFormat="1" ht="12" customHeight="1" outlineLevel="1">
      <c r="C18" s="27" t="s">
        <v>41</v>
      </c>
      <c r="D18"/>
      <c r="F18"/>
      <c r="G18"/>
      <c r="H18" s="7"/>
      <c r="I18"/>
      <c r="J18"/>
    </row>
    <row r="19" spans="3:10">
      <c r="C19" s="12" t="s">
        <v>42</v>
      </c>
      <c r="E19" s="39">
        <f ca="1">IF($C19="","",COUNTIFS(System!$M$21:$Q$120,$C19))</f>
        <v>0</v>
      </c>
      <c r="F19" s="45" t="s">
        <v>43</v>
      </c>
      <c r="H19" s="7"/>
    </row>
    <row r="20" spans="3:10">
      <c r="C20" s="19"/>
      <c r="E20" s="39" t="str">
        <f>IF($C20="","",COUNTIFS(System!$M$21:$Q$120,$C20))</f>
        <v/>
      </c>
      <c r="F20" s="45"/>
      <c r="H20" s="7"/>
    </row>
    <row r="21" spans="3:10">
      <c r="C21" s="19"/>
      <c r="E21" s="39" t="str">
        <f>IF($C21="","",COUNTIFS(System!$M$21:$Q$120,$C21))</f>
        <v/>
      </c>
      <c r="F21" s="45"/>
      <c r="H21" s="7"/>
    </row>
    <row r="22" spans="3:10">
      <c r="C22" s="19"/>
      <c r="E22" s="39" t="str">
        <f>IF($C22="","",COUNTIFS(System!$M$21:$Q$120,$C22))</f>
        <v/>
      </c>
      <c r="F22" s="45"/>
      <c r="J22" s="27"/>
    </row>
    <row r="23" spans="3:10">
      <c r="C23" s="19"/>
      <c r="E23" s="39" t="str">
        <f>IF($C23="","",COUNTIFS(System!$M$21:$Q$120,$C23))</f>
        <v/>
      </c>
      <c r="F23" s="45"/>
    </row>
    <row r="24" spans="3:10">
      <c r="C24" s="19"/>
      <c r="E24" s="39" t="str">
        <f>IF($C24="","",COUNTIFS(System!$M$21:$Q$120,$C24))</f>
        <v/>
      </c>
      <c r="F24" s="45"/>
    </row>
    <row r="25" spans="3:10">
      <c r="C25" s="19"/>
      <c r="E25" s="39" t="str">
        <f>IF($C25="","",COUNTIFS(System!$M$21:$Q$120,$C25))</f>
        <v/>
      </c>
      <c r="F25" s="45"/>
    </row>
    <row r="26" spans="3:10">
      <c r="C26" s="19"/>
      <c r="E26" s="39" t="str">
        <f>IF($C26="","",COUNTIFS(System!$M$21:$Q$120,$C26))</f>
        <v/>
      </c>
      <c r="F26" s="45"/>
      <c r="H26" s="136" t="s">
        <v>44</v>
      </c>
    </row>
    <row r="27" spans="3:10">
      <c r="C27" s="19"/>
      <c r="E27" s="39" t="str">
        <f>IF($C27="","",COUNTIFS(System!$M$21:$Q$120,$C27))</f>
        <v/>
      </c>
      <c r="F27" s="45"/>
      <c r="H27" s="136"/>
      <c r="I27" s="27"/>
    </row>
    <row r="28" spans="3:10">
      <c r="C28" s="19"/>
      <c r="E28" s="39" t="str">
        <f>IF($C28="","",COUNTIFS(System!$M$21:$Q$120,$C28))</f>
        <v/>
      </c>
      <c r="F28" s="45"/>
      <c r="H28" s="136"/>
    </row>
    <row r="29" spans="3:10">
      <c r="C29" s="19"/>
      <c r="E29" s="39" t="str">
        <f>IF($C29="","",COUNTIFS(System!$M$21:$Q$120,$C29))</f>
        <v/>
      </c>
      <c r="F29" s="45"/>
      <c r="H29" s="136"/>
    </row>
    <row r="30" spans="3:10">
      <c r="C30" s="19"/>
      <c r="E30" s="39" t="str">
        <f>IF($C30="","",COUNTIFS(System!$M$21:$Q$120,$C30))</f>
        <v/>
      </c>
      <c r="F30" s="45"/>
      <c r="H30" s="136"/>
    </row>
    <row r="31" spans="3:10">
      <c r="C31" s="19"/>
      <c r="E31" s="39" t="str">
        <f>IF($C31="","",COUNTIFS(System!$M$21:$Q$120,$C31))</f>
        <v/>
      </c>
      <c r="F31" s="45"/>
      <c r="H31" s="136"/>
    </row>
    <row r="32" spans="3:10">
      <c r="C32" s="19"/>
      <c r="E32" s="39" t="str">
        <f>IF($C32="","",COUNTIFS(System!$M$21:$Q$120,$C32))</f>
        <v/>
      </c>
      <c r="F32" s="45"/>
      <c r="H32" s="136"/>
    </row>
    <row r="33" spans="3:8">
      <c r="C33" s="19"/>
      <c r="E33" s="39" t="str">
        <f>IF($C33="","",COUNTIFS(System!$M$21:$Q$120,$C33))</f>
        <v/>
      </c>
      <c r="F33" s="45"/>
      <c r="H33" s="136"/>
    </row>
    <row r="34" spans="3:8">
      <c r="C34" s="19"/>
      <c r="E34" s="39" t="str">
        <f>IF($C34="","",COUNTIFS(System!$M$21:$Q$120,$C34))</f>
        <v/>
      </c>
      <c r="F34" s="45"/>
    </row>
    <row r="35" spans="3:8">
      <c r="C35" s="19"/>
      <c r="E35" s="39" t="str">
        <f>IF($C35="","",COUNTIFS(System!$M$21:$Q$120,$C35))</f>
        <v/>
      </c>
      <c r="F35" s="45"/>
    </row>
    <row r="36" spans="3:8">
      <c r="C36" s="19"/>
      <c r="E36" s="39" t="str">
        <f>IF($C36="","",COUNTIFS(System!$M$21:$Q$120,$C36))</f>
        <v/>
      </c>
      <c r="F36" s="45"/>
    </row>
    <row r="37" spans="3:8">
      <c r="C37" s="19"/>
      <c r="E37" s="39" t="str">
        <f>IF($C37="","",COUNTIFS(System!$M$21:$Q$120,$C37))</f>
        <v/>
      </c>
      <c r="F37" s="45"/>
    </row>
    <row r="38" spans="3:8">
      <c r="C38" s="19"/>
      <c r="E38" s="39" t="str">
        <f>IF($C38="","",COUNTIFS(System!$M$21:$Q$120,$C38))</f>
        <v/>
      </c>
      <c r="F38" s="45"/>
    </row>
    <row r="39" spans="3:8">
      <c r="C39" s="19"/>
      <c r="E39" s="39" t="str">
        <f>IF($C39="","",COUNTIFS(System!$M$21:$Q$120,$C39))</f>
        <v/>
      </c>
      <c r="F39" s="45"/>
    </row>
    <row r="40" spans="3:8">
      <c r="C40" s="19"/>
      <c r="E40" s="39" t="str">
        <f>IF($C40="","",COUNTIFS(System!$M$21:$Q$120,$C40))</f>
        <v/>
      </c>
      <c r="F40" s="45"/>
    </row>
    <row r="41" spans="3:8">
      <c r="C41" s="19"/>
      <c r="E41" s="39" t="str">
        <f>IF($C41="","",COUNTIFS(System!$M$21:$Q$120,$C41))</f>
        <v/>
      </c>
      <c r="F41" s="45"/>
    </row>
    <row r="42" spans="3:8">
      <c r="C42" s="19"/>
      <c r="E42" s="39" t="str">
        <f>IF($C42="","",COUNTIFS(System!$M$21:$Q$120,$C42))</f>
        <v/>
      </c>
      <c r="F42" s="45" t="s">
        <v>45</v>
      </c>
    </row>
    <row r="45" spans="3:8" ht="18" thickBot="1">
      <c r="C45" s="20" t="s">
        <v>46</v>
      </c>
      <c r="D45" s="20"/>
      <c r="E45" s="20"/>
      <c r="F45" s="20"/>
    </row>
    <row r="47" spans="3:8" ht="13">
      <c r="C47" s="6" t="s">
        <v>47</v>
      </c>
      <c r="D47" s="6"/>
      <c r="E47" s="6"/>
    </row>
    <row r="48" spans="3:8" hidden="1" outlineLevel="1">
      <c r="C48" s="27"/>
      <c r="D48" s="27" t="s">
        <v>34</v>
      </c>
      <c r="E48" s="27" t="s">
        <v>35</v>
      </c>
    </row>
    <row r="49" spans="3:6" collapsed="1">
      <c r="C49" s="10" t="s">
        <v>48</v>
      </c>
      <c r="D49" s="12" t="s">
        <v>49</v>
      </c>
      <c r="E49" s="21" t="s">
        <v>50</v>
      </c>
    </row>
    <row r="50" spans="3:6">
      <c r="C50" s="10" t="s">
        <v>51</v>
      </c>
      <c r="D50" s="12" t="s">
        <v>52</v>
      </c>
      <c r="E50" s="19" t="b">
        <v>0</v>
      </c>
      <c r="F50" s="16"/>
    </row>
    <row r="52" spans="3:6" ht="13">
      <c r="C52" s="6"/>
      <c r="E52" s="6" t="s">
        <v>53</v>
      </c>
    </row>
    <row r="53" spans="3:6" hidden="1" outlineLevel="1">
      <c r="C53" s="27" t="s">
        <v>54</v>
      </c>
      <c r="D53" s="27"/>
      <c r="E53" s="27" t="s">
        <v>55</v>
      </c>
    </row>
    <row r="54" spans="3:6" collapsed="1">
      <c r="C54" s="61">
        <v>35796</v>
      </c>
      <c r="E54" s="19" t="b">
        <v>1</v>
      </c>
    </row>
    <row r="55" spans="3:6">
      <c r="C55" s="61">
        <f t="shared" ref="C55:C76" si="0">EDATE(C54,12)</f>
        <v>36161</v>
      </c>
      <c r="E55" s="19" t="b">
        <v>1</v>
      </c>
    </row>
    <row r="56" spans="3:6">
      <c r="C56" s="61">
        <f t="shared" si="0"/>
        <v>36526</v>
      </c>
      <c r="E56" s="19" t="b">
        <v>1</v>
      </c>
    </row>
    <row r="57" spans="3:6">
      <c r="C57" s="61">
        <f t="shared" si="0"/>
        <v>36892</v>
      </c>
      <c r="E57" s="19" t="b">
        <v>1</v>
      </c>
    </row>
    <row r="58" spans="3:6">
      <c r="C58" s="61">
        <f t="shared" si="0"/>
        <v>37257</v>
      </c>
      <c r="E58" s="19" t="b">
        <v>1</v>
      </c>
    </row>
    <row r="59" spans="3:6">
      <c r="C59" s="61">
        <f t="shared" si="0"/>
        <v>37622</v>
      </c>
      <c r="E59" s="19" t="b">
        <v>1</v>
      </c>
    </row>
    <row r="60" spans="3:6">
      <c r="C60" s="61">
        <f t="shared" si="0"/>
        <v>37987</v>
      </c>
      <c r="E60" s="19" t="b">
        <v>1</v>
      </c>
    </row>
    <row r="61" spans="3:6">
      <c r="C61" s="61">
        <f t="shared" si="0"/>
        <v>38353</v>
      </c>
      <c r="E61" s="19" t="b">
        <v>1</v>
      </c>
    </row>
    <row r="62" spans="3:6">
      <c r="C62" s="61">
        <f t="shared" si="0"/>
        <v>38718</v>
      </c>
      <c r="E62" s="19" t="b">
        <v>1</v>
      </c>
    </row>
    <row r="63" spans="3:6">
      <c r="C63" s="61">
        <f t="shared" si="0"/>
        <v>39083</v>
      </c>
      <c r="E63" s="19" t="b">
        <v>1</v>
      </c>
    </row>
    <row r="64" spans="3:6">
      <c r="C64" s="61">
        <f t="shared" si="0"/>
        <v>39448</v>
      </c>
      <c r="E64" s="19" t="b">
        <v>1</v>
      </c>
    </row>
    <row r="65" spans="1:6">
      <c r="C65" s="61">
        <f t="shared" si="0"/>
        <v>39814</v>
      </c>
      <c r="E65" s="19" t="b">
        <v>1</v>
      </c>
    </row>
    <row r="66" spans="1:6">
      <c r="C66" s="61">
        <f t="shared" si="0"/>
        <v>40179</v>
      </c>
      <c r="E66" s="19" t="b">
        <v>1</v>
      </c>
    </row>
    <row r="67" spans="1:6">
      <c r="C67" s="61">
        <f t="shared" si="0"/>
        <v>40544</v>
      </c>
      <c r="E67" s="19" t="b">
        <v>1</v>
      </c>
    </row>
    <row r="68" spans="1:6">
      <c r="C68" s="61">
        <f t="shared" si="0"/>
        <v>40909</v>
      </c>
      <c r="E68" s="19" t="b">
        <v>1</v>
      </c>
    </row>
    <row r="69" spans="1:6">
      <c r="C69" s="61">
        <f t="shared" si="0"/>
        <v>41275</v>
      </c>
      <c r="E69" s="19" t="b">
        <v>1</v>
      </c>
    </row>
    <row r="70" spans="1:6">
      <c r="C70" s="61">
        <f t="shared" si="0"/>
        <v>41640</v>
      </c>
      <c r="E70" s="19" t="b">
        <v>1</v>
      </c>
    </row>
    <row r="71" spans="1:6">
      <c r="C71" s="61">
        <f t="shared" si="0"/>
        <v>42005</v>
      </c>
      <c r="E71" s="19" t="b">
        <v>1</v>
      </c>
    </row>
    <row r="72" spans="1:6">
      <c r="C72" s="61">
        <f t="shared" si="0"/>
        <v>42370</v>
      </c>
      <c r="E72" s="19" t="b">
        <v>1</v>
      </c>
    </row>
    <row r="73" spans="1:6">
      <c r="C73" s="61">
        <f t="shared" si="0"/>
        <v>42736</v>
      </c>
      <c r="E73" s="19" t="b">
        <v>1</v>
      </c>
    </row>
    <row r="74" spans="1:6">
      <c r="C74" s="61">
        <f t="shared" si="0"/>
        <v>43101</v>
      </c>
      <c r="E74" s="19" t="b">
        <v>1</v>
      </c>
    </row>
    <row r="75" spans="1:6">
      <c r="C75" s="61">
        <f t="shared" si="0"/>
        <v>43466</v>
      </c>
      <c r="E75" s="19" t="b">
        <v>1</v>
      </c>
    </row>
    <row r="76" spans="1:6">
      <c r="C76" s="61">
        <f t="shared" si="0"/>
        <v>43831</v>
      </c>
      <c r="E76" s="19" t="b">
        <v>1</v>
      </c>
    </row>
    <row r="77" spans="1:6">
      <c r="F77" s="16"/>
    </row>
    <row r="78" spans="1:6" ht="13" hidden="1" outlineLevel="1">
      <c r="C78" s="6" t="s">
        <v>56</v>
      </c>
      <c r="E78" s="6"/>
      <c r="F78" s="6"/>
    </row>
    <row r="79" spans="1:6" hidden="1" outlineLevel="2">
      <c r="A79" s="27" t="s">
        <v>57</v>
      </c>
      <c r="C79" s="26" t="s">
        <v>58</v>
      </c>
      <c r="D79" s="26"/>
      <c r="E79" s="26" t="s">
        <v>59</v>
      </c>
      <c r="F79" s="26" t="s">
        <v>60</v>
      </c>
    </row>
    <row r="80" spans="1:6" hidden="1" outlineLevel="1" collapsed="1">
      <c r="A80" s="27">
        <f>IF(C80="","",ROW()-ROW(A$79)-1)</f>
        <v>0</v>
      </c>
      <c r="C80" s="19" t="s">
        <v>61</v>
      </c>
      <c r="E80" s="3" t="s">
        <v>62</v>
      </c>
      <c r="F80" s="23">
        <v>1</v>
      </c>
    </row>
    <row r="81" spans="1:6" hidden="1" outlineLevel="1">
      <c r="A81" s="27" t="str">
        <f t="shared" ref="A81:A110" si="1">IF(C81="","",ROW()-ROW(A$79)-1)</f>
        <v/>
      </c>
      <c r="C81" s="19"/>
      <c r="E81" s="3"/>
      <c r="F81" s="23"/>
    </row>
    <row r="82" spans="1:6" hidden="1" outlineLevel="1">
      <c r="A82" s="27" t="str">
        <f t="shared" si="1"/>
        <v/>
      </c>
      <c r="C82" s="19"/>
      <c r="E82" s="3"/>
      <c r="F82" s="23"/>
    </row>
    <row r="83" spans="1:6" hidden="1" outlineLevel="1">
      <c r="A83" s="27" t="str">
        <f t="shared" si="1"/>
        <v/>
      </c>
      <c r="C83" s="19"/>
      <c r="E83" s="3"/>
      <c r="F83" s="23"/>
    </row>
    <row r="84" spans="1:6" hidden="1" outlineLevel="1">
      <c r="A84" s="27" t="str">
        <f t="shared" si="1"/>
        <v/>
      </c>
      <c r="C84" s="19"/>
      <c r="E84" s="3"/>
      <c r="F84" s="23"/>
    </row>
    <row r="85" spans="1:6" hidden="1" outlineLevel="1">
      <c r="A85" s="27" t="str">
        <f t="shared" si="1"/>
        <v/>
      </c>
      <c r="C85" s="19"/>
      <c r="E85" s="3"/>
      <c r="F85" s="23"/>
    </row>
    <row r="86" spans="1:6" hidden="1" outlineLevel="1">
      <c r="A86" s="27" t="str">
        <f t="shared" si="1"/>
        <v/>
      </c>
      <c r="C86" s="19"/>
      <c r="E86" s="3"/>
      <c r="F86" s="23"/>
    </row>
    <row r="87" spans="1:6" hidden="1" outlineLevel="1">
      <c r="A87" s="27" t="str">
        <f t="shared" si="1"/>
        <v/>
      </c>
      <c r="C87" s="19"/>
      <c r="E87" s="3"/>
      <c r="F87" s="23"/>
    </row>
    <row r="88" spans="1:6" hidden="1" outlineLevel="1">
      <c r="A88" s="27" t="str">
        <f t="shared" si="1"/>
        <v/>
      </c>
      <c r="C88" s="19"/>
      <c r="E88" s="3"/>
      <c r="F88" s="23"/>
    </row>
    <row r="89" spans="1:6" hidden="1" outlineLevel="1">
      <c r="A89" s="27" t="str">
        <f t="shared" si="1"/>
        <v/>
      </c>
      <c r="C89" s="19"/>
      <c r="E89" s="3"/>
      <c r="F89" s="23"/>
    </row>
    <row r="90" spans="1:6" hidden="1" outlineLevel="1">
      <c r="A90" s="27" t="str">
        <f t="shared" si="1"/>
        <v/>
      </c>
      <c r="C90" s="19"/>
      <c r="E90" s="3"/>
      <c r="F90" s="23"/>
    </row>
    <row r="91" spans="1:6" hidden="1" outlineLevel="1">
      <c r="A91" s="27" t="str">
        <f t="shared" si="1"/>
        <v/>
      </c>
      <c r="C91" s="19"/>
      <c r="E91" s="3"/>
      <c r="F91" s="23"/>
    </row>
    <row r="92" spans="1:6" hidden="1" outlineLevel="1">
      <c r="A92" s="27" t="str">
        <f t="shared" si="1"/>
        <v/>
      </c>
      <c r="C92" s="19"/>
      <c r="E92" s="3"/>
      <c r="F92" s="23"/>
    </row>
    <row r="93" spans="1:6" hidden="1" outlineLevel="1">
      <c r="A93" s="27" t="str">
        <f t="shared" si="1"/>
        <v/>
      </c>
      <c r="C93" s="19"/>
      <c r="E93" s="3"/>
      <c r="F93" s="23"/>
    </row>
    <row r="94" spans="1:6" hidden="1" outlineLevel="1">
      <c r="A94" s="27" t="str">
        <f t="shared" si="1"/>
        <v/>
      </c>
      <c r="C94" s="19"/>
      <c r="E94" s="3"/>
      <c r="F94" s="23"/>
    </row>
    <row r="95" spans="1:6" hidden="1" outlineLevel="1">
      <c r="A95" s="27" t="str">
        <f t="shared" si="1"/>
        <v/>
      </c>
      <c r="C95" s="19"/>
      <c r="E95" s="3"/>
      <c r="F95" s="23"/>
    </row>
    <row r="96" spans="1:6" hidden="1" outlineLevel="1">
      <c r="A96" s="27" t="str">
        <f t="shared" si="1"/>
        <v/>
      </c>
      <c r="C96" s="19"/>
      <c r="E96" s="3"/>
      <c r="F96" s="23"/>
    </row>
    <row r="97" spans="1:6" hidden="1" outlineLevel="1">
      <c r="A97" s="27" t="str">
        <f t="shared" si="1"/>
        <v/>
      </c>
      <c r="C97" s="19"/>
      <c r="E97" s="3"/>
      <c r="F97" s="23"/>
    </row>
    <row r="98" spans="1:6" hidden="1" outlineLevel="1">
      <c r="A98" s="27" t="str">
        <f t="shared" si="1"/>
        <v/>
      </c>
      <c r="C98" s="19"/>
      <c r="E98" s="3"/>
      <c r="F98" s="23"/>
    </row>
    <row r="99" spans="1:6" hidden="1" outlineLevel="1">
      <c r="A99" s="27" t="str">
        <f t="shared" si="1"/>
        <v/>
      </c>
      <c r="C99" s="19"/>
      <c r="E99" s="3"/>
      <c r="F99" s="23"/>
    </row>
    <row r="100" spans="1:6" hidden="1" outlineLevel="1">
      <c r="A100" s="27" t="str">
        <f t="shared" si="1"/>
        <v/>
      </c>
      <c r="C100" s="19"/>
      <c r="E100" s="3"/>
      <c r="F100" s="23"/>
    </row>
    <row r="101" spans="1:6" hidden="1" outlineLevel="1">
      <c r="A101" s="27" t="str">
        <f t="shared" si="1"/>
        <v/>
      </c>
      <c r="C101" s="19"/>
      <c r="E101" s="3"/>
      <c r="F101" s="23"/>
    </row>
    <row r="102" spans="1:6" hidden="1" outlineLevel="1">
      <c r="A102" s="27" t="str">
        <f t="shared" si="1"/>
        <v/>
      </c>
      <c r="C102" s="19"/>
      <c r="E102" s="3"/>
      <c r="F102" s="23"/>
    </row>
    <row r="103" spans="1:6" hidden="1" outlineLevel="1">
      <c r="A103" s="27" t="str">
        <f t="shared" si="1"/>
        <v/>
      </c>
      <c r="C103" s="19"/>
      <c r="E103" s="3"/>
      <c r="F103" s="23"/>
    </row>
    <row r="104" spans="1:6" hidden="1" outlineLevel="1">
      <c r="A104" s="27" t="str">
        <f t="shared" si="1"/>
        <v/>
      </c>
      <c r="C104" s="19"/>
      <c r="E104" s="3"/>
      <c r="F104" s="23"/>
    </row>
    <row r="105" spans="1:6" hidden="1" outlineLevel="1">
      <c r="A105" s="27" t="str">
        <f t="shared" si="1"/>
        <v/>
      </c>
      <c r="C105" s="19"/>
      <c r="E105" s="3"/>
      <c r="F105" s="23"/>
    </row>
    <row r="106" spans="1:6" hidden="1" outlineLevel="1">
      <c r="A106" s="27" t="str">
        <f t="shared" si="1"/>
        <v/>
      </c>
      <c r="C106" s="19"/>
      <c r="E106" s="3"/>
      <c r="F106" s="23"/>
    </row>
    <row r="107" spans="1:6" hidden="1" outlineLevel="1">
      <c r="A107" s="27" t="str">
        <f t="shared" si="1"/>
        <v/>
      </c>
      <c r="C107" s="19"/>
      <c r="E107" s="3"/>
      <c r="F107" s="23"/>
    </row>
    <row r="108" spans="1:6" hidden="1" outlineLevel="1">
      <c r="A108" s="27" t="str">
        <f t="shared" si="1"/>
        <v/>
      </c>
      <c r="C108" s="19"/>
      <c r="E108" s="3"/>
      <c r="F108" s="23"/>
    </row>
    <row r="109" spans="1:6" hidden="1" outlineLevel="1">
      <c r="A109" s="27" t="str">
        <f t="shared" si="1"/>
        <v/>
      </c>
      <c r="C109" s="19"/>
      <c r="E109" s="3"/>
      <c r="F109" s="23"/>
    </row>
    <row r="110" spans="1:6" hidden="1" outlineLevel="1">
      <c r="A110" s="27" t="str">
        <f t="shared" si="1"/>
        <v/>
      </c>
      <c r="C110" s="19"/>
      <c r="E110" s="3"/>
      <c r="F110" s="23"/>
    </row>
    <row r="111" spans="1:6" hidden="1" outlineLevel="1">
      <c r="A111" s="27"/>
      <c r="C111" s="19"/>
      <c r="E111" s="3"/>
      <c r="F111" s="3"/>
    </row>
    <row r="112" spans="1:6" hidden="1" outlineLevel="1">
      <c r="A112" s="27"/>
      <c r="C112" s="19"/>
      <c r="E112" s="3"/>
      <c r="F112" s="3"/>
    </row>
    <row r="113" spans="1:6" hidden="1" outlineLevel="1">
      <c r="A113" s="27"/>
      <c r="C113" s="19"/>
      <c r="E113" s="3"/>
      <c r="F113" s="3"/>
    </row>
    <row r="114" spans="1:6" hidden="1" outlineLevel="1">
      <c r="A114" s="27"/>
      <c r="C114" s="19"/>
      <c r="E114" s="3"/>
      <c r="F114" s="3"/>
    </row>
    <row r="115" spans="1:6" hidden="1" outlineLevel="1">
      <c r="A115" s="27"/>
      <c r="C115" s="19"/>
      <c r="E115" s="3"/>
      <c r="F115" s="3"/>
    </row>
    <row r="116" spans="1:6" hidden="1" outlineLevel="1">
      <c r="A116" s="27"/>
      <c r="C116" s="19"/>
      <c r="E116" s="3"/>
      <c r="F116" s="3"/>
    </row>
    <row r="117" spans="1:6" hidden="1" outlineLevel="1">
      <c r="A117" s="27"/>
      <c r="C117" s="19"/>
      <c r="E117" s="3"/>
      <c r="F117" s="3"/>
    </row>
    <row r="118" spans="1:6" hidden="1" outlineLevel="1"/>
    <row r="119" spans="1:6" collapsed="1"/>
    <row r="120" spans="1:6" ht="18" thickBot="1">
      <c r="C120" s="20" t="s">
        <v>63</v>
      </c>
      <c r="D120" s="20"/>
      <c r="E120" s="20"/>
      <c r="F120" s="20"/>
    </row>
    <row r="122" spans="1:6" ht="13">
      <c r="C122" s="6" t="s">
        <v>64</v>
      </c>
      <c r="D122" s="6"/>
      <c r="E122" s="6"/>
    </row>
    <row r="123" spans="1:6" hidden="1" outlineLevel="1">
      <c r="C123" s="27"/>
      <c r="D123" s="27" t="s">
        <v>34</v>
      </c>
      <c r="E123" s="27" t="s">
        <v>35</v>
      </c>
      <c r="F123" s="27"/>
    </row>
    <row r="124" spans="1:6" collapsed="1">
      <c r="C124" s="10" t="s">
        <v>65</v>
      </c>
      <c r="D124" s="12" t="s">
        <v>66</v>
      </c>
      <c r="E124" s="22">
        <v>2022</v>
      </c>
    </row>
    <row r="125" spans="1:6">
      <c r="C125" s="10" t="s">
        <v>67</v>
      </c>
      <c r="D125" s="12" t="s">
        <v>68</v>
      </c>
      <c r="E125" s="22">
        <v>20</v>
      </c>
    </row>
    <row r="127" spans="1:6" ht="13">
      <c r="C127" s="6"/>
      <c r="E127" s="6" t="s">
        <v>69</v>
      </c>
      <c r="F127" s="6" t="s">
        <v>70</v>
      </c>
    </row>
    <row r="128" spans="1:6" hidden="1" outlineLevel="1">
      <c r="C128" s="27" t="s">
        <v>54</v>
      </c>
      <c r="D128" s="27"/>
      <c r="E128" s="27" t="s">
        <v>71</v>
      </c>
      <c r="F128" s="27" t="s">
        <v>72</v>
      </c>
    </row>
    <row r="129" spans="3:6" collapsed="1">
      <c r="C129" s="61">
        <v>43831</v>
      </c>
      <c r="E129" s="19" t="b">
        <v>0</v>
      </c>
      <c r="F129" s="3">
        <v>0.05</v>
      </c>
    </row>
    <row r="130" spans="3:6">
      <c r="C130" s="61">
        <v>44197</v>
      </c>
      <c r="E130" s="19" t="b">
        <v>0</v>
      </c>
      <c r="F130" s="3">
        <v>0.05</v>
      </c>
    </row>
    <row r="131" spans="3:6">
      <c r="C131" s="61">
        <v>44562</v>
      </c>
      <c r="E131" s="19" t="b">
        <v>0</v>
      </c>
      <c r="F131" s="3">
        <v>0.05</v>
      </c>
    </row>
    <row r="132" spans="3:6">
      <c r="C132" s="61">
        <v>44927</v>
      </c>
      <c r="E132" s="19" t="b">
        <v>0</v>
      </c>
      <c r="F132" s="3">
        <v>0.05</v>
      </c>
    </row>
    <row r="133" spans="3:6">
      <c r="C133" s="61">
        <v>45292</v>
      </c>
      <c r="E133" s="19" t="b">
        <v>0</v>
      </c>
      <c r="F133" s="3">
        <v>0.05</v>
      </c>
    </row>
    <row r="134" spans="3:6">
      <c r="C134" s="61">
        <v>45658</v>
      </c>
      <c r="E134" s="19" t="b">
        <v>1</v>
      </c>
      <c r="F134" s="3">
        <v>0.05</v>
      </c>
    </row>
    <row r="135" spans="3:6">
      <c r="C135" s="61">
        <v>46023</v>
      </c>
      <c r="E135" s="19" t="b">
        <v>0</v>
      </c>
      <c r="F135" s="3">
        <v>0.05</v>
      </c>
    </row>
    <row r="136" spans="3:6">
      <c r="C136" s="61">
        <v>46388</v>
      </c>
      <c r="E136" s="19" t="b">
        <v>0</v>
      </c>
      <c r="F136" s="3">
        <v>0.05</v>
      </c>
    </row>
    <row r="137" spans="3:6">
      <c r="C137" s="61">
        <v>46753</v>
      </c>
      <c r="E137" s="19" t="b">
        <v>1</v>
      </c>
      <c r="F137" s="3">
        <v>0.05</v>
      </c>
    </row>
    <row r="138" spans="3:6">
      <c r="C138" s="61">
        <v>47119</v>
      </c>
      <c r="E138" s="19" t="b">
        <v>0</v>
      </c>
      <c r="F138" s="3">
        <v>0.05</v>
      </c>
    </row>
    <row r="139" spans="3:6">
      <c r="C139" s="61">
        <v>47484</v>
      </c>
      <c r="E139" s="19" t="b">
        <v>0</v>
      </c>
      <c r="F139" s="3">
        <v>0.05</v>
      </c>
    </row>
    <row r="140" spans="3:6">
      <c r="C140" s="61">
        <v>47849</v>
      </c>
      <c r="E140" s="19" t="b">
        <v>0</v>
      </c>
      <c r="F140" s="3">
        <v>0.05</v>
      </c>
    </row>
    <row r="141" spans="3:6">
      <c r="C141" s="61">
        <v>48214</v>
      </c>
      <c r="E141" s="19" t="b">
        <v>0</v>
      </c>
      <c r="F141" s="3">
        <v>0.05</v>
      </c>
    </row>
    <row r="142" spans="3:6">
      <c r="C142" s="61">
        <v>48580</v>
      </c>
      <c r="E142" s="19" t="b">
        <v>0</v>
      </c>
      <c r="F142" s="3">
        <v>0.05</v>
      </c>
    </row>
    <row r="143" spans="3:6">
      <c r="C143" s="61">
        <v>48945</v>
      </c>
      <c r="E143" s="19" t="b">
        <v>0</v>
      </c>
      <c r="F143" s="3">
        <v>0.05</v>
      </c>
    </row>
    <row r="144" spans="3:6">
      <c r="C144" s="61">
        <v>49310</v>
      </c>
      <c r="E144" s="19" t="b">
        <v>1</v>
      </c>
      <c r="F144" s="3">
        <v>0.05</v>
      </c>
    </row>
    <row r="145" spans="3:6">
      <c r="C145" s="61">
        <v>49675</v>
      </c>
      <c r="E145" s="19" t="b">
        <v>0</v>
      </c>
      <c r="F145" s="3">
        <v>0.05</v>
      </c>
    </row>
    <row r="146" spans="3:6">
      <c r="C146" s="61">
        <v>50041</v>
      </c>
      <c r="E146" s="19" t="b">
        <v>0</v>
      </c>
      <c r="F146" s="3">
        <v>0.05</v>
      </c>
    </row>
    <row r="147" spans="3:6">
      <c r="C147" s="61">
        <v>50406</v>
      </c>
      <c r="E147" s="19" t="b">
        <v>0</v>
      </c>
      <c r="F147" s="3">
        <v>0.05</v>
      </c>
    </row>
    <row r="148" spans="3:6">
      <c r="C148" s="61">
        <v>50771</v>
      </c>
      <c r="E148" s="19" t="b">
        <v>0</v>
      </c>
      <c r="F148" s="3">
        <v>0.05</v>
      </c>
    </row>
    <row r="149" spans="3:6">
      <c r="C149" s="61">
        <v>51136</v>
      </c>
      <c r="E149" s="19" t="b">
        <v>0</v>
      </c>
      <c r="F149" s="3">
        <v>0.05</v>
      </c>
    </row>
    <row r="150" spans="3:6">
      <c r="C150" s="61">
        <v>51502</v>
      </c>
      <c r="E150" s="19" t="b">
        <v>0</v>
      </c>
      <c r="F150" s="3">
        <v>0.05</v>
      </c>
    </row>
    <row r="151" spans="3:6">
      <c r="C151" s="61">
        <v>51867</v>
      </c>
      <c r="E151" s="19" t="b">
        <v>0</v>
      </c>
      <c r="F151" s="3">
        <v>0.05</v>
      </c>
    </row>
    <row r="152" spans="3:6">
      <c r="C152" s="61">
        <v>52232</v>
      </c>
      <c r="E152" s="19" t="b">
        <v>0</v>
      </c>
      <c r="F152" s="3">
        <v>0.05</v>
      </c>
    </row>
    <row r="153" spans="3:6">
      <c r="C153" s="61">
        <v>52597</v>
      </c>
      <c r="E153" s="19" t="b">
        <v>0</v>
      </c>
      <c r="F153" s="3">
        <v>0.05</v>
      </c>
    </row>
    <row r="154" spans="3:6">
      <c r="C154" s="61">
        <v>52963</v>
      </c>
      <c r="E154" s="19" t="b">
        <v>0</v>
      </c>
      <c r="F154" s="3">
        <v>0.05</v>
      </c>
    </row>
    <row r="155" spans="3:6">
      <c r="C155" s="61">
        <v>53328</v>
      </c>
      <c r="E155" s="19" t="b">
        <v>0</v>
      </c>
      <c r="F155" s="3">
        <v>0.05</v>
      </c>
    </row>
    <row r="156" spans="3:6">
      <c r="C156" s="61">
        <v>53693</v>
      </c>
      <c r="E156" s="19" t="b">
        <v>0</v>
      </c>
      <c r="F156" s="3">
        <v>0.05</v>
      </c>
    </row>
    <row r="157" spans="3:6">
      <c r="C157" s="61">
        <v>54058</v>
      </c>
      <c r="E157" s="19" t="b">
        <v>0</v>
      </c>
      <c r="F157" s="3">
        <v>0.05</v>
      </c>
    </row>
    <row r="158" spans="3:6">
      <c r="C158" s="61">
        <v>54424</v>
      </c>
      <c r="E158" s="19" t="b">
        <v>0</v>
      </c>
      <c r="F158" s="3">
        <v>0.05</v>
      </c>
    </row>
    <row r="159" spans="3:6">
      <c r="C159" s="61">
        <v>54789</v>
      </c>
      <c r="E159" s="19" t="b">
        <v>0</v>
      </c>
      <c r="F159" s="3">
        <v>0.05</v>
      </c>
    </row>
    <row r="162" spans="3:6" ht="18" thickBot="1">
      <c r="C162" s="20" t="s">
        <v>73</v>
      </c>
      <c r="D162" s="20" t="s">
        <v>74</v>
      </c>
      <c r="E162" s="20"/>
      <c r="F162" s="20"/>
    </row>
    <row r="164" spans="3:6" ht="13">
      <c r="C164" s="6" t="s">
        <v>75</v>
      </c>
      <c r="F164" s="15"/>
    </row>
    <row r="165" spans="3:6" hidden="1" outlineLevel="1">
      <c r="C165" s="27" t="s">
        <v>76</v>
      </c>
    </row>
    <row r="166" spans="3:6" collapsed="1">
      <c r="C166" s="19" t="s">
        <v>77</v>
      </c>
    </row>
    <row r="167" spans="3:6">
      <c r="C167" s="19" t="s">
        <v>78</v>
      </c>
    </row>
    <row r="168" spans="3:6">
      <c r="C168" s="19" t="s">
        <v>79</v>
      </c>
    </row>
    <row r="169" spans="3:6">
      <c r="C169" s="19" t="s">
        <v>80</v>
      </c>
    </row>
    <row r="170" spans="3:6">
      <c r="C170" s="19" t="s">
        <v>81</v>
      </c>
    </row>
    <row r="171" spans="3:6">
      <c r="C171" s="19" t="s">
        <v>82</v>
      </c>
    </row>
    <row r="172" spans="3:6">
      <c r="C172" s="19" t="s">
        <v>83</v>
      </c>
    </row>
    <row r="173" spans="3:6">
      <c r="C173" s="19" t="s">
        <v>84</v>
      </c>
    </row>
    <row r="174" spans="3:6">
      <c r="C174" s="19" t="s">
        <v>85</v>
      </c>
    </row>
    <row r="175" spans="3:6">
      <c r="C175" s="19" t="s">
        <v>86</v>
      </c>
    </row>
    <row r="176" spans="3:6">
      <c r="C176" s="19" t="s">
        <v>87</v>
      </c>
    </row>
    <row r="177" spans="3:6">
      <c r="C177" s="19"/>
    </row>
    <row r="178" spans="3:6">
      <c r="C178" s="19"/>
    </row>
    <row r="181" spans="3:6" ht="18" thickBot="1">
      <c r="C181" s="20" t="s">
        <v>74</v>
      </c>
      <c r="D181" s="20" t="s">
        <v>74</v>
      </c>
      <c r="E181" s="20"/>
      <c r="F181" s="20"/>
    </row>
    <row r="183" spans="3:6" ht="13">
      <c r="C183" s="6" t="s">
        <v>88</v>
      </c>
    </row>
    <row r="184" spans="3:6">
      <c r="C184" s="19" t="s">
        <v>89</v>
      </c>
    </row>
    <row r="186" spans="3:6" ht="13">
      <c r="C186" s="6" t="s">
        <v>90</v>
      </c>
      <c r="D186" s="6"/>
      <c r="E186" s="6" t="s">
        <v>91</v>
      </c>
      <c r="F186" s="6" t="s">
        <v>92</v>
      </c>
    </row>
    <row r="187" spans="3:6" hidden="1" outlineLevel="1">
      <c r="C187" s="27" t="s">
        <v>35</v>
      </c>
      <c r="D187" s="27" t="s">
        <v>34</v>
      </c>
      <c r="E187" s="27" t="s">
        <v>35</v>
      </c>
      <c r="F187" s="27"/>
    </row>
    <row r="188" spans="3:6" collapsed="1">
      <c r="C188" s="62"/>
      <c r="D188" s="12" t="str">
        <f t="shared" ref="D188:D194" si="2">IF(C188="","",_xlfn.TEXTJOIN(".",TRUE,"solver",$C$184,C188,F188))</f>
        <v/>
      </c>
      <c r="E188" s="62"/>
      <c r="F188" s="19"/>
    </row>
    <row r="189" spans="3:6">
      <c r="C189" s="62"/>
      <c r="D189" s="12" t="str">
        <f t="shared" si="2"/>
        <v/>
      </c>
      <c r="E189" s="62"/>
      <c r="F189" s="19"/>
    </row>
    <row r="190" spans="3:6">
      <c r="C190" s="62"/>
      <c r="D190" s="12" t="str">
        <f t="shared" si="2"/>
        <v/>
      </c>
      <c r="E190" s="62"/>
      <c r="F190" s="19"/>
    </row>
    <row r="191" spans="3:6">
      <c r="C191" s="62"/>
      <c r="D191" s="12" t="str">
        <f t="shared" si="2"/>
        <v/>
      </c>
      <c r="E191" s="62"/>
      <c r="F191" s="19"/>
    </row>
    <row r="192" spans="3:6">
      <c r="C192" s="62"/>
      <c r="D192" s="12" t="str">
        <f t="shared" si="2"/>
        <v/>
      </c>
      <c r="E192" s="62"/>
      <c r="F192" s="19"/>
    </row>
    <row r="193" spans="3:6">
      <c r="C193" s="62"/>
      <c r="D193" s="12" t="str">
        <f t="shared" si="2"/>
        <v/>
      </c>
      <c r="E193" s="62"/>
      <c r="F193" s="19"/>
    </row>
    <row r="194" spans="3:6">
      <c r="C194" s="62"/>
      <c r="D194" s="12" t="str">
        <f t="shared" si="2"/>
        <v/>
      </c>
      <c r="E194" s="62"/>
      <c r="F194" s="19"/>
    </row>
  </sheetData>
  <sheetProtection formatCells="0" formatColumns="0" formatRows="0" insertHyperlinks="0" sort="0" autoFilter="0" pivotTables="0"/>
  <mergeCells count="1">
    <mergeCell ref="H26:H33"/>
  </mergeCells>
  <conditionalFormatting sqref="F78 C78:E79 C80:F117">
    <cfRule type="expression" dxfId="69" priority="3">
      <formula>$E$49="manual"</formula>
    </cfRule>
  </conditionalFormatting>
  <conditionalFormatting sqref="E19:E42">
    <cfRule type="cellIs" dxfId="68" priority="1" operator="equal">
      <formula>0</formula>
    </cfRule>
  </conditionalFormatting>
  <dataValidations count="8">
    <dataValidation type="list" allowBlank="1" showInputMessage="1" showErrorMessage="1" sqref="E49" xr:uid="{DAEF221C-00D7-1B45-B69F-53734203DD5D}">
      <formula1>"manual"</formula1>
    </dataValidation>
    <dataValidation type="list" allowBlank="1" showInputMessage="1" showErrorMessage="1" sqref="E54:E76 E50 E129:E159" xr:uid="{E98CEAC5-1770-3740-8857-3741DD30D9A0}">
      <formula1>"TRUE,FALSE"</formula1>
    </dataValidation>
    <dataValidation type="list" allowBlank="1" showInputMessage="1" showErrorMessage="1" sqref="C184" xr:uid="{EA9FF532-FC0D-E24B-A3E3-D32ABB4F1CB4}">
      <formula1>"cbc,cplex,gurobi,xpress"</formula1>
    </dataValidation>
    <dataValidation type="list" allowBlank="1" showInputMessage="1" showErrorMessage="1" sqref="F188:F194" xr:uid="{9EF5A819-9921-554A-893A-EC67DB96728D}">
      <formula1>"bool,float,int,str"</formula1>
    </dataValidation>
    <dataValidation type="list" allowBlank="1" showInputMessage="1" showErrorMessage="1" sqref="C166:C178" xr:uid="{A34CA763-F016-BC4F-9422-40C4B3BE9320}">
      <formula1>OFFSET(lists_custom_constraint_groups_annual,,,COUNTA(lists_custom_constraint_groups_annual))</formula1>
    </dataValidation>
    <dataValidation type="list" allowBlank="1" showInputMessage="1" showErrorMessage="1" sqref="C80:C117" xr:uid="{E40020FC-0312-BA43-BFF7-01F4103275DB}">
      <formula1>"load,resource"</formula1>
    </dataValidation>
    <dataValidation type="list" allowBlank="1" showInputMessage="1" showErrorMessage="1" sqref="H12:H21" xr:uid="{579B4BF5-EEE1-0644-8A95-40F8EDA3CB61}">
      <formula1>OFFSET(list_saved_cases_resolve,,,COUNTA(list_saved_cases_resolve))</formula1>
    </dataValidation>
    <dataValidation type="list" allowBlank="1" showInputMessage="1" showErrorMessage="1" promptTitle="Instructions:" prompt="Scenario tags listed further down in this table have higher &quot;priority&quot;. If an input is tagged with multiple different tags, the version of the data with the highest priority scenario tag will be used in the Resolve case." sqref="C19:C42" xr:uid="{DD8D2FA8-2DE1-EE42-B145-DED89E6D588E}">
      <formula1>OFFSET(scenarios_all,,,COUNTA(scenarios_all))</formula1>
    </dataValidation>
  </dataValidation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7D1FB-21F2-E54E-8E4A-90F226E23042}">
  <sheetPr codeName="Sheet14">
    <tabColor theme="2" tint="-0.249977111117893"/>
  </sheetPr>
  <dimension ref="A1:B33"/>
  <sheetViews>
    <sheetView showGridLines="0" topLeftCell="A5" workbookViewId="0">
      <selection activeCell="D19" sqref="D19"/>
    </sheetView>
  </sheetViews>
  <sheetFormatPr baseColWidth="10" defaultColWidth="11.3984375" defaultRowHeight="12" outlineLevelRow="1"/>
  <cols>
    <col min="2" max="2" width="33.3984375" bestFit="1" customWidth="1"/>
  </cols>
  <sheetData>
    <row r="1" spans="1:2" s="5" customFormat="1" ht="29" thickBot="1">
      <c r="A1" s="5" t="s">
        <v>93</v>
      </c>
    </row>
    <row r="2" spans="1:2">
      <c r="A2" s="45" t="s">
        <v>94</v>
      </c>
    </row>
    <row r="5" spans="1:2" ht="19" thickBot="1">
      <c r="B5" s="9" t="s">
        <v>95</v>
      </c>
    </row>
    <row r="10" spans="1:2" ht="13">
      <c r="B10" s="6" t="s">
        <v>33</v>
      </c>
    </row>
    <row r="11" spans="1:2" outlineLevel="1">
      <c r="B11" s="27" t="s">
        <v>36</v>
      </c>
    </row>
    <row r="12" spans="1:2">
      <c r="B12" s="7" t="s">
        <v>96</v>
      </c>
    </row>
    <row r="13" spans="1:2">
      <c r="B13" s="7"/>
    </row>
    <row r="14" spans="1:2">
      <c r="B14" s="7"/>
    </row>
    <row r="15" spans="1:2">
      <c r="B15" s="7"/>
    </row>
    <row r="16" spans="1:2">
      <c r="B16" s="7"/>
    </row>
    <row r="17" spans="2:2">
      <c r="B17" s="7"/>
    </row>
    <row r="18" spans="2:2">
      <c r="B18" s="7"/>
    </row>
    <row r="19" spans="2:2">
      <c r="B19" s="7"/>
    </row>
    <row r="20" spans="2:2">
      <c r="B20" s="7"/>
    </row>
    <row r="21" spans="2:2">
      <c r="B21" s="7"/>
    </row>
    <row r="26" spans="2:2">
      <c r="B26" s="136" t="s">
        <v>44</v>
      </c>
    </row>
    <row r="27" spans="2:2">
      <c r="B27" s="136"/>
    </row>
    <row r="28" spans="2:2">
      <c r="B28" s="136"/>
    </row>
    <row r="29" spans="2:2">
      <c r="B29" s="136"/>
    </row>
    <row r="30" spans="2:2">
      <c r="B30" s="136"/>
    </row>
    <row r="31" spans="2:2">
      <c r="B31" s="136"/>
    </row>
    <row r="32" spans="2:2">
      <c r="B32" s="136"/>
    </row>
    <row r="33" spans="2:2">
      <c r="B33" s="136"/>
    </row>
  </sheetData>
  <dataConsolidate/>
  <mergeCells count="1">
    <mergeCell ref="B26:B33"/>
  </mergeCells>
  <dataValidations count="1">
    <dataValidation type="list" allowBlank="1" showInputMessage="1" showErrorMessage="1" sqref="B12:B21" xr:uid="{423ACF5C-999C-7D4A-A7CB-B85FF15F868E}">
      <formula1>OFFSET(list_saved_cases_recap,,,COUNTA(list_saved_cases_recap))</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0D564-2307-864E-8E13-38192153E290}">
  <sheetPr codeName="Sheet32">
    <tabColor theme="5" tint="0.39997558519241921"/>
  </sheetPr>
  <dimension ref="A1:AS153"/>
  <sheetViews>
    <sheetView showGridLines="0" zoomScaleNormal="100" workbookViewId="0">
      <selection activeCell="D21" sqref="D21"/>
    </sheetView>
  </sheetViews>
  <sheetFormatPr baseColWidth="10" defaultColWidth="11" defaultRowHeight="12" outlineLevelRow="1"/>
  <cols>
    <col min="1" max="1" width="5" customWidth="1"/>
    <col min="2" max="2" width="3" customWidth="1"/>
    <col min="3" max="3" width="42.59765625" customWidth="1"/>
    <col min="4" max="4" width="22.796875" customWidth="1"/>
    <col min="5" max="5" width="16.796875" customWidth="1"/>
    <col min="6" max="6" width="34.3984375" customWidth="1"/>
    <col min="7" max="7" width="31.796875" customWidth="1"/>
    <col min="8" max="8" width="26.59765625" customWidth="1"/>
    <col min="9" max="9" width="15" customWidth="1"/>
    <col min="10" max="10" width="37.796875" customWidth="1"/>
    <col min="11" max="11" width="27.3984375" customWidth="1"/>
    <col min="12" max="12" width="31.3984375" customWidth="1"/>
    <col min="13" max="13" width="42" customWidth="1"/>
    <col min="14" max="14" width="32.3984375" bestFit="1" customWidth="1"/>
    <col min="15" max="28" width="19.796875" customWidth="1"/>
  </cols>
  <sheetData>
    <row r="1" spans="1:45" s="5" customFormat="1" ht="29" thickBot="1">
      <c r="A1" s="5" t="s">
        <v>97</v>
      </c>
    </row>
    <row r="4" spans="1:45" ht="27" thickBot="1">
      <c r="C4" s="99" t="s">
        <v>98</v>
      </c>
      <c r="D4" s="9"/>
      <c r="E4" s="9"/>
      <c r="F4" s="9"/>
      <c r="G4" s="9"/>
      <c r="J4" s="9" t="s">
        <v>99</v>
      </c>
    </row>
    <row r="6" spans="1:45" ht="13">
      <c r="D6" s="6" t="s">
        <v>31</v>
      </c>
    </row>
    <row r="7" spans="1:45">
      <c r="D7" s="49" t="s">
        <v>100</v>
      </c>
    </row>
    <row r="10" spans="1:45" ht="13">
      <c r="J10" s="6" t="s">
        <v>101</v>
      </c>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row>
    <row r="11" spans="1:45" ht="16.5" customHeight="1">
      <c r="J11" s="19" t="s">
        <v>100</v>
      </c>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row>
    <row r="12" spans="1:45">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row>
    <row r="13" spans="1:45" ht="18" thickBot="1">
      <c r="C13" s="20" t="s">
        <v>38</v>
      </c>
      <c r="D13" s="20"/>
      <c r="F13" s="20" t="s">
        <v>102</v>
      </c>
      <c r="G13" s="20"/>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row>
    <row r="14" spans="1:45">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c r="AR14" s="27"/>
      <c r="AS14" s="27"/>
    </row>
    <row r="15" spans="1:45" ht="14.5" customHeight="1">
      <c r="T15" s="27"/>
      <c r="U15" s="27"/>
      <c r="V15" s="27"/>
      <c r="W15" s="27"/>
      <c r="X15" s="27"/>
      <c r="Y15" s="27"/>
      <c r="Z15" s="27"/>
      <c r="AA15" s="27"/>
      <c r="AB15" s="27"/>
      <c r="AC15" s="27"/>
      <c r="AD15" s="27"/>
      <c r="AE15" s="27"/>
      <c r="AF15" s="27"/>
      <c r="AG15" s="27"/>
      <c r="AH15" s="27"/>
      <c r="AI15" s="27"/>
      <c r="AJ15" s="27"/>
      <c r="AK15" s="27"/>
      <c r="AL15" s="27"/>
      <c r="AM15" s="27"/>
      <c r="AN15" s="27"/>
      <c r="AO15" s="27"/>
      <c r="AP15" s="27"/>
      <c r="AQ15" s="27"/>
      <c r="AR15" s="27"/>
      <c r="AS15" s="27"/>
    </row>
    <row r="16" spans="1:45" ht="13">
      <c r="C16" s="6" t="s">
        <v>39</v>
      </c>
      <c r="F16" s="6" t="s">
        <v>103</v>
      </c>
      <c r="G16" s="6" t="s">
        <v>104</v>
      </c>
      <c r="H16" s="100" t="s">
        <v>105</v>
      </c>
      <c r="J16" s="6" t="s">
        <v>33</v>
      </c>
      <c r="T16" s="27"/>
      <c r="U16" s="27"/>
      <c r="V16" s="27"/>
      <c r="W16" s="27"/>
      <c r="X16" s="27"/>
      <c r="Y16" s="27"/>
      <c r="Z16" s="27"/>
      <c r="AA16" s="27"/>
      <c r="AB16" s="27"/>
      <c r="AC16" s="27"/>
      <c r="AD16" s="27"/>
      <c r="AE16" s="27"/>
      <c r="AF16" s="27"/>
      <c r="AG16" s="27"/>
      <c r="AH16" s="27"/>
      <c r="AI16" s="27"/>
      <c r="AJ16" s="27"/>
      <c r="AK16" s="27"/>
      <c r="AL16" s="27"/>
      <c r="AM16" s="27"/>
      <c r="AN16" s="27"/>
      <c r="AO16" s="27"/>
      <c r="AP16" s="27"/>
      <c r="AQ16" s="27"/>
      <c r="AR16" s="27"/>
      <c r="AS16" s="27"/>
    </row>
    <row r="17" spans="3:23" s="27" customFormat="1" ht="12" hidden="1" customHeight="1" outlineLevel="1">
      <c r="F17"/>
      <c r="G17"/>
      <c r="I17"/>
      <c r="K17"/>
      <c r="U17"/>
      <c r="V17"/>
      <c r="W17"/>
    </row>
    <row r="18" spans="3:23" ht="12" hidden="1" customHeight="1" outlineLevel="1">
      <c r="C18" s="27" t="s">
        <v>41</v>
      </c>
      <c r="F18" s="27" t="s">
        <v>106</v>
      </c>
      <c r="G18" s="27" t="s">
        <v>35</v>
      </c>
      <c r="J18" s="27" t="s">
        <v>36</v>
      </c>
      <c r="U18" s="27"/>
    </row>
    <row r="19" spans="3:23" ht="17.25" customHeight="1" collapsed="1">
      <c r="C19" s="19"/>
      <c r="E19" s="141" t="s">
        <v>29</v>
      </c>
      <c r="F19" s="123" t="s">
        <v>107</v>
      </c>
      <c r="G19" s="101" t="s">
        <v>108</v>
      </c>
      <c r="J19" s="7" t="s">
        <v>100</v>
      </c>
    </row>
    <row r="20" spans="3:23">
      <c r="C20" s="19"/>
      <c r="E20" s="141"/>
      <c r="F20" s="123" t="s">
        <v>109</v>
      </c>
      <c r="G20" s="102" t="s">
        <v>110</v>
      </c>
      <c r="H20" s="103"/>
      <c r="J20" s="7"/>
    </row>
    <row r="21" spans="3:23" ht="12" customHeight="1">
      <c r="C21" s="19"/>
      <c r="E21" s="141"/>
      <c r="F21" s="123" t="s">
        <v>111</v>
      </c>
      <c r="G21" s="22">
        <v>2050</v>
      </c>
      <c r="H21" s="103"/>
      <c r="J21" s="7"/>
    </row>
    <row r="22" spans="3:23" ht="12" customHeight="1">
      <c r="C22" s="19"/>
      <c r="E22" s="141"/>
      <c r="F22" s="123" t="s">
        <v>112</v>
      </c>
      <c r="G22" s="22">
        <v>2</v>
      </c>
      <c r="H22" s="103"/>
      <c r="J22" s="7"/>
    </row>
    <row r="23" spans="3:23">
      <c r="C23" s="19"/>
      <c r="E23" s="141"/>
      <c r="F23" s="123" t="s">
        <v>113</v>
      </c>
      <c r="G23" s="21" t="b">
        <v>1</v>
      </c>
      <c r="H23" s="103"/>
      <c r="J23" s="7"/>
    </row>
    <row r="24" spans="3:23">
      <c r="C24" s="19"/>
      <c r="E24" s="141"/>
      <c r="F24" s="123" t="s">
        <v>114</v>
      </c>
      <c r="G24" s="22"/>
      <c r="H24" s="103"/>
      <c r="J24" s="7"/>
    </row>
    <row r="25" spans="3:23">
      <c r="C25" s="19"/>
      <c r="E25" s="141"/>
      <c r="F25" s="123" t="s">
        <v>115</v>
      </c>
      <c r="G25" s="110" t="s">
        <v>116</v>
      </c>
      <c r="H25" s="103"/>
      <c r="J25" s="7"/>
    </row>
    <row r="26" spans="3:23">
      <c r="C26" s="19"/>
      <c r="E26" s="141"/>
      <c r="F26" s="123" t="s">
        <v>117</v>
      </c>
      <c r="G26" s="21" t="s">
        <v>842</v>
      </c>
      <c r="H26" s="103"/>
      <c r="J26" s="7"/>
    </row>
    <row r="27" spans="3:23" ht="11.5" customHeight="1">
      <c r="C27" s="19"/>
      <c r="E27" s="141"/>
      <c r="F27" s="123" t="s">
        <v>119</v>
      </c>
      <c r="G27" s="21" t="s">
        <v>118</v>
      </c>
      <c r="J27" s="7"/>
    </row>
    <row r="28" spans="3:23">
      <c r="C28" s="19"/>
      <c r="E28" s="141"/>
      <c r="F28" s="123" t="s">
        <v>120</v>
      </c>
      <c r="G28" s="22">
        <v>0.1</v>
      </c>
      <c r="H28" s="103"/>
      <c r="J28" s="7"/>
    </row>
    <row r="29" spans="3:23">
      <c r="C29" s="19"/>
      <c r="E29" s="141"/>
      <c r="F29" s="123" t="s">
        <v>121</v>
      </c>
      <c r="G29" s="22">
        <v>30</v>
      </c>
      <c r="H29" s="103"/>
      <c r="I29" s="27"/>
    </row>
    <row r="30" spans="3:23" ht="13">
      <c r="C30" s="19"/>
      <c r="E30" s="141"/>
      <c r="F30" s="123" t="s">
        <v>122</v>
      </c>
      <c r="G30" s="22" t="s">
        <v>123</v>
      </c>
      <c r="K30" s="6" t="s">
        <v>124</v>
      </c>
      <c r="L30" s="142" t="s">
        <v>125</v>
      </c>
    </row>
    <row r="31" spans="3:23" ht="20.25" customHeight="1">
      <c r="C31" s="19"/>
      <c r="E31" s="141"/>
      <c r="F31" s="123" t="s">
        <v>126</v>
      </c>
      <c r="G31" s="22" t="s">
        <v>127</v>
      </c>
      <c r="H31" s="103" t="s">
        <v>128</v>
      </c>
      <c r="K31" s="19" t="b">
        <v>0</v>
      </c>
      <c r="L31" s="142"/>
    </row>
    <row r="32" spans="3:23">
      <c r="C32" s="19"/>
      <c r="E32" s="141"/>
      <c r="F32" s="123" t="s">
        <v>129</v>
      </c>
      <c r="G32" s="22">
        <v>15</v>
      </c>
      <c r="J32" s="142" t="s">
        <v>130</v>
      </c>
      <c r="L32" s="142"/>
    </row>
    <row r="33" spans="1:12" ht="15" customHeight="1">
      <c r="C33" s="19"/>
      <c r="E33" s="141"/>
      <c r="F33" s="123" t="s">
        <v>131</v>
      </c>
      <c r="G33" s="22">
        <v>10</v>
      </c>
      <c r="J33" s="142"/>
      <c r="L33" s="142"/>
    </row>
    <row r="34" spans="1:12">
      <c r="C34" s="19"/>
      <c r="E34" s="135"/>
      <c r="F34" s="123" t="s">
        <v>843</v>
      </c>
      <c r="G34" s="21" t="b">
        <v>0</v>
      </c>
      <c r="H34" s="103"/>
      <c r="J34" s="142"/>
      <c r="L34" s="142"/>
    </row>
    <row r="35" spans="1:12">
      <c r="C35" s="19"/>
      <c r="E35" s="135"/>
      <c r="F35" s="123" t="s">
        <v>844</v>
      </c>
      <c r="G35" s="21" t="b">
        <v>0</v>
      </c>
      <c r="H35" s="103"/>
      <c r="J35" s="142"/>
      <c r="L35" s="142"/>
    </row>
    <row r="36" spans="1:12" ht="30" customHeight="1">
      <c r="C36" s="19"/>
      <c r="E36" s="140" t="s">
        <v>132</v>
      </c>
      <c r="F36" s="122" t="s">
        <v>133</v>
      </c>
      <c r="G36" s="21" t="b">
        <v>1</v>
      </c>
      <c r="H36" s="103" t="s">
        <v>134</v>
      </c>
      <c r="J36" s="142"/>
      <c r="L36" s="142"/>
    </row>
    <row r="37" spans="1:12" ht="39">
      <c r="C37" s="19"/>
      <c r="E37" s="140"/>
      <c r="F37" s="122" t="s">
        <v>135</v>
      </c>
      <c r="G37" s="21" t="b">
        <v>0</v>
      </c>
      <c r="H37" s="103" t="s">
        <v>136</v>
      </c>
      <c r="J37" s="142"/>
      <c r="L37" s="142"/>
    </row>
    <row r="38" spans="1:12" ht="26">
      <c r="C38" s="19"/>
      <c r="E38" s="140"/>
      <c r="F38" s="122" t="s">
        <v>137</v>
      </c>
      <c r="G38" s="21" t="b">
        <v>0</v>
      </c>
      <c r="H38" s="103" t="s">
        <v>138</v>
      </c>
      <c r="J38" s="128"/>
      <c r="L38" s="142"/>
    </row>
    <row r="39" spans="1:12" ht="30" customHeight="1">
      <c r="C39" s="19"/>
      <c r="E39" s="140"/>
      <c r="F39" s="122" t="s">
        <v>139</v>
      </c>
      <c r="G39" s="21" t="b">
        <v>0</v>
      </c>
      <c r="H39" s="103" t="s">
        <v>140</v>
      </c>
      <c r="J39" s="128"/>
      <c r="L39" s="142"/>
    </row>
    <row r="40" spans="1:12" ht="40.5" customHeight="1">
      <c r="E40" s="140"/>
      <c r="F40" s="122" t="s">
        <v>141</v>
      </c>
      <c r="G40" s="21" t="b">
        <v>0</v>
      </c>
      <c r="H40" s="103" t="s">
        <v>142</v>
      </c>
      <c r="L40" s="142"/>
    </row>
    <row r="41" spans="1:12" ht="12" customHeight="1">
      <c r="E41" s="140"/>
      <c r="F41" s="122" t="s">
        <v>143</v>
      </c>
      <c r="G41" s="21" t="b">
        <v>0</v>
      </c>
      <c r="H41" s="139" t="s">
        <v>144</v>
      </c>
    </row>
    <row r="42" spans="1:12" ht="12" customHeight="1">
      <c r="E42" s="140"/>
      <c r="F42" s="122" t="s">
        <v>145</v>
      </c>
      <c r="G42" s="21" t="b">
        <v>0</v>
      </c>
      <c r="H42" s="139"/>
    </row>
    <row r="43" spans="1:12" ht="12" customHeight="1">
      <c r="E43" s="140"/>
      <c r="F43" s="122" t="s">
        <v>146</v>
      </c>
      <c r="G43" s="21" t="b">
        <v>0</v>
      </c>
      <c r="H43" s="139"/>
    </row>
    <row r="44" spans="1:12" ht="11.5" customHeight="1">
      <c r="E44" s="140"/>
      <c r="F44" s="122" t="s">
        <v>147</v>
      </c>
      <c r="G44" s="21" t="b">
        <v>0</v>
      </c>
      <c r="H44" s="139"/>
    </row>
    <row r="47" spans="1:12" ht="18" thickBot="1">
      <c r="A47" s="20" t="s">
        <v>148</v>
      </c>
      <c r="B47" s="20"/>
      <c r="C47" s="20"/>
      <c r="D47" s="20"/>
      <c r="E47" s="20"/>
      <c r="F47" s="20"/>
      <c r="G47" s="20"/>
      <c r="H47" s="20"/>
      <c r="I47" s="20"/>
      <c r="J47" s="20"/>
      <c r="K47" s="20"/>
      <c r="L47" s="20"/>
    </row>
    <row r="49" spans="1:28" ht="13">
      <c r="C49" s="6" t="s">
        <v>149</v>
      </c>
      <c r="D49" s="3"/>
      <c r="F49" s="100" t="s">
        <v>150</v>
      </c>
    </row>
    <row r="50" spans="1:28">
      <c r="F50" s="100" t="s">
        <v>151</v>
      </c>
      <c r="J50" s="100"/>
    </row>
    <row r="53" spans="1:28">
      <c r="D53" t="s">
        <v>152</v>
      </c>
      <c r="G53" t="s">
        <v>152</v>
      </c>
      <c r="K53" t="s">
        <v>152</v>
      </c>
    </row>
    <row r="54" spans="1:28" ht="26.25" customHeight="1">
      <c r="C54" s="6" t="s">
        <v>153</v>
      </c>
      <c r="D54" s="11" t="str">
        <f>"Included in Current System ("&amp;system_name&amp;")"</f>
        <v>Included in Current System (ISONE_toy_system)</v>
      </c>
      <c r="F54" s="6" t="s">
        <v>154</v>
      </c>
      <c r="G54" s="11" t="str">
        <f>"Included in Current System ("&amp;system_name&amp;")"</f>
        <v>Included in Current System (ISONE_toy_system)</v>
      </c>
      <c r="J54" s="6" t="s">
        <v>155</v>
      </c>
      <c r="K54" s="11" t="str">
        <f>"Included in Current System ("&amp;system_name&amp;")"</f>
        <v>Included in Current System (ISONE_toy_system)</v>
      </c>
    </row>
    <row r="55" spans="1:28" hidden="1" outlineLevel="1">
      <c r="M55" s="27"/>
      <c r="N55" s="27"/>
      <c r="O55" s="27"/>
      <c r="P55" s="27"/>
      <c r="Q55" s="27"/>
      <c r="R55" s="27"/>
      <c r="S55" s="27"/>
      <c r="T55" s="27"/>
      <c r="U55" s="27"/>
      <c r="V55" s="27"/>
      <c r="W55" s="27"/>
      <c r="X55" s="27"/>
      <c r="Y55" s="27"/>
      <c r="Z55" s="27"/>
      <c r="AA55" s="27"/>
      <c r="AB55" s="27"/>
    </row>
    <row r="56" spans="1:28" hidden="1" outlineLevel="1">
      <c r="A56" s="27"/>
      <c r="B56" s="27"/>
      <c r="C56" s="27" t="s">
        <v>35</v>
      </c>
      <c r="F56" s="27" t="s">
        <v>35</v>
      </c>
      <c r="G56" s="27"/>
      <c r="H56" s="27"/>
      <c r="I56" s="27"/>
      <c r="J56" s="27" t="s">
        <v>35</v>
      </c>
      <c r="K56" s="27"/>
      <c r="Q56" s="27"/>
      <c r="R56" s="27"/>
      <c r="S56" s="27"/>
      <c r="T56" s="27"/>
      <c r="U56" s="27"/>
    </row>
    <row r="57" spans="1:28" collapsed="1">
      <c r="B57">
        <v>1</v>
      </c>
      <c r="C57" s="19"/>
      <c r="D57" s="12" t="str">
        <f t="shared" ref="D57:D97" si="0">IF(ISBLANK($C57),"-/-",COUNTIFS(component_names,$C57,component_types,"*Resource")&gt;0)</f>
        <v>-/-</v>
      </c>
      <c r="E57">
        <v>1</v>
      </c>
      <c r="F57" s="19"/>
      <c r="G57" s="12" t="str">
        <f t="shared" ref="G57:G97" si="1">IF(ISBLANK($F57),"-/-",COUNTIFS(component_names,$F57,component_types,"*Resource")&gt;0)</f>
        <v>-/-</v>
      </c>
      <c r="I57">
        <v>1</v>
      </c>
      <c r="J57" s="19"/>
      <c r="K57" s="12" t="str">
        <f t="shared" ref="K57:K97" si="2">IF(ISBLANK($J57),"-/-",COUNTIFS(component_names,$J57,component_types,"*Resource")&gt;0)</f>
        <v>-/-</v>
      </c>
    </row>
    <row r="58" spans="1:28">
      <c r="B58">
        <v>2</v>
      </c>
      <c r="C58" s="19"/>
      <c r="D58" s="12" t="str">
        <f t="shared" si="0"/>
        <v>-/-</v>
      </c>
      <c r="E58">
        <v>2</v>
      </c>
      <c r="F58" s="19"/>
      <c r="G58" s="12" t="str">
        <f t="shared" si="1"/>
        <v>-/-</v>
      </c>
      <c r="I58">
        <v>2</v>
      </c>
      <c r="J58" s="19"/>
      <c r="K58" s="12" t="str">
        <f t="shared" si="2"/>
        <v>-/-</v>
      </c>
    </row>
    <row r="59" spans="1:28">
      <c r="B59">
        <v>3</v>
      </c>
      <c r="C59" s="19"/>
      <c r="D59" s="12" t="str">
        <f t="shared" si="0"/>
        <v>-/-</v>
      </c>
      <c r="E59">
        <v>3</v>
      </c>
      <c r="F59" s="19"/>
      <c r="G59" s="12" t="str">
        <f t="shared" si="1"/>
        <v>-/-</v>
      </c>
      <c r="I59">
        <v>3</v>
      </c>
      <c r="J59" s="19"/>
      <c r="K59" s="12" t="str">
        <f t="shared" si="2"/>
        <v>-/-</v>
      </c>
    </row>
    <row r="60" spans="1:28">
      <c r="B60">
        <v>4</v>
      </c>
      <c r="C60" s="19"/>
      <c r="D60" s="12" t="str">
        <f t="shared" si="0"/>
        <v>-/-</v>
      </c>
      <c r="E60">
        <v>4</v>
      </c>
      <c r="F60" s="19"/>
      <c r="G60" s="12" t="str">
        <f t="shared" si="1"/>
        <v>-/-</v>
      </c>
      <c r="I60">
        <v>4</v>
      </c>
      <c r="J60" s="19"/>
      <c r="K60" s="12" t="str">
        <f t="shared" si="2"/>
        <v>-/-</v>
      </c>
    </row>
    <row r="61" spans="1:28">
      <c r="B61">
        <v>5</v>
      </c>
      <c r="C61" s="19"/>
      <c r="D61" s="12" t="str">
        <f t="shared" si="0"/>
        <v>-/-</v>
      </c>
      <c r="E61">
        <v>5</v>
      </c>
      <c r="F61" s="19"/>
      <c r="G61" s="12" t="str">
        <f t="shared" si="1"/>
        <v>-/-</v>
      </c>
      <c r="I61">
        <v>5</v>
      </c>
      <c r="J61" s="19"/>
      <c r="K61" s="12" t="str">
        <f t="shared" si="2"/>
        <v>-/-</v>
      </c>
    </row>
    <row r="62" spans="1:28">
      <c r="B62">
        <v>6</v>
      </c>
      <c r="C62" s="19"/>
      <c r="D62" s="12" t="str">
        <f t="shared" si="0"/>
        <v>-/-</v>
      </c>
      <c r="E62">
        <v>6</v>
      </c>
      <c r="F62" s="19"/>
      <c r="G62" s="12" t="str">
        <f t="shared" si="1"/>
        <v>-/-</v>
      </c>
      <c r="I62">
        <v>6</v>
      </c>
      <c r="J62" s="19"/>
      <c r="K62" s="12" t="str">
        <f t="shared" si="2"/>
        <v>-/-</v>
      </c>
    </row>
    <row r="63" spans="1:28">
      <c r="B63">
        <v>7</v>
      </c>
      <c r="C63" s="19"/>
      <c r="D63" s="12" t="str">
        <f t="shared" si="0"/>
        <v>-/-</v>
      </c>
      <c r="E63">
        <v>7</v>
      </c>
      <c r="F63" s="19"/>
      <c r="G63" s="12" t="str">
        <f t="shared" si="1"/>
        <v>-/-</v>
      </c>
      <c r="I63">
        <v>7</v>
      </c>
      <c r="J63" s="19"/>
      <c r="K63" s="12" t="str">
        <f t="shared" si="2"/>
        <v>-/-</v>
      </c>
    </row>
    <row r="64" spans="1:28">
      <c r="B64">
        <v>8</v>
      </c>
      <c r="C64" s="19"/>
      <c r="D64" s="12" t="str">
        <f t="shared" si="0"/>
        <v>-/-</v>
      </c>
      <c r="E64">
        <v>8</v>
      </c>
      <c r="F64" s="19"/>
      <c r="G64" s="12" t="str">
        <f t="shared" si="1"/>
        <v>-/-</v>
      </c>
      <c r="I64">
        <v>8</v>
      </c>
      <c r="J64" s="19"/>
      <c r="K64" s="12" t="str">
        <f t="shared" si="2"/>
        <v>-/-</v>
      </c>
    </row>
    <row r="65" spans="2:11">
      <c r="B65">
        <v>9</v>
      </c>
      <c r="C65" s="19"/>
      <c r="D65" s="12" t="str">
        <f t="shared" si="0"/>
        <v>-/-</v>
      </c>
      <c r="E65">
        <v>9</v>
      </c>
      <c r="F65" s="19"/>
      <c r="G65" s="12" t="str">
        <f t="shared" si="1"/>
        <v>-/-</v>
      </c>
      <c r="I65">
        <v>9</v>
      </c>
      <c r="J65" s="19"/>
      <c r="K65" s="12" t="str">
        <f t="shared" si="2"/>
        <v>-/-</v>
      </c>
    </row>
    <row r="66" spans="2:11">
      <c r="B66">
        <v>10</v>
      </c>
      <c r="C66" s="19"/>
      <c r="D66" s="12" t="str">
        <f t="shared" si="0"/>
        <v>-/-</v>
      </c>
      <c r="E66">
        <v>10</v>
      </c>
      <c r="F66" s="19"/>
      <c r="G66" s="12" t="str">
        <f t="shared" si="1"/>
        <v>-/-</v>
      </c>
      <c r="I66">
        <v>10</v>
      </c>
      <c r="J66" s="19"/>
      <c r="K66" s="12" t="str">
        <f t="shared" si="2"/>
        <v>-/-</v>
      </c>
    </row>
    <row r="67" spans="2:11">
      <c r="B67">
        <v>11</v>
      </c>
      <c r="C67" s="19"/>
      <c r="D67" s="12" t="str">
        <f t="shared" si="0"/>
        <v>-/-</v>
      </c>
      <c r="E67">
        <v>11</v>
      </c>
      <c r="F67" s="19"/>
      <c r="G67" s="12" t="str">
        <f t="shared" si="1"/>
        <v>-/-</v>
      </c>
      <c r="I67">
        <v>11</v>
      </c>
      <c r="J67" s="19"/>
      <c r="K67" s="12" t="str">
        <f t="shared" si="2"/>
        <v>-/-</v>
      </c>
    </row>
    <row r="68" spans="2:11">
      <c r="B68">
        <v>12</v>
      </c>
      <c r="C68" s="19"/>
      <c r="D68" s="12" t="str">
        <f t="shared" si="0"/>
        <v>-/-</v>
      </c>
      <c r="E68">
        <v>12</v>
      </c>
      <c r="F68" s="19"/>
      <c r="G68" s="12" t="str">
        <f t="shared" si="1"/>
        <v>-/-</v>
      </c>
      <c r="I68">
        <v>12</v>
      </c>
      <c r="J68" s="19"/>
      <c r="K68" s="12" t="str">
        <f t="shared" si="2"/>
        <v>-/-</v>
      </c>
    </row>
    <row r="69" spans="2:11">
      <c r="B69">
        <v>13</v>
      </c>
      <c r="C69" s="19"/>
      <c r="D69" s="12" t="str">
        <f t="shared" si="0"/>
        <v>-/-</v>
      </c>
      <c r="E69">
        <v>13</v>
      </c>
      <c r="F69" s="19"/>
      <c r="G69" s="12" t="str">
        <f t="shared" si="1"/>
        <v>-/-</v>
      </c>
      <c r="I69">
        <v>13</v>
      </c>
      <c r="J69" s="19"/>
      <c r="K69" s="12" t="str">
        <f t="shared" si="2"/>
        <v>-/-</v>
      </c>
    </row>
    <row r="70" spans="2:11">
      <c r="B70">
        <v>14</v>
      </c>
      <c r="C70" s="19"/>
      <c r="D70" s="12" t="str">
        <f t="shared" si="0"/>
        <v>-/-</v>
      </c>
      <c r="E70">
        <v>14</v>
      </c>
      <c r="F70" s="19"/>
      <c r="G70" s="12" t="str">
        <f t="shared" si="1"/>
        <v>-/-</v>
      </c>
      <c r="I70">
        <v>14</v>
      </c>
      <c r="J70" s="19"/>
      <c r="K70" s="12" t="str">
        <f t="shared" si="2"/>
        <v>-/-</v>
      </c>
    </row>
    <row r="71" spans="2:11">
      <c r="B71">
        <v>15</v>
      </c>
      <c r="C71" s="19"/>
      <c r="D71" s="12" t="str">
        <f t="shared" si="0"/>
        <v>-/-</v>
      </c>
      <c r="E71">
        <v>15</v>
      </c>
      <c r="F71" s="19"/>
      <c r="G71" s="12" t="str">
        <f t="shared" si="1"/>
        <v>-/-</v>
      </c>
      <c r="I71">
        <v>15</v>
      </c>
      <c r="J71" s="19"/>
      <c r="K71" s="12" t="str">
        <f t="shared" si="2"/>
        <v>-/-</v>
      </c>
    </row>
    <row r="72" spans="2:11">
      <c r="B72">
        <v>16</v>
      </c>
      <c r="C72" s="19"/>
      <c r="D72" s="12" t="str">
        <f t="shared" si="0"/>
        <v>-/-</v>
      </c>
      <c r="E72">
        <v>16</v>
      </c>
      <c r="F72" s="19"/>
      <c r="G72" s="12" t="str">
        <f t="shared" si="1"/>
        <v>-/-</v>
      </c>
      <c r="I72">
        <v>16</v>
      </c>
      <c r="J72" s="19"/>
      <c r="K72" s="12" t="str">
        <f t="shared" si="2"/>
        <v>-/-</v>
      </c>
    </row>
    <row r="73" spans="2:11">
      <c r="B73">
        <v>17</v>
      </c>
      <c r="C73" s="19"/>
      <c r="D73" s="12" t="str">
        <f t="shared" si="0"/>
        <v>-/-</v>
      </c>
      <c r="E73">
        <v>17</v>
      </c>
      <c r="F73" s="19"/>
      <c r="G73" s="12" t="str">
        <f t="shared" si="1"/>
        <v>-/-</v>
      </c>
      <c r="I73">
        <v>17</v>
      </c>
      <c r="J73" s="19"/>
      <c r="K73" s="12" t="str">
        <f t="shared" si="2"/>
        <v>-/-</v>
      </c>
    </row>
    <row r="74" spans="2:11">
      <c r="B74">
        <v>18</v>
      </c>
      <c r="C74" s="19"/>
      <c r="D74" s="12" t="str">
        <f t="shared" si="0"/>
        <v>-/-</v>
      </c>
      <c r="E74">
        <v>18</v>
      </c>
      <c r="F74" s="19"/>
      <c r="G74" s="12" t="str">
        <f t="shared" si="1"/>
        <v>-/-</v>
      </c>
      <c r="I74">
        <v>18</v>
      </c>
      <c r="J74" s="19"/>
      <c r="K74" s="12" t="str">
        <f t="shared" si="2"/>
        <v>-/-</v>
      </c>
    </row>
    <row r="75" spans="2:11">
      <c r="B75">
        <v>19</v>
      </c>
      <c r="C75" s="19"/>
      <c r="D75" s="12" t="str">
        <f t="shared" si="0"/>
        <v>-/-</v>
      </c>
      <c r="E75">
        <v>19</v>
      </c>
      <c r="F75" s="19"/>
      <c r="G75" s="12" t="str">
        <f t="shared" si="1"/>
        <v>-/-</v>
      </c>
      <c r="I75">
        <v>19</v>
      </c>
      <c r="J75" s="19"/>
      <c r="K75" s="12" t="str">
        <f t="shared" si="2"/>
        <v>-/-</v>
      </c>
    </row>
    <row r="76" spans="2:11">
      <c r="B76">
        <v>20</v>
      </c>
      <c r="C76" s="19"/>
      <c r="D76" s="12" t="str">
        <f t="shared" si="0"/>
        <v>-/-</v>
      </c>
      <c r="E76">
        <v>20</v>
      </c>
      <c r="F76" s="19"/>
      <c r="G76" s="12" t="str">
        <f t="shared" si="1"/>
        <v>-/-</v>
      </c>
      <c r="I76">
        <v>20</v>
      </c>
      <c r="J76" s="19"/>
      <c r="K76" s="12" t="str">
        <f t="shared" si="2"/>
        <v>-/-</v>
      </c>
    </row>
    <row r="77" spans="2:11">
      <c r="B77">
        <v>21</v>
      </c>
      <c r="C77" s="19"/>
      <c r="D77" s="12" t="str">
        <f t="shared" si="0"/>
        <v>-/-</v>
      </c>
      <c r="E77">
        <v>21</v>
      </c>
      <c r="F77" s="19"/>
      <c r="G77" s="12" t="str">
        <f t="shared" si="1"/>
        <v>-/-</v>
      </c>
      <c r="I77">
        <v>21</v>
      </c>
      <c r="J77" s="19"/>
      <c r="K77" s="12" t="str">
        <f t="shared" si="2"/>
        <v>-/-</v>
      </c>
    </row>
    <row r="78" spans="2:11">
      <c r="B78">
        <v>22</v>
      </c>
      <c r="C78" s="19"/>
      <c r="D78" s="12" t="str">
        <f t="shared" si="0"/>
        <v>-/-</v>
      </c>
      <c r="E78">
        <v>22</v>
      </c>
      <c r="F78" s="19"/>
      <c r="G78" s="12" t="str">
        <f t="shared" si="1"/>
        <v>-/-</v>
      </c>
      <c r="I78">
        <v>22</v>
      </c>
      <c r="J78" s="19"/>
      <c r="K78" s="12" t="str">
        <f t="shared" si="2"/>
        <v>-/-</v>
      </c>
    </row>
    <row r="79" spans="2:11">
      <c r="B79">
        <v>23</v>
      </c>
      <c r="C79" s="19"/>
      <c r="D79" s="12" t="str">
        <f t="shared" si="0"/>
        <v>-/-</v>
      </c>
      <c r="E79">
        <v>23</v>
      </c>
      <c r="F79" s="19"/>
      <c r="G79" s="12" t="str">
        <f t="shared" si="1"/>
        <v>-/-</v>
      </c>
      <c r="I79">
        <v>23</v>
      </c>
      <c r="J79" s="19"/>
      <c r="K79" s="12" t="str">
        <f t="shared" si="2"/>
        <v>-/-</v>
      </c>
    </row>
    <row r="80" spans="2:11">
      <c r="B80">
        <v>24</v>
      </c>
      <c r="C80" s="19"/>
      <c r="D80" s="12" t="str">
        <f t="shared" si="0"/>
        <v>-/-</v>
      </c>
      <c r="E80">
        <v>24</v>
      </c>
      <c r="F80" s="19"/>
      <c r="G80" s="12" t="str">
        <f t="shared" si="1"/>
        <v>-/-</v>
      </c>
      <c r="I80">
        <v>24</v>
      </c>
      <c r="J80" s="19"/>
      <c r="K80" s="12" t="str">
        <f t="shared" si="2"/>
        <v>-/-</v>
      </c>
    </row>
    <row r="81" spans="2:11">
      <c r="B81">
        <v>25</v>
      </c>
      <c r="C81" s="19"/>
      <c r="D81" s="12" t="str">
        <f t="shared" si="0"/>
        <v>-/-</v>
      </c>
      <c r="E81">
        <v>25</v>
      </c>
      <c r="F81" s="19"/>
      <c r="G81" s="12" t="str">
        <f t="shared" si="1"/>
        <v>-/-</v>
      </c>
      <c r="I81">
        <v>25</v>
      </c>
      <c r="J81" s="19"/>
      <c r="K81" s="12" t="str">
        <f t="shared" si="2"/>
        <v>-/-</v>
      </c>
    </row>
    <row r="82" spans="2:11">
      <c r="B82">
        <v>26</v>
      </c>
      <c r="C82" s="19"/>
      <c r="D82" s="12" t="str">
        <f t="shared" si="0"/>
        <v>-/-</v>
      </c>
      <c r="E82">
        <v>26</v>
      </c>
      <c r="F82" s="19"/>
      <c r="G82" s="12" t="str">
        <f t="shared" si="1"/>
        <v>-/-</v>
      </c>
      <c r="I82">
        <v>26</v>
      </c>
      <c r="J82" s="19"/>
      <c r="K82" s="12" t="str">
        <f t="shared" si="2"/>
        <v>-/-</v>
      </c>
    </row>
    <row r="83" spans="2:11">
      <c r="B83">
        <v>27</v>
      </c>
      <c r="C83" s="19"/>
      <c r="D83" s="12" t="str">
        <f t="shared" si="0"/>
        <v>-/-</v>
      </c>
      <c r="E83">
        <v>27</v>
      </c>
      <c r="F83" s="19"/>
      <c r="G83" s="12" t="str">
        <f t="shared" si="1"/>
        <v>-/-</v>
      </c>
      <c r="I83">
        <v>27</v>
      </c>
      <c r="J83" s="19"/>
      <c r="K83" s="12" t="str">
        <f t="shared" si="2"/>
        <v>-/-</v>
      </c>
    </row>
    <row r="84" spans="2:11">
      <c r="B84">
        <v>28</v>
      </c>
      <c r="C84" s="19"/>
      <c r="D84" s="12" t="str">
        <f t="shared" si="0"/>
        <v>-/-</v>
      </c>
      <c r="E84">
        <v>28</v>
      </c>
      <c r="F84" s="19"/>
      <c r="G84" s="12" t="str">
        <f t="shared" si="1"/>
        <v>-/-</v>
      </c>
      <c r="I84">
        <v>28</v>
      </c>
      <c r="J84" s="19"/>
      <c r="K84" s="12" t="str">
        <f t="shared" si="2"/>
        <v>-/-</v>
      </c>
    </row>
    <row r="85" spans="2:11">
      <c r="B85">
        <v>29</v>
      </c>
      <c r="C85" s="19"/>
      <c r="D85" s="12" t="str">
        <f t="shared" si="0"/>
        <v>-/-</v>
      </c>
      <c r="E85">
        <v>29</v>
      </c>
      <c r="F85" s="19"/>
      <c r="G85" s="12" t="str">
        <f t="shared" si="1"/>
        <v>-/-</v>
      </c>
      <c r="I85">
        <v>29</v>
      </c>
      <c r="J85" s="19"/>
      <c r="K85" s="12" t="str">
        <f t="shared" si="2"/>
        <v>-/-</v>
      </c>
    </row>
    <row r="86" spans="2:11">
      <c r="B86">
        <v>30</v>
      </c>
      <c r="C86" s="19"/>
      <c r="D86" s="12" t="str">
        <f t="shared" si="0"/>
        <v>-/-</v>
      </c>
      <c r="E86">
        <v>30</v>
      </c>
      <c r="F86" s="19"/>
      <c r="G86" s="12" t="str">
        <f t="shared" si="1"/>
        <v>-/-</v>
      </c>
      <c r="I86">
        <v>30</v>
      </c>
      <c r="J86" s="19"/>
      <c r="K86" s="12" t="str">
        <f t="shared" si="2"/>
        <v>-/-</v>
      </c>
    </row>
    <row r="87" spans="2:11">
      <c r="B87">
        <v>31</v>
      </c>
      <c r="C87" s="19"/>
      <c r="D87" s="12" t="str">
        <f t="shared" si="0"/>
        <v>-/-</v>
      </c>
      <c r="E87">
        <v>31</v>
      </c>
      <c r="F87" s="19"/>
      <c r="G87" s="12" t="str">
        <f t="shared" si="1"/>
        <v>-/-</v>
      </c>
      <c r="I87">
        <v>31</v>
      </c>
      <c r="J87" s="19"/>
      <c r="K87" s="12" t="str">
        <f t="shared" si="2"/>
        <v>-/-</v>
      </c>
    </row>
    <row r="88" spans="2:11">
      <c r="B88">
        <v>32</v>
      </c>
      <c r="C88" s="19"/>
      <c r="D88" s="12" t="str">
        <f t="shared" si="0"/>
        <v>-/-</v>
      </c>
      <c r="E88">
        <v>32</v>
      </c>
      <c r="F88" s="19"/>
      <c r="G88" s="12" t="str">
        <f t="shared" si="1"/>
        <v>-/-</v>
      </c>
      <c r="I88">
        <v>32</v>
      </c>
      <c r="J88" s="19"/>
      <c r="K88" s="12" t="str">
        <f t="shared" si="2"/>
        <v>-/-</v>
      </c>
    </row>
    <row r="89" spans="2:11">
      <c r="B89">
        <v>33</v>
      </c>
      <c r="C89" s="19"/>
      <c r="D89" s="12" t="str">
        <f t="shared" si="0"/>
        <v>-/-</v>
      </c>
      <c r="E89">
        <v>33</v>
      </c>
      <c r="F89" s="19"/>
      <c r="G89" s="12" t="str">
        <f t="shared" si="1"/>
        <v>-/-</v>
      </c>
      <c r="I89">
        <v>33</v>
      </c>
      <c r="J89" s="19"/>
      <c r="K89" s="12" t="str">
        <f t="shared" si="2"/>
        <v>-/-</v>
      </c>
    </row>
    <row r="90" spans="2:11">
      <c r="B90">
        <v>34</v>
      </c>
      <c r="C90" s="19"/>
      <c r="D90" s="12" t="str">
        <f t="shared" si="0"/>
        <v>-/-</v>
      </c>
      <c r="E90">
        <v>34</v>
      </c>
      <c r="F90" s="19"/>
      <c r="G90" s="12" t="str">
        <f t="shared" si="1"/>
        <v>-/-</v>
      </c>
      <c r="I90">
        <v>34</v>
      </c>
      <c r="J90" s="19"/>
      <c r="K90" s="12" t="str">
        <f t="shared" si="2"/>
        <v>-/-</v>
      </c>
    </row>
    <row r="91" spans="2:11">
      <c r="B91">
        <v>35</v>
      </c>
      <c r="C91" s="19"/>
      <c r="D91" s="12" t="str">
        <f t="shared" si="0"/>
        <v>-/-</v>
      </c>
      <c r="E91">
        <v>35</v>
      </c>
      <c r="F91" s="19"/>
      <c r="G91" s="12" t="str">
        <f t="shared" si="1"/>
        <v>-/-</v>
      </c>
      <c r="I91">
        <v>35</v>
      </c>
      <c r="J91" s="19"/>
      <c r="K91" s="12" t="str">
        <f t="shared" si="2"/>
        <v>-/-</v>
      </c>
    </row>
    <row r="92" spans="2:11">
      <c r="B92">
        <v>36</v>
      </c>
      <c r="C92" s="19"/>
      <c r="D92" s="12" t="str">
        <f t="shared" si="0"/>
        <v>-/-</v>
      </c>
      <c r="E92">
        <v>36</v>
      </c>
      <c r="F92" s="19"/>
      <c r="G92" s="12" t="str">
        <f t="shared" si="1"/>
        <v>-/-</v>
      </c>
      <c r="I92">
        <v>36</v>
      </c>
      <c r="J92" s="19"/>
      <c r="K92" s="12" t="str">
        <f t="shared" si="2"/>
        <v>-/-</v>
      </c>
    </row>
    <row r="93" spans="2:11">
      <c r="B93">
        <v>37</v>
      </c>
      <c r="C93" s="19"/>
      <c r="D93" s="12" t="str">
        <f t="shared" si="0"/>
        <v>-/-</v>
      </c>
      <c r="E93">
        <v>37</v>
      </c>
      <c r="F93" s="19"/>
      <c r="G93" s="12" t="str">
        <f t="shared" si="1"/>
        <v>-/-</v>
      </c>
      <c r="I93">
        <v>37</v>
      </c>
      <c r="J93" s="19"/>
      <c r="K93" s="12" t="str">
        <f t="shared" si="2"/>
        <v>-/-</v>
      </c>
    </row>
    <row r="94" spans="2:11">
      <c r="B94">
        <v>38</v>
      </c>
      <c r="C94" s="19"/>
      <c r="D94" s="12" t="str">
        <f t="shared" si="0"/>
        <v>-/-</v>
      </c>
      <c r="E94">
        <v>38</v>
      </c>
      <c r="F94" s="19"/>
      <c r="G94" s="12" t="str">
        <f t="shared" si="1"/>
        <v>-/-</v>
      </c>
      <c r="I94">
        <v>38</v>
      </c>
      <c r="J94" s="19"/>
      <c r="K94" s="12" t="str">
        <f t="shared" si="2"/>
        <v>-/-</v>
      </c>
    </row>
    <row r="95" spans="2:11">
      <c r="B95">
        <v>39</v>
      </c>
      <c r="C95" s="19"/>
      <c r="D95" s="12" t="str">
        <f t="shared" si="0"/>
        <v>-/-</v>
      </c>
      <c r="E95">
        <v>39</v>
      </c>
      <c r="F95" s="19"/>
      <c r="G95" s="12" t="str">
        <f t="shared" si="1"/>
        <v>-/-</v>
      </c>
      <c r="I95">
        <v>39</v>
      </c>
      <c r="J95" s="19"/>
      <c r="K95" s="12" t="str">
        <f t="shared" si="2"/>
        <v>-/-</v>
      </c>
    </row>
    <row r="96" spans="2:11">
      <c r="B96">
        <v>40</v>
      </c>
      <c r="C96" s="19"/>
      <c r="D96" s="12" t="str">
        <f t="shared" si="0"/>
        <v>-/-</v>
      </c>
      <c r="E96">
        <v>40</v>
      </c>
      <c r="F96" s="19"/>
      <c r="G96" s="12" t="str">
        <f t="shared" si="1"/>
        <v>-/-</v>
      </c>
      <c r="I96">
        <v>40</v>
      </c>
      <c r="J96" s="19"/>
      <c r="K96" s="12" t="str">
        <f t="shared" si="2"/>
        <v>-/-</v>
      </c>
    </row>
    <row r="97" spans="2:19">
      <c r="B97">
        <v>41</v>
      </c>
      <c r="C97" s="19"/>
      <c r="D97" s="12" t="str">
        <f t="shared" si="0"/>
        <v>-/-</v>
      </c>
      <c r="E97">
        <v>41</v>
      </c>
      <c r="F97" s="19"/>
      <c r="G97" s="12" t="str">
        <f t="shared" si="1"/>
        <v>-/-</v>
      </c>
      <c r="I97">
        <v>41</v>
      </c>
      <c r="J97" s="19"/>
      <c r="K97" s="12" t="str">
        <f t="shared" si="2"/>
        <v>-/-</v>
      </c>
    </row>
    <row r="102" spans="2:19" ht="11.5" customHeight="1">
      <c r="I102" s="104"/>
      <c r="J102" s="104"/>
      <c r="K102" s="104"/>
      <c r="L102" s="104"/>
      <c r="M102" s="104"/>
      <c r="N102" s="104"/>
      <c r="O102" s="104"/>
      <c r="P102" s="104"/>
    </row>
    <row r="103" spans="2:19">
      <c r="D103" s="27"/>
      <c r="E103" s="27"/>
      <c r="F103" s="27"/>
      <c r="G103" s="27"/>
      <c r="H103" s="27"/>
      <c r="I103" s="27"/>
      <c r="J103" s="27"/>
      <c r="K103" s="27"/>
      <c r="L103" s="27"/>
      <c r="M103" s="27"/>
      <c r="N103" s="27"/>
      <c r="O103" s="27"/>
      <c r="P103" s="27"/>
      <c r="Q103" s="27"/>
      <c r="R103" s="27"/>
      <c r="S103" s="27"/>
    </row>
    <row r="104" spans="2:19">
      <c r="H104" s="27"/>
      <c r="I104" s="27"/>
      <c r="J104" s="27"/>
      <c r="K104" s="27"/>
      <c r="L104" s="27"/>
    </row>
    <row r="105" spans="2:19">
      <c r="E105" s="138" t="s">
        <v>156</v>
      </c>
      <c r="F105" s="138"/>
      <c r="G105" s="138"/>
      <c r="H105" s="138"/>
      <c r="I105" s="138"/>
      <c r="J105" s="138"/>
      <c r="K105" s="138"/>
      <c r="L105" s="138"/>
      <c r="M105" s="138"/>
      <c r="N105" s="138"/>
      <c r="O105" s="138"/>
      <c r="P105" s="138"/>
      <c r="Q105" s="138"/>
      <c r="R105" s="138"/>
      <c r="S105" s="138"/>
    </row>
    <row r="106" spans="2:19">
      <c r="C106" s="143" t="str">
        <f>"Included in Current System ("&amp;system_name&amp;")"</f>
        <v>Included in Current System (ISONE_toy_system)</v>
      </c>
      <c r="D106" s="144"/>
      <c r="E106" s="12" t="str">
        <f t="shared" ref="E106:S106" si="3">IF(ISBLANK($E107),"-/-",COUNTIFS(component_names,$E107,component_types,"*Resource")&gt;0)</f>
        <v>-/-</v>
      </c>
      <c r="F106" s="12" t="str">
        <f t="shared" si="3"/>
        <v>-/-</v>
      </c>
      <c r="G106" s="12" t="str">
        <f t="shared" si="3"/>
        <v>-/-</v>
      </c>
      <c r="H106" s="12" t="str">
        <f t="shared" si="3"/>
        <v>-/-</v>
      </c>
      <c r="I106" s="12" t="str">
        <f t="shared" si="3"/>
        <v>-/-</v>
      </c>
      <c r="J106" s="12" t="str">
        <f t="shared" si="3"/>
        <v>-/-</v>
      </c>
      <c r="K106" s="12" t="str">
        <f t="shared" si="3"/>
        <v>-/-</v>
      </c>
      <c r="L106" s="12" t="str">
        <f t="shared" si="3"/>
        <v>-/-</v>
      </c>
      <c r="M106" s="12" t="str">
        <f t="shared" si="3"/>
        <v>-/-</v>
      </c>
      <c r="N106" s="12" t="str">
        <f t="shared" si="3"/>
        <v>-/-</v>
      </c>
      <c r="O106" s="12" t="str">
        <f t="shared" si="3"/>
        <v>-/-</v>
      </c>
      <c r="P106" s="12" t="str">
        <f t="shared" si="3"/>
        <v>-/-</v>
      </c>
      <c r="Q106" s="12" t="str">
        <f t="shared" si="3"/>
        <v>-/-</v>
      </c>
      <c r="R106" s="12" t="str">
        <f t="shared" si="3"/>
        <v>-/-</v>
      </c>
      <c r="S106" s="12" t="str">
        <f t="shared" si="3"/>
        <v>-/-</v>
      </c>
    </row>
    <row r="107" spans="2:19">
      <c r="D107" s="105"/>
      <c r="E107" s="19"/>
      <c r="F107" s="19"/>
      <c r="G107" s="19"/>
      <c r="H107" s="19"/>
      <c r="I107" s="19"/>
      <c r="J107" s="19"/>
      <c r="K107" s="19"/>
      <c r="L107" s="19"/>
      <c r="M107" s="19"/>
      <c r="N107" s="19"/>
      <c r="O107" s="19"/>
      <c r="P107" s="19"/>
      <c r="Q107" s="19"/>
      <c r="R107" s="19"/>
      <c r="S107" s="19"/>
    </row>
    <row r="108" spans="2:19">
      <c r="E108" s="106"/>
      <c r="F108" s="106"/>
      <c r="G108" s="106"/>
      <c r="H108" s="106"/>
      <c r="I108" s="106"/>
      <c r="J108" s="106"/>
      <c r="K108" s="106"/>
      <c r="L108" s="106"/>
      <c r="M108" s="106"/>
      <c r="N108" s="106"/>
      <c r="O108" s="106"/>
      <c r="P108" s="106"/>
      <c r="Q108" s="106"/>
      <c r="R108" s="106"/>
      <c r="S108" s="106"/>
    </row>
    <row r="109" spans="2:19" ht="13">
      <c r="C109" s="107" t="s">
        <v>157</v>
      </c>
      <c r="E109" s="106"/>
      <c r="F109" s="106"/>
      <c r="G109" s="106"/>
      <c r="H109" s="106"/>
      <c r="I109" s="106"/>
      <c r="J109" s="106"/>
      <c r="K109" s="106"/>
      <c r="L109" s="106"/>
      <c r="M109" s="106"/>
      <c r="N109" s="106"/>
      <c r="O109" s="106"/>
      <c r="P109" s="106"/>
      <c r="Q109" s="106"/>
      <c r="R109" s="106"/>
      <c r="S109" s="106"/>
    </row>
    <row r="110" spans="2:19">
      <c r="E110" s="106"/>
      <c r="F110" s="106"/>
      <c r="G110" s="106"/>
      <c r="H110" s="106"/>
      <c r="I110" s="106"/>
      <c r="J110" s="106"/>
      <c r="K110" s="106"/>
      <c r="L110" s="106"/>
      <c r="M110" s="106"/>
      <c r="N110" s="106"/>
      <c r="O110" s="106"/>
      <c r="P110" s="106"/>
      <c r="Q110" s="106"/>
      <c r="R110" s="106"/>
      <c r="S110" s="106"/>
    </row>
    <row r="111" spans="2:19">
      <c r="E111" s="106"/>
      <c r="F111" s="106"/>
      <c r="G111" s="106"/>
      <c r="H111" s="106"/>
      <c r="I111" s="106"/>
      <c r="J111" s="106"/>
      <c r="K111" s="106"/>
      <c r="L111" s="106"/>
      <c r="M111" s="106"/>
      <c r="N111" s="106"/>
      <c r="O111" s="106"/>
      <c r="P111" s="106"/>
      <c r="Q111" s="106"/>
      <c r="R111" s="106"/>
      <c r="S111" s="106"/>
    </row>
    <row r="112" spans="2:19">
      <c r="C112" s="108" t="b">
        <v>1</v>
      </c>
      <c r="E112" s="106"/>
      <c r="F112" s="106"/>
      <c r="G112" s="109"/>
      <c r="H112" s="109"/>
      <c r="I112" s="109"/>
      <c r="J112" s="109"/>
      <c r="K112" s="109"/>
      <c r="L112" s="109"/>
      <c r="M112" s="109"/>
      <c r="N112" s="109"/>
      <c r="O112" s="109"/>
      <c r="P112" s="109"/>
      <c r="Q112" s="109"/>
      <c r="R112" s="109"/>
      <c r="S112" s="109"/>
    </row>
    <row r="113" spans="3:19">
      <c r="E113" s="106"/>
      <c r="F113" s="106"/>
      <c r="G113" s="109"/>
      <c r="H113" s="109"/>
      <c r="I113" s="109"/>
      <c r="J113" s="109"/>
      <c r="K113" s="109"/>
      <c r="L113" s="109"/>
      <c r="M113" s="109"/>
      <c r="N113" s="109"/>
      <c r="O113" s="109"/>
      <c r="P113" s="109"/>
      <c r="Q113" s="109"/>
      <c r="R113" s="109"/>
      <c r="S113" s="109"/>
    </row>
    <row r="114" spans="3:19">
      <c r="E114" s="106"/>
      <c r="F114" s="106"/>
      <c r="G114" s="109"/>
      <c r="H114" s="109"/>
      <c r="I114" s="109"/>
      <c r="J114" s="109"/>
      <c r="K114" s="109"/>
      <c r="L114" s="109"/>
      <c r="M114" s="109"/>
      <c r="N114" s="109"/>
      <c r="O114" s="109"/>
      <c r="P114" s="109"/>
      <c r="Q114" s="109"/>
      <c r="R114" s="109"/>
      <c r="S114" s="109"/>
    </row>
    <row r="115" spans="3:19">
      <c r="C115" s="137" t="s">
        <v>158</v>
      </c>
      <c r="E115" s="106"/>
      <c r="F115" s="106"/>
      <c r="G115" s="109"/>
      <c r="H115" s="109"/>
      <c r="I115" s="109"/>
      <c r="J115" s="109"/>
      <c r="K115" s="109"/>
      <c r="L115" s="109"/>
      <c r="M115" s="109"/>
      <c r="N115" s="109"/>
      <c r="O115" s="109"/>
      <c r="P115" s="109"/>
      <c r="Q115" s="109"/>
      <c r="R115" s="109"/>
      <c r="S115" s="109"/>
    </row>
    <row r="116" spans="3:19">
      <c r="C116" s="137"/>
      <c r="E116" s="106"/>
      <c r="F116" s="106"/>
      <c r="G116" s="109"/>
      <c r="H116" s="109"/>
      <c r="I116" s="109"/>
      <c r="J116" s="109"/>
      <c r="K116" s="109"/>
      <c r="L116" s="109"/>
      <c r="M116" s="109"/>
      <c r="N116" s="109"/>
      <c r="O116" s="109"/>
      <c r="P116" s="109"/>
      <c r="Q116" s="109"/>
      <c r="R116" s="109"/>
      <c r="S116" s="109"/>
    </row>
    <row r="117" spans="3:19">
      <c r="C117" s="137"/>
      <c r="E117" s="109"/>
      <c r="F117" s="106"/>
      <c r="G117" s="109"/>
      <c r="H117" s="109"/>
      <c r="I117" s="109"/>
      <c r="J117" s="109"/>
      <c r="K117" s="109"/>
      <c r="L117" s="109"/>
      <c r="M117" s="109"/>
      <c r="N117" s="109"/>
      <c r="O117" s="109"/>
      <c r="P117" s="109"/>
      <c r="Q117" s="109"/>
      <c r="R117" s="109"/>
      <c r="S117" s="109"/>
    </row>
    <row r="118" spans="3:19">
      <c r="C118" s="137"/>
      <c r="E118" s="109"/>
      <c r="F118" s="106"/>
      <c r="G118" s="109"/>
      <c r="H118" s="109"/>
      <c r="I118" s="109"/>
      <c r="J118" s="109"/>
      <c r="K118" s="109"/>
      <c r="L118" s="109"/>
      <c r="M118" s="109"/>
      <c r="N118" s="109"/>
      <c r="O118" s="109"/>
      <c r="P118" s="109"/>
      <c r="Q118" s="109"/>
      <c r="R118" s="109"/>
      <c r="S118" s="109"/>
    </row>
    <row r="119" spans="3:19">
      <c r="C119" s="137"/>
      <c r="E119" s="109"/>
      <c r="F119" s="106"/>
      <c r="G119" s="109"/>
      <c r="H119" s="109"/>
      <c r="I119" s="109"/>
      <c r="J119" s="109"/>
      <c r="K119" s="109"/>
      <c r="L119" s="109"/>
      <c r="M119" s="109"/>
      <c r="N119" s="109"/>
      <c r="O119" s="109"/>
      <c r="P119" s="109"/>
      <c r="Q119" s="109"/>
      <c r="R119" s="109"/>
      <c r="S119" s="109"/>
    </row>
    <row r="120" spans="3:19">
      <c r="C120" s="137"/>
      <c r="E120" s="106"/>
      <c r="F120" s="109"/>
      <c r="G120" s="109"/>
      <c r="H120" s="109"/>
      <c r="I120" s="109"/>
      <c r="J120" s="109"/>
      <c r="K120" s="109"/>
      <c r="L120" s="109"/>
      <c r="M120" s="109"/>
      <c r="N120" s="109"/>
      <c r="O120" s="109"/>
      <c r="P120" s="109"/>
      <c r="Q120" s="109"/>
      <c r="R120" s="109"/>
      <c r="S120" s="109"/>
    </row>
    <row r="121" spans="3:19">
      <c r="C121" s="137"/>
      <c r="E121" s="106"/>
      <c r="F121" s="109"/>
      <c r="G121" s="109"/>
      <c r="H121" s="109"/>
      <c r="I121" s="109"/>
      <c r="J121" s="109"/>
      <c r="K121" s="109"/>
      <c r="L121" s="109"/>
      <c r="M121" s="109"/>
      <c r="N121" s="109"/>
      <c r="O121" s="109"/>
      <c r="P121" s="109"/>
      <c r="Q121" s="109"/>
      <c r="R121" s="109"/>
      <c r="S121" s="109"/>
    </row>
    <row r="122" spans="3:19">
      <c r="C122" s="137"/>
      <c r="E122" s="106"/>
      <c r="F122" s="109"/>
      <c r="G122" s="109"/>
      <c r="H122" s="109"/>
      <c r="I122" s="109"/>
      <c r="J122" s="109"/>
      <c r="K122" s="109"/>
      <c r="L122" s="109"/>
      <c r="M122" s="109"/>
      <c r="N122" s="109"/>
      <c r="O122" s="109"/>
      <c r="P122" s="109"/>
      <c r="Q122" s="109"/>
      <c r="R122" s="109"/>
      <c r="S122" s="109"/>
    </row>
    <row r="123" spans="3:19">
      <c r="C123" s="137"/>
      <c r="E123" s="109"/>
      <c r="F123" s="109"/>
      <c r="G123" s="109"/>
      <c r="H123" s="109"/>
      <c r="I123" s="109"/>
      <c r="J123" s="109"/>
      <c r="K123" s="109"/>
      <c r="L123" s="109"/>
      <c r="M123" s="109"/>
      <c r="N123" s="109"/>
      <c r="O123" s="109"/>
      <c r="P123" s="109"/>
      <c r="Q123" s="109"/>
      <c r="R123" s="109"/>
      <c r="S123" s="109"/>
    </row>
    <row r="124" spans="3:19">
      <c r="C124" s="137"/>
      <c r="E124" s="109"/>
      <c r="F124" s="109"/>
      <c r="G124" s="109"/>
      <c r="H124" s="109"/>
      <c r="I124" s="109"/>
      <c r="J124" s="109"/>
      <c r="K124" s="109"/>
      <c r="L124" s="109"/>
      <c r="M124" s="109"/>
      <c r="N124" s="109"/>
      <c r="O124" s="109"/>
      <c r="P124" s="109"/>
      <c r="Q124" s="109"/>
      <c r="R124" s="109"/>
      <c r="S124" s="109"/>
    </row>
    <row r="125" spans="3:19">
      <c r="C125" s="137"/>
      <c r="E125" s="109"/>
      <c r="F125" s="109"/>
      <c r="G125" s="109"/>
      <c r="H125" s="109"/>
      <c r="I125" s="109"/>
      <c r="J125" s="109"/>
      <c r="K125" s="109"/>
      <c r="L125" s="109"/>
      <c r="M125" s="109"/>
      <c r="N125" s="109"/>
      <c r="O125" s="109"/>
      <c r="P125" s="109"/>
      <c r="Q125" s="109"/>
      <c r="R125" s="109"/>
      <c r="S125" s="109"/>
    </row>
    <row r="126" spans="3:19">
      <c r="E126" s="109"/>
      <c r="F126" s="109"/>
      <c r="G126" s="109"/>
      <c r="H126" s="109"/>
      <c r="I126" s="109"/>
      <c r="J126" s="109"/>
      <c r="K126" s="109"/>
      <c r="L126" s="109"/>
      <c r="M126" s="109"/>
      <c r="N126" s="109"/>
      <c r="O126" s="109"/>
      <c r="P126" s="109"/>
      <c r="Q126" s="109"/>
      <c r="R126" s="109"/>
      <c r="S126" s="109"/>
    </row>
    <row r="127" spans="3:19">
      <c r="E127" s="109"/>
      <c r="F127" s="109"/>
      <c r="G127" s="109"/>
      <c r="H127" s="109"/>
      <c r="I127" s="109"/>
      <c r="J127" s="109"/>
      <c r="K127" s="109"/>
      <c r="L127" s="109"/>
      <c r="M127" s="109"/>
      <c r="N127" s="109"/>
      <c r="O127" s="109"/>
      <c r="P127" s="109"/>
      <c r="Q127" s="109"/>
      <c r="R127" s="109"/>
      <c r="S127" s="109"/>
    </row>
    <row r="128" spans="3:19">
      <c r="E128" s="109"/>
      <c r="F128" s="109"/>
      <c r="G128" s="109"/>
      <c r="H128" s="109"/>
      <c r="I128" s="109"/>
      <c r="J128" s="109"/>
      <c r="K128" s="109"/>
      <c r="L128" s="109"/>
      <c r="M128" s="109"/>
      <c r="N128" s="109"/>
      <c r="O128" s="109"/>
      <c r="P128" s="109"/>
      <c r="Q128" s="109"/>
      <c r="R128" s="109"/>
      <c r="S128" s="109"/>
    </row>
    <row r="129" spans="5:19">
      <c r="E129" s="109"/>
      <c r="F129" s="109"/>
      <c r="G129" s="109"/>
      <c r="H129" s="109"/>
      <c r="I129" s="109"/>
      <c r="J129" s="109"/>
      <c r="K129" s="109"/>
      <c r="L129" s="109"/>
      <c r="M129" s="109"/>
      <c r="N129" s="109"/>
      <c r="O129" s="109"/>
      <c r="P129" s="109"/>
      <c r="Q129" s="109"/>
      <c r="R129" s="109"/>
      <c r="S129" s="109"/>
    </row>
    <row r="130" spans="5:19">
      <c r="E130" s="109"/>
      <c r="F130" s="109"/>
      <c r="G130" s="109"/>
      <c r="H130" s="109"/>
      <c r="I130" s="109"/>
      <c r="J130" s="109"/>
      <c r="K130" s="109"/>
      <c r="L130" s="109"/>
      <c r="M130" s="109"/>
      <c r="N130" s="109"/>
      <c r="O130" s="109"/>
      <c r="P130" s="109"/>
      <c r="Q130" s="109"/>
      <c r="R130" s="109"/>
      <c r="S130" s="109"/>
    </row>
    <row r="131" spans="5:19">
      <c r="E131" s="109"/>
      <c r="F131" s="109"/>
      <c r="G131" s="109"/>
      <c r="H131" s="109"/>
      <c r="I131" s="109"/>
      <c r="J131" s="109"/>
      <c r="K131" s="109"/>
      <c r="L131" s="109"/>
      <c r="M131" s="109"/>
      <c r="N131" s="109"/>
      <c r="O131" s="109"/>
      <c r="P131" s="109"/>
      <c r="Q131" s="109"/>
      <c r="R131" s="109"/>
      <c r="S131" s="109"/>
    </row>
    <row r="132" spans="5:19">
      <c r="E132" s="109"/>
      <c r="F132" s="109"/>
      <c r="G132" s="109"/>
      <c r="H132" s="109"/>
      <c r="I132" s="109"/>
      <c r="J132" s="109"/>
      <c r="K132" s="109"/>
      <c r="L132" s="109"/>
      <c r="M132" s="109"/>
      <c r="N132" s="109"/>
      <c r="O132" s="109"/>
      <c r="P132" s="109"/>
      <c r="Q132" s="109"/>
      <c r="R132" s="109"/>
      <c r="S132" s="109"/>
    </row>
    <row r="133" spans="5:19">
      <c r="E133" s="109"/>
      <c r="F133" s="109"/>
      <c r="G133" s="109"/>
      <c r="H133" s="109"/>
      <c r="I133" s="109"/>
      <c r="J133" s="109"/>
      <c r="K133" s="109"/>
      <c r="L133" s="109"/>
      <c r="M133" s="109"/>
      <c r="N133" s="109"/>
      <c r="O133" s="109"/>
      <c r="P133" s="109"/>
      <c r="Q133" s="109"/>
      <c r="R133" s="109"/>
      <c r="S133" s="109"/>
    </row>
    <row r="134" spans="5:19">
      <c r="E134" s="109"/>
      <c r="F134" s="109"/>
      <c r="G134" s="109"/>
      <c r="H134" s="109"/>
      <c r="I134" s="109"/>
      <c r="J134" s="109"/>
      <c r="K134" s="109"/>
      <c r="L134" s="109"/>
      <c r="M134" s="109"/>
      <c r="N134" s="109"/>
      <c r="O134" s="109"/>
      <c r="P134" s="109"/>
      <c r="Q134" s="109"/>
      <c r="R134" s="109"/>
      <c r="S134" s="109"/>
    </row>
    <row r="135" spans="5:19">
      <c r="E135" s="109"/>
      <c r="F135" s="109"/>
      <c r="G135" s="109"/>
      <c r="H135" s="109"/>
      <c r="I135" s="109"/>
      <c r="J135" s="109"/>
      <c r="K135" s="109"/>
      <c r="L135" s="109"/>
      <c r="M135" s="109"/>
      <c r="N135" s="109"/>
      <c r="O135" s="109"/>
      <c r="P135" s="109"/>
      <c r="Q135" s="109"/>
      <c r="R135" s="109"/>
      <c r="S135" s="109"/>
    </row>
    <row r="136" spans="5:19">
      <c r="E136" s="109"/>
      <c r="F136" s="109"/>
      <c r="G136" s="109"/>
      <c r="H136" s="109"/>
      <c r="I136" s="109"/>
      <c r="J136" s="109"/>
      <c r="K136" s="109"/>
      <c r="L136" s="109"/>
      <c r="M136" s="109"/>
      <c r="N136" s="109"/>
      <c r="O136" s="109"/>
      <c r="P136" s="109"/>
      <c r="Q136" s="109"/>
      <c r="R136" s="109"/>
      <c r="S136" s="109"/>
    </row>
    <row r="137" spans="5:19">
      <c r="E137" s="109"/>
      <c r="F137" s="109"/>
      <c r="G137" s="109"/>
      <c r="H137" s="109"/>
      <c r="I137" s="109"/>
      <c r="J137" s="109"/>
      <c r="K137" s="109"/>
      <c r="L137" s="109"/>
      <c r="M137" s="109"/>
      <c r="N137" s="109"/>
      <c r="O137" s="109"/>
      <c r="P137" s="109"/>
      <c r="Q137" s="109"/>
      <c r="R137" s="109"/>
      <c r="S137" s="109"/>
    </row>
    <row r="138" spans="5:19">
      <c r="E138" s="109"/>
      <c r="F138" s="109"/>
      <c r="G138" s="109"/>
      <c r="H138" s="109"/>
      <c r="I138" s="109"/>
      <c r="J138" s="109"/>
      <c r="K138" s="109"/>
      <c r="L138" s="109"/>
      <c r="M138" s="109"/>
      <c r="N138" s="109"/>
      <c r="O138" s="109"/>
      <c r="P138" s="109"/>
      <c r="Q138" s="109"/>
      <c r="R138" s="109"/>
      <c r="S138" s="109"/>
    </row>
    <row r="139" spans="5:19">
      <c r="E139" s="109"/>
      <c r="F139" s="109"/>
      <c r="G139" s="109"/>
      <c r="H139" s="109"/>
      <c r="I139" s="109"/>
      <c r="J139" s="109"/>
      <c r="K139" s="109"/>
      <c r="L139" s="109"/>
      <c r="M139" s="109"/>
      <c r="N139" s="109"/>
      <c r="O139" s="109"/>
      <c r="P139" s="109"/>
      <c r="Q139" s="109"/>
      <c r="R139" s="109"/>
      <c r="S139" s="109"/>
    </row>
    <row r="140" spans="5:19">
      <c r="E140" s="109"/>
      <c r="F140" s="109"/>
      <c r="G140" s="109"/>
      <c r="H140" s="109"/>
      <c r="I140" s="109"/>
      <c r="J140" s="109"/>
      <c r="K140" s="109"/>
      <c r="L140" s="109"/>
      <c r="M140" s="109"/>
      <c r="N140" s="109"/>
      <c r="O140" s="109"/>
      <c r="P140" s="109"/>
      <c r="Q140" s="109"/>
      <c r="R140" s="109"/>
      <c r="S140" s="109"/>
    </row>
    <row r="141" spans="5:19">
      <c r="E141" s="109"/>
      <c r="F141" s="109"/>
      <c r="G141" s="109"/>
      <c r="H141" s="109"/>
      <c r="I141" s="109"/>
      <c r="J141" s="109"/>
      <c r="K141" s="109"/>
      <c r="L141" s="109"/>
      <c r="M141" s="109"/>
      <c r="N141" s="109"/>
      <c r="O141" s="109"/>
      <c r="P141" s="109"/>
      <c r="Q141" s="109"/>
      <c r="R141" s="109"/>
      <c r="S141" s="109"/>
    </row>
    <row r="142" spans="5:19">
      <c r="E142" s="109"/>
      <c r="F142" s="109"/>
      <c r="G142" s="109"/>
      <c r="H142" s="109"/>
      <c r="I142" s="109"/>
      <c r="J142" s="109"/>
      <c r="K142" s="109"/>
      <c r="L142" s="109"/>
      <c r="M142" s="109"/>
      <c r="N142" s="109"/>
      <c r="O142" s="109"/>
      <c r="P142" s="109"/>
      <c r="Q142" s="109"/>
      <c r="R142" s="109"/>
      <c r="S142" s="109"/>
    </row>
    <row r="143" spans="5:19">
      <c r="E143" s="109"/>
      <c r="F143" s="109"/>
      <c r="G143" s="109"/>
      <c r="H143" s="109"/>
      <c r="I143" s="109"/>
      <c r="J143" s="109"/>
      <c r="K143" s="109"/>
      <c r="L143" s="109"/>
      <c r="M143" s="109"/>
      <c r="N143" s="109"/>
      <c r="O143" s="109"/>
      <c r="P143" s="109"/>
      <c r="Q143" s="109"/>
      <c r="R143" s="109"/>
      <c r="S143" s="109"/>
    </row>
    <row r="144" spans="5:19">
      <c r="E144" s="109"/>
      <c r="F144" s="109"/>
      <c r="G144" s="109"/>
      <c r="H144" s="109"/>
      <c r="I144" s="109"/>
      <c r="J144" s="109"/>
      <c r="K144" s="109"/>
      <c r="L144" s="109"/>
      <c r="M144" s="109"/>
      <c r="N144" s="109"/>
      <c r="O144" s="109"/>
      <c r="P144" s="109"/>
      <c r="Q144" s="109"/>
      <c r="R144" s="109"/>
      <c r="S144" s="109"/>
    </row>
    <row r="145" spans="5:19">
      <c r="E145" s="109"/>
      <c r="F145" s="109"/>
      <c r="G145" s="109"/>
      <c r="H145" s="109"/>
      <c r="I145" s="109"/>
      <c r="J145" s="109"/>
      <c r="K145" s="109"/>
      <c r="L145" s="109"/>
      <c r="M145" s="109"/>
      <c r="N145" s="109"/>
      <c r="O145" s="109"/>
      <c r="P145" s="109"/>
      <c r="Q145" s="109"/>
      <c r="R145" s="109"/>
      <c r="S145" s="109"/>
    </row>
    <row r="146" spans="5:19">
      <c r="E146" s="109"/>
      <c r="F146" s="109"/>
      <c r="G146" s="109"/>
      <c r="H146" s="109"/>
      <c r="I146" s="109"/>
      <c r="J146" s="109"/>
      <c r="K146" s="109"/>
      <c r="L146" s="109"/>
      <c r="M146" s="109"/>
      <c r="N146" s="109"/>
      <c r="O146" s="109"/>
      <c r="P146" s="109"/>
      <c r="Q146" s="109"/>
      <c r="R146" s="109"/>
      <c r="S146" s="109"/>
    </row>
    <row r="147" spans="5:19">
      <c r="E147" s="109"/>
      <c r="F147" s="109"/>
      <c r="G147" s="109"/>
      <c r="H147" s="109"/>
      <c r="I147" s="109"/>
      <c r="J147" s="109"/>
      <c r="K147" s="109"/>
      <c r="L147" s="109"/>
      <c r="M147" s="109"/>
      <c r="N147" s="109"/>
      <c r="O147" s="109"/>
      <c r="P147" s="109"/>
      <c r="Q147" s="109"/>
      <c r="R147" s="109"/>
      <c r="S147" s="109"/>
    </row>
    <row r="148" spans="5:19">
      <c r="E148" s="109"/>
      <c r="F148" s="109"/>
      <c r="G148" s="109"/>
      <c r="H148" s="109"/>
      <c r="I148" s="109"/>
      <c r="J148" s="109"/>
      <c r="K148" s="109"/>
      <c r="L148" s="109"/>
      <c r="M148" s="109"/>
      <c r="N148" s="109"/>
      <c r="O148" s="109"/>
      <c r="P148" s="109"/>
      <c r="Q148" s="109"/>
      <c r="R148" s="109"/>
      <c r="S148" s="109"/>
    </row>
    <row r="149" spans="5:19">
      <c r="E149" s="109"/>
      <c r="F149" s="109"/>
      <c r="G149" s="109"/>
      <c r="H149" s="109"/>
      <c r="I149" s="109"/>
      <c r="J149" s="109"/>
      <c r="K149" s="109"/>
      <c r="L149" s="109"/>
      <c r="M149" s="109"/>
      <c r="N149" s="109"/>
      <c r="O149" s="109"/>
      <c r="P149" s="109"/>
      <c r="Q149" s="109"/>
      <c r="R149" s="109"/>
      <c r="S149" s="109"/>
    </row>
    <row r="150" spans="5:19">
      <c r="E150" s="109"/>
      <c r="F150" s="109"/>
      <c r="G150" s="109"/>
      <c r="H150" s="109"/>
      <c r="I150" s="109"/>
      <c r="J150" s="109"/>
      <c r="K150" s="109"/>
      <c r="L150" s="109"/>
      <c r="M150" s="109"/>
      <c r="N150" s="109"/>
      <c r="O150" s="109"/>
      <c r="P150" s="109"/>
      <c r="Q150" s="109"/>
      <c r="R150" s="109"/>
      <c r="S150" s="109"/>
    </row>
    <row r="151" spans="5:19">
      <c r="E151" s="109"/>
      <c r="F151" s="109"/>
      <c r="G151" s="109"/>
      <c r="H151" s="109"/>
      <c r="I151" s="109"/>
      <c r="J151" s="109"/>
      <c r="K151" s="109"/>
      <c r="L151" s="109"/>
      <c r="M151" s="109"/>
      <c r="N151" s="109"/>
      <c r="O151" s="109"/>
      <c r="P151" s="109"/>
      <c r="Q151" s="109"/>
      <c r="R151" s="109"/>
      <c r="S151" s="109"/>
    </row>
    <row r="152" spans="5:19">
      <c r="E152" s="109"/>
      <c r="F152" s="109"/>
      <c r="G152" s="109"/>
      <c r="H152" s="109"/>
      <c r="I152" s="109"/>
      <c r="J152" s="109"/>
      <c r="K152" s="109"/>
      <c r="L152" s="109"/>
      <c r="M152" s="109"/>
      <c r="N152" s="109"/>
      <c r="O152" s="109"/>
      <c r="P152" s="109"/>
      <c r="Q152" s="109"/>
      <c r="R152" s="109"/>
      <c r="S152" s="109"/>
    </row>
    <row r="153" spans="5:19">
      <c r="E153" s="109"/>
      <c r="F153" s="109"/>
      <c r="G153" s="109"/>
      <c r="H153" s="109"/>
      <c r="I153" s="109"/>
      <c r="J153" s="109"/>
      <c r="K153" s="109"/>
      <c r="L153" s="109"/>
      <c r="M153" s="109"/>
      <c r="N153" s="109"/>
      <c r="O153" s="109"/>
      <c r="P153" s="109"/>
      <c r="Q153" s="109"/>
      <c r="R153" s="109"/>
      <c r="S153" s="109"/>
    </row>
  </sheetData>
  <mergeCells count="8">
    <mergeCell ref="C115:C125"/>
    <mergeCell ref="E105:S105"/>
    <mergeCell ref="H41:H44"/>
    <mergeCell ref="E36:E44"/>
    <mergeCell ref="E19:E33"/>
    <mergeCell ref="L30:L40"/>
    <mergeCell ref="C106:D106"/>
    <mergeCell ref="J32:J37"/>
  </mergeCells>
  <conditionalFormatting sqref="D57:D97 G57:G97 K57:K97">
    <cfRule type="cellIs" dxfId="67" priority="3" operator="equal">
      <formula>FALSE</formula>
    </cfRule>
  </conditionalFormatting>
  <conditionalFormatting sqref="F106:S106">
    <cfRule type="cellIs" dxfId="66" priority="2" operator="equal">
      <formula>FALSE</formula>
    </cfRule>
  </conditionalFormatting>
  <conditionalFormatting sqref="E106:S106">
    <cfRule type="cellIs" dxfId="65" priority="1" operator="equal">
      <formula>FALSE</formula>
    </cfRule>
  </conditionalFormatting>
  <dataValidations count="8">
    <dataValidation type="list" allowBlank="1" showInputMessage="1" showErrorMessage="1" sqref="C112 G23 G34:G44 K31" xr:uid="{2AF621EF-8373-A240-BF1B-123EDC7A88DD}">
      <formula1>"TRUE,FALSE"</formula1>
    </dataValidation>
    <dataValidation type="list" allowBlank="1" showInputMessage="1" showErrorMessage="1" sqref="J11 J19:J28" xr:uid="{22AFFAE3-85C3-364A-B99F-0ED853CF7A60}">
      <formula1>OFFSET(list_saved_cases_recap,,,COUNTA(list_saved_cases_recap))</formula1>
    </dataValidation>
    <dataValidation type="list" allowBlank="1" showInputMessage="1" showErrorMessage="1" sqref="G19" xr:uid="{1FF95A62-7B83-2349-9247-43DBE2D6A2D5}">
      <formula1>OFFSET(list_saved_system,,,COUNTA(list_saved_system))</formula1>
    </dataValidation>
    <dataValidation type="list" allowBlank="1" showInputMessage="1" showErrorMessage="1" sqref="C57:C97 F57:F97 J57:J97 E107:S107" xr:uid="{BFD3A89B-E9D3-0543-9ED6-872B26F8E8C7}">
      <formula1>OFFSET(lists_resources,0,0,COUNTA(lists_resources))</formula1>
    </dataValidation>
    <dataValidation type="list" allowBlank="1" showInputMessage="1" showErrorMessage="1" sqref="G25" xr:uid="{4A4C9782-D3BE-4215-B8FF-79F2DD50542C}">
      <formula1>"fully_optimized,semi_optimized,heuristics_only"</formula1>
    </dataValidation>
    <dataValidation type="list" allowBlank="1" showInputMessage="1" showErrorMessage="1" sqref="C19:C39" xr:uid="{06FC5946-97CD-6E49-978C-E4596076C837}">
      <formula1>OFFSET(scenarios_all,,,COUNTA(scenarios_all))</formula1>
    </dataValidation>
    <dataValidation type="list" allowBlank="1" showInputMessage="1" showErrorMessage="1" sqref="G27" xr:uid="{1E22B080-FC67-4DED-84B3-8C0F00D1DCA6}">
      <formula1>"LOLE, EUE"</formula1>
    </dataValidation>
    <dataValidation type="list" allowBlank="1" showInputMessage="1" showErrorMessage="1" sqref="G26" xr:uid="{CA396A93-6FA9-489A-96EB-3C7C2D83015B}">
      <formula1>"EUE_and_100xLOLE, EUE"</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0B096-2BFB-4D08-ACB8-5D2D32A9A30E}">
  <sheetPr codeName="Sheet11">
    <tabColor rgb="FFFFFFCC"/>
  </sheetPr>
  <dimension ref="A1:C20"/>
  <sheetViews>
    <sheetView showGridLines="0" zoomScale="85" zoomScaleNormal="85" workbookViewId="0">
      <selection activeCell="C20" sqref="C20"/>
    </sheetView>
  </sheetViews>
  <sheetFormatPr baseColWidth="10" defaultColWidth="9" defaultRowHeight="12"/>
  <cols>
    <col min="1" max="1" width="38" bestFit="1" customWidth="1"/>
    <col min="2" max="2" width="40" customWidth="1"/>
    <col min="3" max="3" width="90.796875" customWidth="1"/>
  </cols>
  <sheetData>
    <row r="1" spans="1:3" ht="29" thickBot="1">
      <c r="A1" s="5" t="s">
        <v>159</v>
      </c>
      <c r="B1" s="63"/>
      <c r="C1" s="63"/>
    </row>
    <row r="5" spans="1:3" ht="19" thickBot="1">
      <c r="B5" s="124" t="s">
        <v>160</v>
      </c>
      <c r="C5" s="124"/>
    </row>
    <row r="7" spans="1:3" ht="13">
      <c r="C7" s="64" t="s">
        <v>161</v>
      </c>
    </row>
    <row r="8" spans="1:3">
      <c r="C8" s="125"/>
    </row>
    <row r="10" spans="1:3" ht="13">
      <c r="B10" s="126" t="s">
        <v>162</v>
      </c>
    </row>
    <row r="12" spans="1:3" ht="13">
      <c r="C12" s="64" t="s">
        <v>163</v>
      </c>
    </row>
    <row r="13" spans="1:3">
      <c r="C13" s="125"/>
    </row>
    <row r="15" spans="1:3" ht="26">
      <c r="B15" s="126" t="s">
        <v>164</v>
      </c>
    </row>
    <row r="20" spans="2:2" ht="104">
      <c r="B20" s="126" t="s">
        <v>165</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26F16-205C-1E49-B172-B9F2C5F4CDA0}">
  <sheetPr codeName="Sheet20">
    <tabColor theme="4" tint="0.59999389629810485"/>
  </sheetPr>
  <dimension ref="A1:BG373"/>
  <sheetViews>
    <sheetView showGridLines="0" zoomScale="62" zoomScaleNormal="90" workbookViewId="0">
      <selection activeCell="S17" sqref="S17"/>
    </sheetView>
  </sheetViews>
  <sheetFormatPr baseColWidth="10" defaultColWidth="11" defaultRowHeight="12"/>
  <cols>
    <col min="3" max="3" width="10.59765625" customWidth="1"/>
    <col min="4" max="13" width="14.796875" bestFit="1" customWidth="1"/>
    <col min="14" max="27" width="15.796875" bestFit="1" customWidth="1"/>
    <col min="29" max="29" width="28.796875" bestFit="1" customWidth="1"/>
    <col min="30" max="30" width="23.59765625" bestFit="1" customWidth="1"/>
    <col min="33" max="33" width="16" bestFit="1" customWidth="1"/>
    <col min="34" max="42" width="15" bestFit="1" customWidth="1"/>
    <col min="43" max="56" width="16" bestFit="1" customWidth="1"/>
    <col min="58" max="58" width="44.796875" bestFit="1" customWidth="1"/>
    <col min="59" max="59" width="23.59765625" bestFit="1" customWidth="1"/>
  </cols>
  <sheetData>
    <row r="1" spans="1:59" s="5" customFormat="1" ht="29" thickBot="1">
      <c r="A1" s="5" t="s">
        <v>166</v>
      </c>
    </row>
    <row r="2" spans="1:59">
      <c r="A2" s="45"/>
    </row>
    <row r="5" spans="1:59" ht="19" thickBot="1">
      <c r="C5" s="9" t="s">
        <v>167</v>
      </c>
      <c r="D5" s="9"/>
      <c r="E5" s="9"/>
      <c r="F5" s="9"/>
      <c r="G5" s="9"/>
      <c r="H5" s="9"/>
      <c r="I5" s="9"/>
      <c r="J5" s="9"/>
      <c r="K5" s="9"/>
      <c r="L5" s="9"/>
      <c r="M5" s="9"/>
      <c r="N5" s="9"/>
      <c r="O5" s="9"/>
      <c r="P5" s="9"/>
      <c r="Q5" s="9"/>
      <c r="R5" s="9"/>
      <c r="S5" s="9"/>
      <c r="T5" s="9"/>
      <c r="U5" s="9"/>
      <c r="V5" s="9"/>
      <c r="W5" s="9"/>
      <c r="X5" s="9"/>
      <c r="Y5" s="9"/>
      <c r="Z5" s="9"/>
      <c r="AA5" s="9"/>
      <c r="AC5" s="9" t="s">
        <v>168</v>
      </c>
      <c r="AD5" s="9"/>
      <c r="AF5" s="9" t="s">
        <v>47</v>
      </c>
      <c r="AG5" s="9"/>
      <c r="AH5" s="9"/>
      <c r="AI5" s="9"/>
      <c r="AJ5" s="9"/>
      <c r="AK5" s="9"/>
      <c r="AL5" s="9"/>
      <c r="AM5" s="9"/>
      <c r="AN5" s="9"/>
      <c r="AO5" s="9"/>
      <c r="AP5" s="9"/>
      <c r="AQ5" s="9"/>
      <c r="AR5" s="9"/>
      <c r="AS5" s="9"/>
      <c r="AT5" s="9"/>
      <c r="AU5" s="9"/>
      <c r="AV5" s="9"/>
      <c r="AW5" s="9"/>
      <c r="AX5" s="9"/>
      <c r="AY5" s="9"/>
      <c r="AZ5" s="9"/>
      <c r="BA5" s="9"/>
      <c r="BB5" s="9"/>
      <c r="BC5" s="9"/>
      <c r="BD5" s="9"/>
      <c r="BF5" s="9" t="s">
        <v>169</v>
      </c>
      <c r="BG5" s="9"/>
    </row>
    <row r="7" spans="1:59">
      <c r="D7" s="45" t="s">
        <v>170</v>
      </c>
    </row>
    <row r="8" spans="1:59" ht="13">
      <c r="C8" s="69" t="s">
        <v>171</v>
      </c>
      <c r="D8" s="70">
        <v>0</v>
      </c>
      <c r="E8" s="71">
        <f>D8+1</f>
        <v>1</v>
      </c>
      <c r="F8" s="71">
        <f t="shared" ref="F8:AA8" si="0">E8+1</f>
        <v>2</v>
      </c>
      <c r="G8" s="71">
        <f t="shared" si="0"/>
        <v>3</v>
      </c>
      <c r="H8" s="71">
        <f t="shared" si="0"/>
        <v>4</v>
      </c>
      <c r="I8" s="71">
        <f t="shared" si="0"/>
        <v>5</v>
      </c>
      <c r="J8" s="71">
        <f t="shared" si="0"/>
        <v>6</v>
      </c>
      <c r="K8" s="71">
        <f t="shared" si="0"/>
        <v>7</v>
      </c>
      <c r="L8" s="71">
        <f t="shared" si="0"/>
        <v>8</v>
      </c>
      <c r="M8" s="71">
        <f t="shared" si="0"/>
        <v>9</v>
      </c>
      <c r="N8" s="71">
        <f t="shared" si="0"/>
        <v>10</v>
      </c>
      <c r="O8" s="71">
        <f t="shared" si="0"/>
        <v>11</v>
      </c>
      <c r="P8" s="71">
        <f t="shared" si="0"/>
        <v>12</v>
      </c>
      <c r="Q8" s="71">
        <f t="shared" si="0"/>
        <v>13</v>
      </c>
      <c r="R8" s="71">
        <f t="shared" si="0"/>
        <v>14</v>
      </c>
      <c r="S8" s="71">
        <f t="shared" si="0"/>
        <v>15</v>
      </c>
      <c r="T8" s="71">
        <f t="shared" si="0"/>
        <v>16</v>
      </c>
      <c r="U8" s="71">
        <f t="shared" si="0"/>
        <v>17</v>
      </c>
      <c r="V8" s="71">
        <f t="shared" si="0"/>
        <v>18</v>
      </c>
      <c r="W8" s="71">
        <f t="shared" si="0"/>
        <v>19</v>
      </c>
      <c r="X8" s="71">
        <f t="shared" si="0"/>
        <v>20</v>
      </c>
      <c r="Y8" s="71">
        <f t="shared" si="0"/>
        <v>21</v>
      </c>
      <c r="Z8" s="71">
        <f t="shared" si="0"/>
        <v>22</v>
      </c>
      <c r="AA8" s="71">
        <f t="shared" si="0"/>
        <v>23</v>
      </c>
      <c r="AC8" s="6" t="s">
        <v>172</v>
      </c>
      <c r="AD8" s="6" t="s">
        <v>173</v>
      </c>
      <c r="AF8" s="3" t="s">
        <v>171</v>
      </c>
      <c r="AG8" s="12">
        <f t="shared" ref="AG8:BD8" si="1">D8</f>
        <v>0</v>
      </c>
      <c r="AH8" s="12">
        <f t="shared" si="1"/>
        <v>1</v>
      </c>
      <c r="AI8" s="12">
        <f t="shared" si="1"/>
        <v>2</v>
      </c>
      <c r="AJ8" s="12">
        <f t="shared" si="1"/>
        <v>3</v>
      </c>
      <c r="AK8" s="12">
        <f t="shared" si="1"/>
        <v>4</v>
      </c>
      <c r="AL8" s="12">
        <f t="shared" si="1"/>
        <v>5</v>
      </c>
      <c r="AM8" s="12">
        <f t="shared" si="1"/>
        <v>6</v>
      </c>
      <c r="AN8" s="12">
        <f t="shared" si="1"/>
        <v>7</v>
      </c>
      <c r="AO8" s="12">
        <f t="shared" si="1"/>
        <v>8</v>
      </c>
      <c r="AP8" s="12">
        <f t="shared" si="1"/>
        <v>9</v>
      </c>
      <c r="AQ8" s="12">
        <f t="shared" si="1"/>
        <v>10</v>
      </c>
      <c r="AR8" s="12">
        <f t="shared" si="1"/>
        <v>11</v>
      </c>
      <c r="AS8" s="12">
        <f t="shared" si="1"/>
        <v>12</v>
      </c>
      <c r="AT8" s="12">
        <f t="shared" si="1"/>
        <v>13</v>
      </c>
      <c r="AU8" s="12">
        <f t="shared" si="1"/>
        <v>14</v>
      </c>
      <c r="AV8" s="12">
        <f t="shared" si="1"/>
        <v>15</v>
      </c>
      <c r="AW8" s="12">
        <f t="shared" si="1"/>
        <v>16</v>
      </c>
      <c r="AX8" s="12">
        <f t="shared" si="1"/>
        <v>17</v>
      </c>
      <c r="AY8" s="12">
        <f t="shared" si="1"/>
        <v>18</v>
      </c>
      <c r="AZ8" s="12">
        <f t="shared" si="1"/>
        <v>19</v>
      </c>
      <c r="BA8" s="12">
        <f t="shared" si="1"/>
        <v>20</v>
      </c>
      <c r="BB8" s="12">
        <f t="shared" si="1"/>
        <v>21</v>
      </c>
      <c r="BC8" s="12">
        <f t="shared" si="1"/>
        <v>22</v>
      </c>
      <c r="BD8" s="12">
        <f t="shared" si="1"/>
        <v>23</v>
      </c>
      <c r="BF8" s="6" t="s">
        <v>173</v>
      </c>
      <c r="BG8" s="6" t="s">
        <v>174</v>
      </c>
    </row>
    <row r="9" spans="1:59">
      <c r="C9" s="72">
        <v>0</v>
      </c>
      <c r="D9" s="73">
        <v>35796</v>
      </c>
      <c r="E9" s="73">
        <v>35796.041666666664</v>
      </c>
      <c r="F9" s="73">
        <v>35796.083333333336</v>
      </c>
      <c r="G9" s="73">
        <v>35796.125</v>
      </c>
      <c r="H9" s="73">
        <v>35796.166666666664</v>
      </c>
      <c r="I9" s="73">
        <v>35796.208333333336</v>
      </c>
      <c r="J9" s="73">
        <v>35796.25</v>
      </c>
      <c r="K9" s="73">
        <v>35796.291666666664</v>
      </c>
      <c r="L9" s="73">
        <v>35796.333333333336</v>
      </c>
      <c r="M9" s="73">
        <v>35796.375</v>
      </c>
      <c r="N9" s="73">
        <v>35796.416666666664</v>
      </c>
      <c r="O9" s="73">
        <v>35796.458333333336</v>
      </c>
      <c r="P9" s="73">
        <v>35796.5</v>
      </c>
      <c r="Q9" s="73">
        <v>35796.541666666664</v>
      </c>
      <c r="R9" s="73">
        <v>35796.583333333336</v>
      </c>
      <c r="S9" s="73">
        <v>35796.625</v>
      </c>
      <c r="T9" s="73">
        <v>35796.666666666664</v>
      </c>
      <c r="U9" s="73">
        <v>35796.708333333336</v>
      </c>
      <c r="V9" s="73">
        <v>35796.75</v>
      </c>
      <c r="W9" s="73">
        <v>35796.791666666664</v>
      </c>
      <c r="X9" s="73">
        <v>35796.833333333336</v>
      </c>
      <c r="Y9" s="73">
        <v>35796.875</v>
      </c>
      <c r="Z9" s="73">
        <v>35796.916666666664</v>
      </c>
      <c r="AA9" s="74">
        <v>35796.958333333336</v>
      </c>
      <c r="AC9" s="12">
        <f t="shared" ref="AC9:AC72" si="2">C9</f>
        <v>0</v>
      </c>
      <c r="AD9" s="98">
        <v>10</v>
      </c>
      <c r="AF9" s="12" cm="1">
        <f t="array" ref="AF9:AF20">_xlfn._xlws.SORT(_xlfn.UNIQUE(AD9:AD373))</f>
        <v>10</v>
      </c>
      <c r="AG9" s="47">
        <f t="shared" ref="AG9:AG44" si="3">IF($AF9="","",(INDEX(D$9:D$373,MATCH($AF9,$C$9:$C$373,0))))</f>
        <v>35806</v>
      </c>
      <c r="AH9" s="47">
        <f t="shared" ref="AH9:AH44" si="4">IF($AF9="","",(INDEX(E$9:E$373,MATCH($AF9,$C$9:$C$373,0))))</f>
        <v>35806.041666666664</v>
      </c>
      <c r="AI9" s="47">
        <f t="shared" ref="AI9:AI44" si="5">IF($AF9="","",(INDEX(F$9:F$373,MATCH($AF9,$C$9:$C$373,0))))</f>
        <v>35806.083333333336</v>
      </c>
      <c r="AJ9" s="47">
        <f t="shared" ref="AJ9:AJ44" si="6">IF($AF9="","",(INDEX(G$9:G$373,MATCH($AF9,$C$9:$C$373,0))))</f>
        <v>35806.125</v>
      </c>
      <c r="AK9" s="47">
        <f t="shared" ref="AK9:AK44" si="7">IF($AF9="","",(INDEX(H$9:H$373,MATCH($AF9,$C$9:$C$373,0))))</f>
        <v>35806.166666666664</v>
      </c>
      <c r="AL9" s="47">
        <f t="shared" ref="AL9:AL44" si="8">IF($AF9="","",(INDEX(I$9:I$373,MATCH($AF9,$C$9:$C$373,0))))</f>
        <v>35806.208333333336</v>
      </c>
      <c r="AM9" s="47">
        <f t="shared" ref="AM9:AM44" si="9">IF($AF9="","",(INDEX(J$9:J$373,MATCH($AF9,$C$9:$C$373,0))))</f>
        <v>35806.25</v>
      </c>
      <c r="AN9" s="47">
        <f t="shared" ref="AN9:AN44" si="10">IF($AF9="","",(INDEX(K$9:K$373,MATCH($AF9,$C$9:$C$373,0))))</f>
        <v>35806.291666666664</v>
      </c>
      <c r="AO9" s="47">
        <f t="shared" ref="AO9:AO44" si="11">IF($AF9="","",(INDEX(L$9:L$373,MATCH($AF9,$C$9:$C$373,0))))</f>
        <v>35806.333333333336</v>
      </c>
      <c r="AP9" s="47">
        <f t="shared" ref="AP9:AP44" si="12">IF($AF9="","",(INDEX(M$9:M$373,MATCH($AF9,$C$9:$C$373,0))))</f>
        <v>35806.375</v>
      </c>
      <c r="AQ9" s="47">
        <f t="shared" ref="AQ9:AQ44" si="13">IF($AF9="","",(INDEX(N$9:N$373,MATCH($AF9,$C$9:$C$373,0))))</f>
        <v>35806.416666666664</v>
      </c>
      <c r="AR9" s="47">
        <f t="shared" ref="AR9:AR44" si="14">IF($AF9="","",(INDEX(O$9:O$373,MATCH($AF9,$C$9:$C$373,0))))</f>
        <v>35806.458333333336</v>
      </c>
      <c r="AS9" s="47">
        <f t="shared" ref="AS9:AS44" si="15">IF($AF9="","",(INDEX(P$9:P$373,MATCH($AF9,$C$9:$C$373,0))))</f>
        <v>35806.5</v>
      </c>
      <c r="AT9" s="47">
        <f t="shared" ref="AT9:AT44" si="16">IF($AF9="","",(INDEX(Q$9:Q$373,MATCH($AF9,$C$9:$C$373,0))))</f>
        <v>35806.541666666664</v>
      </c>
      <c r="AU9" s="47">
        <f t="shared" ref="AU9:AU44" si="17">IF($AF9="","",(INDEX(R$9:R$373,MATCH($AF9,$C$9:$C$373,0))))</f>
        <v>35806.583333333336</v>
      </c>
      <c r="AV9" s="47">
        <f t="shared" ref="AV9:AV44" si="18">IF($AF9="","",(INDEX(S$9:S$373,MATCH($AF9,$C$9:$C$373,0))))</f>
        <v>35806.625</v>
      </c>
      <c r="AW9" s="47">
        <f t="shared" ref="AW9:AW44" si="19">IF($AF9="","",(INDEX(T$9:T$373,MATCH($AF9,$C$9:$C$373,0))))</f>
        <v>35806.666666666664</v>
      </c>
      <c r="AX9" s="47">
        <f t="shared" ref="AX9:AX44" si="20">IF($AF9="","",(INDEX(U$9:U$373,MATCH($AF9,$C$9:$C$373,0))))</f>
        <v>35806.708333333336</v>
      </c>
      <c r="AY9" s="47">
        <f t="shared" ref="AY9:AY44" si="21">IF($AF9="","",(INDEX(V$9:V$373,MATCH($AF9,$C$9:$C$373,0))))</f>
        <v>35806.75</v>
      </c>
      <c r="AZ9" s="47">
        <f t="shared" ref="AZ9:AZ44" si="22">IF($AF9="","",(INDEX(W$9:W$373,MATCH($AF9,$C$9:$C$373,0))))</f>
        <v>35806.791666666664</v>
      </c>
      <c r="BA9" s="47">
        <f t="shared" ref="BA9:BA44" si="23">IF($AF9="","",(INDEX(X$9:X$373,MATCH($AF9,$C$9:$C$373,0))))</f>
        <v>35806.833333333336</v>
      </c>
      <c r="BB9" s="47">
        <f t="shared" ref="BB9:BB44" si="24">IF($AF9="","",(INDEX(Y$9:Y$373,MATCH($AF9,$C$9:$C$373,0))))</f>
        <v>35806.875</v>
      </c>
      <c r="BC9" s="47">
        <f t="shared" ref="BC9:BC44" si="25">IF($AF9="","",(INDEX(Z$9:Z$373,MATCH($AF9,$C$9:$C$373,0))))</f>
        <v>35806.916666666664</v>
      </c>
      <c r="BD9" s="47">
        <f t="shared" ref="BD9:BD44" si="26">IF($AF9="","",(INDEX(AA$9:AA$373,MATCH($AF9,$C$9:$C$373,0))))</f>
        <v>35806.958333333336</v>
      </c>
      <c r="BF9" s="12">
        <f t="shared" ref="BF9:BF44" si="27">IF($AF9="","",$AF9)</f>
        <v>10</v>
      </c>
      <c r="BG9" s="12">
        <f t="shared" ref="BG9:BG44" si="28">IF($AF9="","",COUNTIFS($AD$9:$AD$373,BF9)/COUNTA($AD$9:$AD$373))</f>
        <v>8.4931506849315067E-2</v>
      </c>
    </row>
    <row r="10" spans="1:59">
      <c r="C10" s="75">
        <v>1</v>
      </c>
      <c r="D10" s="73">
        <v>35797</v>
      </c>
      <c r="E10" s="73">
        <v>35797.041666666664</v>
      </c>
      <c r="F10" s="73">
        <v>35797.083333333336</v>
      </c>
      <c r="G10" s="73">
        <v>35797.125</v>
      </c>
      <c r="H10" s="73">
        <v>35797.166666666664</v>
      </c>
      <c r="I10" s="73">
        <v>35797.208333333336</v>
      </c>
      <c r="J10" s="73">
        <v>35797.25</v>
      </c>
      <c r="K10" s="73">
        <v>35797.291666666664</v>
      </c>
      <c r="L10" s="73">
        <v>35797.333333333336</v>
      </c>
      <c r="M10" s="73">
        <v>35797.375</v>
      </c>
      <c r="N10" s="73">
        <v>35797.416666666664</v>
      </c>
      <c r="O10" s="73">
        <v>35797.458333333336</v>
      </c>
      <c r="P10" s="73">
        <v>35797.5</v>
      </c>
      <c r="Q10" s="73">
        <v>35797.541666666664</v>
      </c>
      <c r="R10" s="73">
        <v>35797.583333333336</v>
      </c>
      <c r="S10" s="73">
        <v>35797.625</v>
      </c>
      <c r="T10" s="73">
        <v>35797.666666666664</v>
      </c>
      <c r="U10" s="73">
        <v>35797.708333333336</v>
      </c>
      <c r="V10" s="73">
        <v>35797.75</v>
      </c>
      <c r="W10" s="73">
        <v>35797.791666666664</v>
      </c>
      <c r="X10" s="73">
        <v>35797.833333333336</v>
      </c>
      <c r="Y10" s="73">
        <v>35797.875</v>
      </c>
      <c r="Z10" s="73">
        <v>35797.916666666664</v>
      </c>
      <c r="AA10" s="74">
        <v>35797.958333333336</v>
      </c>
      <c r="AC10" s="12">
        <f t="shared" si="2"/>
        <v>1</v>
      </c>
      <c r="AD10" s="98">
        <v>10</v>
      </c>
      <c r="AF10" s="12">
        <v>40</v>
      </c>
      <c r="AG10" s="47">
        <f t="shared" si="3"/>
        <v>35836</v>
      </c>
      <c r="AH10" s="47">
        <f t="shared" si="4"/>
        <v>35836.041666666664</v>
      </c>
      <c r="AI10" s="47">
        <f t="shared" si="5"/>
        <v>35836.083333333336</v>
      </c>
      <c r="AJ10" s="47">
        <f t="shared" si="6"/>
        <v>35836.125</v>
      </c>
      <c r="AK10" s="47">
        <f t="shared" si="7"/>
        <v>35836.166666666664</v>
      </c>
      <c r="AL10" s="47">
        <f t="shared" si="8"/>
        <v>35836.208333333336</v>
      </c>
      <c r="AM10" s="47">
        <f t="shared" si="9"/>
        <v>35836.25</v>
      </c>
      <c r="AN10" s="47">
        <f t="shared" si="10"/>
        <v>35836.291666666664</v>
      </c>
      <c r="AO10" s="47">
        <f t="shared" si="11"/>
        <v>35836.333333333336</v>
      </c>
      <c r="AP10" s="47">
        <f t="shared" si="12"/>
        <v>35836.375</v>
      </c>
      <c r="AQ10" s="47">
        <f t="shared" si="13"/>
        <v>35836.416666666664</v>
      </c>
      <c r="AR10" s="47">
        <f t="shared" si="14"/>
        <v>35836.458333333336</v>
      </c>
      <c r="AS10" s="47">
        <f t="shared" si="15"/>
        <v>35836.5</v>
      </c>
      <c r="AT10" s="47">
        <f t="shared" si="16"/>
        <v>35836.541666666664</v>
      </c>
      <c r="AU10" s="47">
        <f t="shared" si="17"/>
        <v>35836.583333333336</v>
      </c>
      <c r="AV10" s="47">
        <f t="shared" si="18"/>
        <v>35836.625</v>
      </c>
      <c r="AW10" s="47">
        <f t="shared" si="19"/>
        <v>35836.666666666664</v>
      </c>
      <c r="AX10" s="47">
        <f t="shared" si="20"/>
        <v>35836.708333333336</v>
      </c>
      <c r="AY10" s="47">
        <f t="shared" si="21"/>
        <v>35836.75</v>
      </c>
      <c r="AZ10" s="47">
        <f t="shared" si="22"/>
        <v>35836.791666666664</v>
      </c>
      <c r="BA10" s="47">
        <f t="shared" si="23"/>
        <v>35836.833333333336</v>
      </c>
      <c r="BB10" s="47">
        <f t="shared" si="24"/>
        <v>35836.875</v>
      </c>
      <c r="BC10" s="47">
        <f t="shared" si="25"/>
        <v>35836.916666666664</v>
      </c>
      <c r="BD10" s="47">
        <f t="shared" si="26"/>
        <v>35836.958333333336</v>
      </c>
      <c r="BF10" s="12">
        <f t="shared" si="27"/>
        <v>40</v>
      </c>
      <c r="BG10" s="12">
        <f t="shared" si="28"/>
        <v>7.6712328767123292E-2</v>
      </c>
    </row>
    <row r="11" spans="1:59">
      <c r="C11" s="75">
        <v>2</v>
      </c>
      <c r="D11" s="73">
        <v>35798</v>
      </c>
      <c r="E11" s="73">
        <v>35798.041666666664</v>
      </c>
      <c r="F11" s="73">
        <v>35798.083333333336</v>
      </c>
      <c r="G11" s="73">
        <v>35798.125</v>
      </c>
      <c r="H11" s="73">
        <v>35798.166666666664</v>
      </c>
      <c r="I11" s="73">
        <v>35798.208333333336</v>
      </c>
      <c r="J11" s="73">
        <v>35798.25</v>
      </c>
      <c r="K11" s="73">
        <v>35798.291666666664</v>
      </c>
      <c r="L11" s="73">
        <v>35798.333333333336</v>
      </c>
      <c r="M11" s="73">
        <v>35798.375</v>
      </c>
      <c r="N11" s="73">
        <v>35798.416666666664</v>
      </c>
      <c r="O11" s="73">
        <v>35798.458333333336</v>
      </c>
      <c r="P11" s="73">
        <v>35798.5</v>
      </c>
      <c r="Q11" s="73">
        <v>35798.541666666664</v>
      </c>
      <c r="R11" s="73">
        <v>35798.583333333336</v>
      </c>
      <c r="S11" s="73">
        <v>35798.625</v>
      </c>
      <c r="T11" s="73">
        <v>35798.666666666664</v>
      </c>
      <c r="U11" s="73">
        <v>35798.708333333336</v>
      </c>
      <c r="V11" s="73">
        <v>35798.75</v>
      </c>
      <c r="W11" s="73">
        <v>35798.791666666664</v>
      </c>
      <c r="X11" s="73">
        <v>35798.833333333336</v>
      </c>
      <c r="Y11" s="73">
        <v>35798.875</v>
      </c>
      <c r="Z11" s="73">
        <v>35798.916666666664</v>
      </c>
      <c r="AA11" s="74">
        <v>35798.958333333336</v>
      </c>
      <c r="AC11" s="12">
        <f t="shared" si="2"/>
        <v>2</v>
      </c>
      <c r="AD11" s="98">
        <v>10</v>
      </c>
      <c r="AF11" s="12">
        <v>70</v>
      </c>
      <c r="AG11" s="47">
        <f t="shared" si="3"/>
        <v>35866</v>
      </c>
      <c r="AH11" s="47">
        <f t="shared" si="4"/>
        <v>35866.041666666664</v>
      </c>
      <c r="AI11" s="47">
        <f t="shared" si="5"/>
        <v>35866.083333333336</v>
      </c>
      <c r="AJ11" s="47">
        <f t="shared" si="6"/>
        <v>35866.125</v>
      </c>
      <c r="AK11" s="47">
        <f t="shared" si="7"/>
        <v>35866.166666666664</v>
      </c>
      <c r="AL11" s="47">
        <f t="shared" si="8"/>
        <v>35866.208333333336</v>
      </c>
      <c r="AM11" s="47">
        <f t="shared" si="9"/>
        <v>35866.25</v>
      </c>
      <c r="AN11" s="47">
        <f t="shared" si="10"/>
        <v>35866.291666666664</v>
      </c>
      <c r="AO11" s="47">
        <f t="shared" si="11"/>
        <v>35866.333333333336</v>
      </c>
      <c r="AP11" s="47">
        <f t="shared" si="12"/>
        <v>35866.375</v>
      </c>
      <c r="AQ11" s="47">
        <f t="shared" si="13"/>
        <v>35866.416666666664</v>
      </c>
      <c r="AR11" s="47">
        <f t="shared" si="14"/>
        <v>35866.458333333336</v>
      </c>
      <c r="AS11" s="47">
        <f t="shared" si="15"/>
        <v>35866.5</v>
      </c>
      <c r="AT11" s="47">
        <f t="shared" si="16"/>
        <v>35866.541666666664</v>
      </c>
      <c r="AU11" s="47">
        <f t="shared" si="17"/>
        <v>35866.583333333336</v>
      </c>
      <c r="AV11" s="47">
        <f t="shared" si="18"/>
        <v>35866.625</v>
      </c>
      <c r="AW11" s="47">
        <f t="shared" si="19"/>
        <v>35866.666666666664</v>
      </c>
      <c r="AX11" s="47">
        <f t="shared" si="20"/>
        <v>35866.708333333336</v>
      </c>
      <c r="AY11" s="47">
        <f t="shared" si="21"/>
        <v>35866.75</v>
      </c>
      <c r="AZ11" s="47">
        <f t="shared" si="22"/>
        <v>35866.791666666664</v>
      </c>
      <c r="BA11" s="47">
        <f t="shared" si="23"/>
        <v>35866.833333333336</v>
      </c>
      <c r="BB11" s="47">
        <f t="shared" si="24"/>
        <v>35866.875</v>
      </c>
      <c r="BC11" s="47">
        <f t="shared" si="25"/>
        <v>35866.916666666664</v>
      </c>
      <c r="BD11" s="47">
        <f t="shared" si="26"/>
        <v>35866.958333333336</v>
      </c>
      <c r="BF11" s="12">
        <f t="shared" si="27"/>
        <v>70</v>
      </c>
      <c r="BG11" s="12">
        <f t="shared" si="28"/>
        <v>8.4931506849315067E-2</v>
      </c>
    </row>
    <row r="12" spans="1:59">
      <c r="C12" s="75">
        <v>3</v>
      </c>
      <c r="D12" s="73">
        <v>35799</v>
      </c>
      <c r="E12" s="73">
        <v>35799.041666666664</v>
      </c>
      <c r="F12" s="73">
        <v>35799.083333333336</v>
      </c>
      <c r="G12" s="73">
        <v>35799.125</v>
      </c>
      <c r="H12" s="73">
        <v>35799.166666666664</v>
      </c>
      <c r="I12" s="73">
        <v>35799.208333333336</v>
      </c>
      <c r="J12" s="73">
        <v>35799.25</v>
      </c>
      <c r="K12" s="73">
        <v>35799.291666666664</v>
      </c>
      <c r="L12" s="73">
        <v>35799.333333333336</v>
      </c>
      <c r="M12" s="73">
        <v>35799.375</v>
      </c>
      <c r="N12" s="73">
        <v>35799.416666666664</v>
      </c>
      <c r="O12" s="73">
        <v>35799.458333333336</v>
      </c>
      <c r="P12" s="73">
        <v>35799.5</v>
      </c>
      <c r="Q12" s="73">
        <v>35799.541666666664</v>
      </c>
      <c r="R12" s="73">
        <v>35799.583333333336</v>
      </c>
      <c r="S12" s="73">
        <v>35799.625</v>
      </c>
      <c r="T12" s="73">
        <v>35799.666666666664</v>
      </c>
      <c r="U12" s="73">
        <v>35799.708333333336</v>
      </c>
      <c r="V12" s="73">
        <v>35799.75</v>
      </c>
      <c r="W12" s="73">
        <v>35799.791666666664</v>
      </c>
      <c r="X12" s="73">
        <v>35799.833333333336</v>
      </c>
      <c r="Y12" s="73">
        <v>35799.875</v>
      </c>
      <c r="Z12" s="73">
        <v>35799.916666666664</v>
      </c>
      <c r="AA12" s="74">
        <v>35799.958333333336</v>
      </c>
      <c r="AC12" s="12">
        <f t="shared" si="2"/>
        <v>3</v>
      </c>
      <c r="AD12" s="98">
        <v>10</v>
      </c>
      <c r="AF12" s="12">
        <v>100</v>
      </c>
      <c r="AG12" s="47">
        <f t="shared" si="3"/>
        <v>35896</v>
      </c>
      <c r="AH12" s="47">
        <f t="shared" si="4"/>
        <v>35896.041666666664</v>
      </c>
      <c r="AI12" s="47">
        <f t="shared" si="5"/>
        <v>35896.083333333336</v>
      </c>
      <c r="AJ12" s="47">
        <f t="shared" si="6"/>
        <v>35896.125</v>
      </c>
      <c r="AK12" s="47">
        <f t="shared" si="7"/>
        <v>35896.166666666664</v>
      </c>
      <c r="AL12" s="47">
        <f t="shared" si="8"/>
        <v>35896.208333333336</v>
      </c>
      <c r="AM12" s="47">
        <f t="shared" si="9"/>
        <v>35896.25</v>
      </c>
      <c r="AN12" s="47">
        <f t="shared" si="10"/>
        <v>35896.291666666664</v>
      </c>
      <c r="AO12" s="47">
        <f t="shared" si="11"/>
        <v>35896.333333333336</v>
      </c>
      <c r="AP12" s="47">
        <f t="shared" si="12"/>
        <v>35896.375</v>
      </c>
      <c r="AQ12" s="47">
        <f t="shared" si="13"/>
        <v>35896.416666666664</v>
      </c>
      <c r="AR12" s="47">
        <f t="shared" si="14"/>
        <v>35896.458333333336</v>
      </c>
      <c r="AS12" s="47">
        <f t="shared" si="15"/>
        <v>35896.5</v>
      </c>
      <c r="AT12" s="47">
        <f t="shared" si="16"/>
        <v>35896.541666666664</v>
      </c>
      <c r="AU12" s="47">
        <f t="shared" si="17"/>
        <v>35896.583333333336</v>
      </c>
      <c r="AV12" s="47">
        <f t="shared" si="18"/>
        <v>35896.625</v>
      </c>
      <c r="AW12" s="47">
        <f t="shared" si="19"/>
        <v>35896.666666666664</v>
      </c>
      <c r="AX12" s="47">
        <f t="shared" si="20"/>
        <v>35896.708333333336</v>
      </c>
      <c r="AY12" s="47">
        <f t="shared" si="21"/>
        <v>35896.75</v>
      </c>
      <c r="AZ12" s="47">
        <f t="shared" si="22"/>
        <v>35896.791666666664</v>
      </c>
      <c r="BA12" s="47">
        <f t="shared" si="23"/>
        <v>35896.833333333336</v>
      </c>
      <c r="BB12" s="47">
        <f t="shared" si="24"/>
        <v>35896.875</v>
      </c>
      <c r="BC12" s="47">
        <f t="shared" si="25"/>
        <v>35896.916666666664</v>
      </c>
      <c r="BD12" s="47">
        <f t="shared" si="26"/>
        <v>35896.958333333336</v>
      </c>
      <c r="BF12" s="12">
        <f t="shared" si="27"/>
        <v>100</v>
      </c>
      <c r="BG12" s="12">
        <f t="shared" si="28"/>
        <v>8.2191780821917804E-2</v>
      </c>
    </row>
    <row r="13" spans="1:59">
      <c r="C13" s="75">
        <v>4</v>
      </c>
      <c r="D13" s="73">
        <v>35800</v>
      </c>
      <c r="E13" s="73">
        <v>35800.041666666664</v>
      </c>
      <c r="F13" s="73">
        <v>35800.083333333336</v>
      </c>
      <c r="G13" s="73">
        <v>35800.125</v>
      </c>
      <c r="H13" s="73">
        <v>35800.166666666664</v>
      </c>
      <c r="I13" s="73">
        <v>35800.208333333336</v>
      </c>
      <c r="J13" s="73">
        <v>35800.25</v>
      </c>
      <c r="K13" s="73">
        <v>35800.291666666664</v>
      </c>
      <c r="L13" s="73">
        <v>35800.333333333336</v>
      </c>
      <c r="M13" s="73">
        <v>35800.375</v>
      </c>
      <c r="N13" s="73">
        <v>35800.416666666664</v>
      </c>
      <c r="O13" s="73">
        <v>35800.458333333336</v>
      </c>
      <c r="P13" s="73">
        <v>35800.5</v>
      </c>
      <c r="Q13" s="73">
        <v>35800.541666666664</v>
      </c>
      <c r="R13" s="73">
        <v>35800.583333333336</v>
      </c>
      <c r="S13" s="73">
        <v>35800.625</v>
      </c>
      <c r="T13" s="73">
        <v>35800.666666666664</v>
      </c>
      <c r="U13" s="73">
        <v>35800.708333333336</v>
      </c>
      <c r="V13" s="73">
        <v>35800.75</v>
      </c>
      <c r="W13" s="73">
        <v>35800.791666666664</v>
      </c>
      <c r="X13" s="73">
        <v>35800.833333333336</v>
      </c>
      <c r="Y13" s="73">
        <v>35800.875</v>
      </c>
      <c r="Z13" s="73">
        <v>35800.916666666664</v>
      </c>
      <c r="AA13" s="74">
        <v>35800.958333333336</v>
      </c>
      <c r="AC13" s="12">
        <f t="shared" si="2"/>
        <v>4</v>
      </c>
      <c r="AD13" s="98">
        <v>10</v>
      </c>
      <c r="AF13" s="12">
        <v>130</v>
      </c>
      <c r="AG13" s="47">
        <f t="shared" si="3"/>
        <v>35926</v>
      </c>
      <c r="AH13" s="47">
        <f t="shared" si="4"/>
        <v>35926.041666666664</v>
      </c>
      <c r="AI13" s="47">
        <f t="shared" si="5"/>
        <v>35926.083333333336</v>
      </c>
      <c r="AJ13" s="47">
        <f t="shared" si="6"/>
        <v>35926.125</v>
      </c>
      <c r="AK13" s="47">
        <f t="shared" si="7"/>
        <v>35926.166666666664</v>
      </c>
      <c r="AL13" s="47">
        <f t="shared" si="8"/>
        <v>35926.208333333336</v>
      </c>
      <c r="AM13" s="47">
        <f t="shared" si="9"/>
        <v>35926.25</v>
      </c>
      <c r="AN13" s="47">
        <f t="shared" si="10"/>
        <v>35926.291666666664</v>
      </c>
      <c r="AO13" s="47">
        <f t="shared" si="11"/>
        <v>35926.333333333336</v>
      </c>
      <c r="AP13" s="47">
        <f t="shared" si="12"/>
        <v>35926.375</v>
      </c>
      <c r="AQ13" s="47">
        <f t="shared" si="13"/>
        <v>35926.416666666664</v>
      </c>
      <c r="AR13" s="47">
        <f t="shared" si="14"/>
        <v>35926.458333333336</v>
      </c>
      <c r="AS13" s="47">
        <f t="shared" si="15"/>
        <v>35926.5</v>
      </c>
      <c r="AT13" s="47">
        <f t="shared" si="16"/>
        <v>35926.541666666664</v>
      </c>
      <c r="AU13" s="47">
        <f t="shared" si="17"/>
        <v>35926.583333333336</v>
      </c>
      <c r="AV13" s="47">
        <f t="shared" si="18"/>
        <v>35926.625</v>
      </c>
      <c r="AW13" s="47">
        <f t="shared" si="19"/>
        <v>35926.666666666664</v>
      </c>
      <c r="AX13" s="47">
        <f t="shared" si="20"/>
        <v>35926.708333333336</v>
      </c>
      <c r="AY13" s="47">
        <f t="shared" si="21"/>
        <v>35926.75</v>
      </c>
      <c r="AZ13" s="47">
        <f t="shared" si="22"/>
        <v>35926.791666666664</v>
      </c>
      <c r="BA13" s="47">
        <f t="shared" si="23"/>
        <v>35926.833333333336</v>
      </c>
      <c r="BB13" s="47">
        <f t="shared" si="24"/>
        <v>35926.875</v>
      </c>
      <c r="BC13" s="47">
        <f t="shared" si="25"/>
        <v>35926.916666666664</v>
      </c>
      <c r="BD13" s="47">
        <f t="shared" si="26"/>
        <v>35926.958333333336</v>
      </c>
      <c r="BF13" s="12">
        <f t="shared" si="27"/>
        <v>130</v>
      </c>
      <c r="BG13" s="12">
        <f t="shared" si="28"/>
        <v>8.4931506849315067E-2</v>
      </c>
    </row>
    <row r="14" spans="1:59">
      <c r="C14" s="75">
        <v>5</v>
      </c>
      <c r="D14" s="73">
        <v>35801</v>
      </c>
      <c r="E14" s="73">
        <v>35801.041666666664</v>
      </c>
      <c r="F14" s="73">
        <v>35801.083333333336</v>
      </c>
      <c r="G14" s="73">
        <v>35801.125</v>
      </c>
      <c r="H14" s="73">
        <v>35801.166666666664</v>
      </c>
      <c r="I14" s="73">
        <v>35801.208333333336</v>
      </c>
      <c r="J14" s="73">
        <v>35801.25</v>
      </c>
      <c r="K14" s="73">
        <v>35801.291666666664</v>
      </c>
      <c r="L14" s="73">
        <v>35801.333333333336</v>
      </c>
      <c r="M14" s="73">
        <v>35801.375</v>
      </c>
      <c r="N14" s="73">
        <v>35801.416666666664</v>
      </c>
      <c r="O14" s="73">
        <v>35801.458333333336</v>
      </c>
      <c r="P14" s="73">
        <v>35801.5</v>
      </c>
      <c r="Q14" s="73">
        <v>35801.541666666664</v>
      </c>
      <c r="R14" s="73">
        <v>35801.583333333336</v>
      </c>
      <c r="S14" s="73">
        <v>35801.625</v>
      </c>
      <c r="T14" s="73">
        <v>35801.666666666664</v>
      </c>
      <c r="U14" s="73">
        <v>35801.708333333336</v>
      </c>
      <c r="V14" s="73">
        <v>35801.75</v>
      </c>
      <c r="W14" s="73">
        <v>35801.791666666664</v>
      </c>
      <c r="X14" s="73">
        <v>35801.833333333336</v>
      </c>
      <c r="Y14" s="73">
        <v>35801.875</v>
      </c>
      <c r="Z14" s="73">
        <v>35801.916666666664</v>
      </c>
      <c r="AA14" s="74">
        <v>35801.958333333336</v>
      </c>
      <c r="AC14" s="12">
        <f t="shared" si="2"/>
        <v>5</v>
      </c>
      <c r="AD14" s="98">
        <v>10</v>
      </c>
      <c r="AF14" s="12">
        <v>160</v>
      </c>
      <c r="AG14" s="47">
        <f t="shared" si="3"/>
        <v>35956</v>
      </c>
      <c r="AH14" s="47">
        <f t="shared" si="4"/>
        <v>35956.041666666664</v>
      </c>
      <c r="AI14" s="47">
        <f t="shared" si="5"/>
        <v>35956.083333333336</v>
      </c>
      <c r="AJ14" s="47">
        <f t="shared" si="6"/>
        <v>35956.125</v>
      </c>
      <c r="AK14" s="47">
        <f t="shared" si="7"/>
        <v>35956.166666666664</v>
      </c>
      <c r="AL14" s="47">
        <f t="shared" si="8"/>
        <v>35956.208333333336</v>
      </c>
      <c r="AM14" s="47">
        <f t="shared" si="9"/>
        <v>35956.25</v>
      </c>
      <c r="AN14" s="47">
        <f t="shared" si="10"/>
        <v>35956.291666666664</v>
      </c>
      <c r="AO14" s="47">
        <f t="shared" si="11"/>
        <v>35956.333333333336</v>
      </c>
      <c r="AP14" s="47">
        <f t="shared" si="12"/>
        <v>35956.375</v>
      </c>
      <c r="AQ14" s="47">
        <f t="shared" si="13"/>
        <v>35956.416666666664</v>
      </c>
      <c r="AR14" s="47">
        <f t="shared" si="14"/>
        <v>35956.458333333336</v>
      </c>
      <c r="AS14" s="47">
        <f t="shared" si="15"/>
        <v>35956.5</v>
      </c>
      <c r="AT14" s="47">
        <f t="shared" si="16"/>
        <v>35956.541666666664</v>
      </c>
      <c r="AU14" s="47">
        <f t="shared" si="17"/>
        <v>35956.583333333336</v>
      </c>
      <c r="AV14" s="47">
        <f t="shared" si="18"/>
        <v>35956.625</v>
      </c>
      <c r="AW14" s="47">
        <f t="shared" si="19"/>
        <v>35956.666666666664</v>
      </c>
      <c r="AX14" s="47">
        <f t="shared" si="20"/>
        <v>35956.708333333336</v>
      </c>
      <c r="AY14" s="47">
        <f t="shared" si="21"/>
        <v>35956.75</v>
      </c>
      <c r="AZ14" s="47">
        <f t="shared" si="22"/>
        <v>35956.791666666664</v>
      </c>
      <c r="BA14" s="47">
        <f t="shared" si="23"/>
        <v>35956.833333333336</v>
      </c>
      <c r="BB14" s="47">
        <f t="shared" si="24"/>
        <v>35956.875</v>
      </c>
      <c r="BC14" s="47">
        <f t="shared" si="25"/>
        <v>35956.916666666664</v>
      </c>
      <c r="BD14" s="47">
        <f t="shared" si="26"/>
        <v>35956.958333333336</v>
      </c>
      <c r="BF14" s="12">
        <f t="shared" si="27"/>
        <v>160</v>
      </c>
      <c r="BG14" s="12">
        <f t="shared" si="28"/>
        <v>8.2191780821917804E-2</v>
      </c>
    </row>
    <row r="15" spans="1:59">
      <c r="C15" s="75">
        <v>6</v>
      </c>
      <c r="D15" s="73">
        <v>35802</v>
      </c>
      <c r="E15" s="73">
        <v>35802.041666666664</v>
      </c>
      <c r="F15" s="73">
        <v>35802.083333333336</v>
      </c>
      <c r="G15" s="73">
        <v>35802.125</v>
      </c>
      <c r="H15" s="73">
        <v>35802.166666666664</v>
      </c>
      <c r="I15" s="73">
        <v>35802.208333333336</v>
      </c>
      <c r="J15" s="73">
        <v>35802.25</v>
      </c>
      <c r="K15" s="73">
        <v>35802.291666666664</v>
      </c>
      <c r="L15" s="73">
        <v>35802.333333333336</v>
      </c>
      <c r="M15" s="73">
        <v>35802.375</v>
      </c>
      <c r="N15" s="73">
        <v>35802.416666666664</v>
      </c>
      <c r="O15" s="73">
        <v>35802.458333333336</v>
      </c>
      <c r="P15" s="73">
        <v>35802.5</v>
      </c>
      <c r="Q15" s="73">
        <v>35802.541666666664</v>
      </c>
      <c r="R15" s="73">
        <v>35802.583333333336</v>
      </c>
      <c r="S15" s="73">
        <v>35802.625</v>
      </c>
      <c r="T15" s="73">
        <v>35802.666666666664</v>
      </c>
      <c r="U15" s="73">
        <v>35802.708333333336</v>
      </c>
      <c r="V15" s="73">
        <v>35802.75</v>
      </c>
      <c r="W15" s="73">
        <v>35802.791666666664</v>
      </c>
      <c r="X15" s="73">
        <v>35802.833333333336</v>
      </c>
      <c r="Y15" s="73">
        <v>35802.875</v>
      </c>
      <c r="Z15" s="73">
        <v>35802.916666666664</v>
      </c>
      <c r="AA15" s="74">
        <v>35802.958333333336</v>
      </c>
      <c r="AC15" s="12">
        <f t="shared" si="2"/>
        <v>6</v>
      </c>
      <c r="AD15" s="98">
        <v>10</v>
      </c>
      <c r="AF15" s="12">
        <v>190</v>
      </c>
      <c r="AG15" s="47">
        <f t="shared" si="3"/>
        <v>35986</v>
      </c>
      <c r="AH15" s="47">
        <f t="shared" si="4"/>
        <v>35986.041666666664</v>
      </c>
      <c r="AI15" s="47">
        <f t="shared" si="5"/>
        <v>35986.083333333336</v>
      </c>
      <c r="AJ15" s="47">
        <f t="shared" si="6"/>
        <v>35986.125</v>
      </c>
      <c r="AK15" s="47">
        <f t="shared" si="7"/>
        <v>35986.166666666664</v>
      </c>
      <c r="AL15" s="47">
        <f t="shared" si="8"/>
        <v>35986.208333333336</v>
      </c>
      <c r="AM15" s="47">
        <f t="shared" si="9"/>
        <v>35986.25</v>
      </c>
      <c r="AN15" s="47">
        <f t="shared" si="10"/>
        <v>35986.291666666664</v>
      </c>
      <c r="AO15" s="47">
        <f t="shared" si="11"/>
        <v>35986.333333333336</v>
      </c>
      <c r="AP15" s="47">
        <f t="shared" si="12"/>
        <v>35986.375</v>
      </c>
      <c r="AQ15" s="47">
        <f t="shared" si="13"/>
        <v>35986.416666666664</v>
      </c>
      <c r="AR15" s="47">
        <f t="shared" si="14"/>
        <v>35986.458333333336</v>
      </c>
      <c r="AS15" s="47">
        <f t="shared" si="15"/>
        <v>35986.5</v>
      </c>
      <c r="AT15" s="47">
        <f t="shared" si="16"/>
        <v>35986.541666666664</v>
      </c>
      <c r="AU15" s="47">
        <f t="shared" si="17"/>
        <v>35986.583333333336</v>
      </c>
      <c r="AV15" s="47">
        <f t="shared" si="18"/>
        <v>35986.625</v>
      </c>
      <c r="AW15" s="47">
        <f t="shared" si="19"/>
        <v>35986.666666666664</v>
      </c>
      <c r="AX15" s="47">
        <f t="shared" si="20"/>
        <v>35986.708333333336</v>
      </c>
      <c r="AY15" s="47">
        <f t="shared" si="21"/>
        <v>35986.75</v>
      </c>
      <c r="AZ15" s="47">
        <f t="shared" si="22"/>
        <v>35986.791666666664</v>
      </c>
      <c r="BA15" s="47">
        <f t="shared" si="23"/>
        <v>35986.833333333336</v>
      </c>
      <c r="BB15" s="47">
        <f t="shared" si="24"/>
        <v>35986.875</v>
      </c>
      <c r="BC15" s="47">
        <f t="shared" si="25"/>
        <v>35986.916666666664</v>
      </c>
      <c r="BD15" s="47">
        <f t="shared" si="26"/>
        <v>35986.958333333336</v>
      </c>
      <c r="BF15" s="12">
        <f t="shared" si="27"/>
        <v>190</v>
      </c>
      <c r="BG15" s="12">
        <f t="shared" si="28"/>
        <v>8.4931506849315067E-2</v>
      </c>
    </row>
    <row r="16" spans="1:59">
      <c r="C16" s="75">
        <v>7</v>
      </c>
      <c r="D16" s="73">
        <v>35803</v>
      </c>
      <c r="E16" s="73">
        <v>35803.041666666664</v>
      </c>
      <c r="F16" s="73">
        <v>35803.083333333336</v>
      </c>
      <c r="G16" s="73">
        <v>35803.125</v>
      </c>
      <c r="H16" s="73">
        <v>35803.166666666664</v>
      </c>
      <c r="I16" s="73">
        <v>35803.208333333336</v>
      </c>
      <c r="J16" s="73">
        <v>35803.25</v>
      </c>
      <c r="K16" s="73">
        <v>35803.291666666664</v>
      </c>
      <c r="L16" s="73">
        <v>35803.333333333336</v>
      </c>
      <c r="M16" s="73">
        <v>35803.375</v>
      </c>
      <c r="N16" s="73">
        <v>35803.416666666664</v>
      </c>
      <c r="O16" s="73">
        <v>35803.458333333336</v>
      </c>
      <c r="P16" s="73">
        <v>35803.5</v>
      </c>
      <c r="Q16" s="73">
        <v>35803.541666666664</v>
      </c>
      <c r="R16" s="73">
        <v>35803.583333333336</v>
      </c>
      <c r="S16" s="73">
        <v>35803.625</v>
      </c>
      <c r="T16" s="73">
        <v>35803.666666666664</v>
      </c>
      <c r="U16" s="73">
        <v>35803.708333333336</v>
      </c>
      <c r="V16" s="73">
        <v>35803.75</v>
      </c>
      <c r="W16" s="73">
        <v>35803.791666666664</v>
      </c>
      <c r="X16" s="73">
        <v>35803.833333333336</v>
      </c>
      <c r="Y16" s="73">
        <v>35803.875</v>
      </c>
      <c r="Z16" s="73">
        <v>35803.916666666664</v>
      </c>
      <c r="AA16" s="74">
        <v>35803.958333333336</v>
      </c>
      <c r="AC16" s="12">
        <f t="shared" si="2"/>
        <v>7</v>
      </c>
      <c r="AD16" s="98">
        <v>10</v>
      </c>
      <c r="AF16" s="12">
        <v>220</v>
      </c>
      <c r="AG16" s="47">
        <f t="shared" si="3"/>
        <v>36016</v>
      </c>
      <c r="AH16" s="47">
        <f t="shared" si="4"/>
        <v>36016.041666666664</v>
      </c>
      <c r="AI16" s="47">
        <f t="shared" si="5"/>
        <v>36016.083333333336</v>
      </c>
      <c r="AJ16" s="47">
        <f t="shared" si="6"/>
        <v>36016.125</v>
      </c>
      <c r="AK16" s="47">
        <f t="shared" si="7"/>
        <v>36016.166666666664</v>
      </c>
      <c r="AL16" s="47">
        <f t="shared" si="8"/>
        <v>36016.208333333336</v>
      </c>
      <c r="AM16" s="47">
        <f t="shared" si="9"/>
        <v>36016.25</v>
      </c>
      <c r="AN16" s="47">
        <f t="shared" si="10"/>
        <v>36016.291666666664</v>
      </c>
      <c r="AO16" s="47">
        <f t="shared" si="11"/>
        <v>36016.333333333336</v>
      </c>
      <c r="AP16" s="47">
        <f t="shared" si="12"/>
        <v>36016.375</v>
      </c>
      <c r="AQ16" s="47">
        <f t="shared" si="13"/>
        <v>36016.416666666664</v>
      </c>
      <c r="AR16" s="47">
        <f t="shared" si="14"/>
        <v>36016.458333333336</v>
      </c>
      <c r="AS16" s="47">
        <f t="shared" si="15"/>
        <v>36016.5</v>
      </c>
      <c r="AT16" s="47">
        <f t="shared" si="16"/>
        <v>36016.541666666664</v>
      </c>
      <c r="AU16" s="47">
        <f t="shared" si="17"/>
        <v>36016.583333333336</v>
      </c>
      <c r="AV16" s="47">
        <f t="shared" si="18"/>
        <v>36016.625</v>
      </c>
      <c r="AW16" s="47">
        <f t="shared" si="19"/>
        <v>36016.666666666664</v>
      </c>
      <c r="AX16" s="47">
        <f t="shared" si="20"/>
        <v>36016.708333333336</v>
      </c>
      <c r="AY16" s="47">
        <f t="shared" si="21"/>
        <v>36016.75</v>
      </c>
      <c r="AZ16" s="47">
        <f t="shared" si="22"/>
        <v>36016.791666666664</v>
      </c>
      <c r="BA16" s="47">
        <f t="shared" si="23"/>
        <v>36016.833333333336</v>
      </c>
      <c r="BB16" s="47">
        <f t="shared" si="24"/>
        <v>36016.875</v>
      </c>
      <c r="BC16" s="47">
        <f t="shared" si="25"/>
        <v>36016.916666666664</v>
      </c>
      <c r="BD16" s="47">
        <f t="shared" si="26"/>
        <v>36016.958333333336</v>
      </c>
      <c r="BF16" s="12">
        <f t="shared" si="27"/>
        <v>220</v>
      </c>
      <c r="BG16" s="12">
        <f t="shared" si="28"/>
        <v>8.4931506849315067E-2</v>
      </c>
    </row>
    <row r="17" spans="3:59">
      <c r="C17" s="75">
        <v>8</v>
      </c>
      <c r="D17" s="73">
        <v>35804</v>
      </c>
      <c r="E17" s="73">
        <v>35804.041666666664</v>
      </c>
      <c r="F17" s="73">
        <v>35804.083333333336</v>
      </c>
      <c r="G17" s="73">
        <v>35804.125</v>
      </c>
      <c r="H17" s="73">
        <v>35804.166666666664</v>
      </c>
      <c r="I17" s="73">
        <v>35804.208333333336</v>
      </c>
      <c r="J17" s="73">
        <v>35804.25</v>
      </c>
      <c r="K17" s="73">
        <v>35804.291666666664</v>
      </c>
      <c r="L17" s="73">
        <v>35804.333333333336</v>
      </c>
      <c r="M17" s="73">
        <v>35804.375</v>
      </c>
      <c r="N17" s="73">
        <v>35804.416666666664</v>
      </c>
      <c r="O17" s="73">
        <v>35804.458333333336</v>
      </c>
      <c r="P17" s="73">
        <v>35804.5</v>
      </c>
      <c r="Q17" s="73">
        <v>35804.541666666664</v>
      </c>
      <c r="R17" s="73">
        <v>35804.583333333336</v>
      </c>
      <c r="S17" s="73">
        <v>35804.625</v>
      </c>
      <c r="T17" s="73">
        <v>35804.666666666664</v>
      </c>
      <c r="U17" s="73">
        <v>35804.708333333336</v>
      </c>
      <c r="V17" s="73">
        <v>35804.75</v>
      </c>
      <c r="W17" s="73">
        <v>35804.791666666664</v>
      </c>
      <c r="X17" s="73">
        <v>35804.833333333336</v>
      </c>
      <c r="Y17" s="73">
        <v>35804.875</v>
      </c>
      <c r="Z17" s="73">
        <v>35804.916666666664</v>
      </c>
      <c r="AA17" s="74">
        <v>35804.958333333336</v>
      </c>
      <c r="AC17" s="12">
        <f t="shared" si="2"/>
        <v>8</v>
      </c>
      <c r="AD17" s="98">
        <v>10</v>
      </c>
      <c r="AF17" s="12">
        <v>250</v>
      </c>
      <c r="AG17" s="47">
        <f t="shared" si="3"/>
        <v>36046</v>
      </c>
      <c r="AH17" s="47">
        <f t="shared" si="4"/>
        <v>36046.041666666664</v>
      </c>
      <c r="AI17" s="47">
        <f t="shared" si="5"/>
        <v>36046.083333333336</v>
      </c>
      <c r="AJ17" s="47">
        <f t="shared" si="6"/>
        <v>36046.125</v>
      </c>
      <c r="AK17" s="47">
        <f t="shared" si="7"/>
        <v>36046.166666666664</v>
      </c>
      <c r="AL17" s="47">
        <f t="shared" si="8"/>
        <v>36046.208333333336</v>
      </c>
      <c r="AM17" s="47">
        <f t="shared" si="9"/>
        <v>36046.25</v>
      </c>
      <c r="AN17" s="47">
        <f t="shared" si="10"/>
        <v>36046.291666666664</v>
      </c>
      <c r="AO17" s="47">
        <f t="shared" si="11"/>
        <v>36046.333333333336</v>
      </c>
      <c r="AP17" s="47">
        <f t="shared" si="12"/>
        <v>36046.375</v>
      </c>
      <c r="AQ17" s="47">
        <f t="shared" si="13"/>
        <v>36046.416666666664</v>
      </c>
      <c r="AR17" s="47">
        <f t="shared" si="14"/>
        <v>36046.458333333336</v>
      </c>
      <c r="AS17" s="47">
        <f t="shared" si="15"/>
        <v>36046.5</v>
      </c>
      <c r="AT17" s="47">
        <f t="shared" si="16"/>
        <v>36046.541666666664</v>
      </c>
      <c r="AU17" s="47">
        <f t="shared" si="17"/>
        <v>36046.583333333336</v>
      </c>
      <c r="AV17" s="47">
        <f t="shared" si="18"/>
        <v>36046.625</v>
      </c>
      <c r="AW17" s="47">
        <f t="shared" si="19"/>
        <v>36046.666666666664</v>
      </c>
      <c r="AX17" s="47">
        <f t="shared" si="20"/>
        <v>36046.708333333336</v>
      </c>
      <c r="AY17" s="47">
        <f t="shared" si="21"/>
        <v>36046.75</v>
      </c>
      <c r="AZ17" s="47">
        <f t="shared" si="22"/>
        <v>36046.791666666664</v>
      </c>
      <c r="BA17" s="47">
        <f t="shared" si="23"/>
        <v>36046.833333333336</v>
      </c>
      <c r="BB17" s="47">
        <f t="shared" si="24"/>
        <v>36046.875</v>
      </c>
      <c r="BC17" s="47">
        <f t="shared" si="25"/>
        <v>36046.916666666664</v>
      </c>
      <c r="BD17" s="47">
        <f t="shared" si="26"/>
        <v>36046.958333333336</v>
      </c>
      <c r="BF17" s="12">
        <f t="shared" si="27"/>
        <v>250</v>
      </c>
      <c r="BG17" s="12">
        <f t="shared" si="28"/>
        <v>8.2191780821917804E-2</v>
      </c>
    </row>
    <row r="18" spans="3:59">
      <c r="C18" s="75">
        <v>9</v>
      </c>
      <c r="D18" s="73">
        <v>35805</v>
      </c>
      <c r="E18" s="73">
        <v>35805.041666666664</v>
      </c>
      <c r="F18" s="73">
        <v>35805.083333333336</v>
      </c>
      <c r="G18" s="73">
        <v>35805.125</v>
      </c>
      <c r="H18" s="73">
        <v>35805.166666666664</v>
      </c>
      <c r="I18" s="73">
        <v>35805.208333333336</v>
      </c>
      <c r="J18" s="73">
        <v>35805.25</v>
      </c>
      <c r="K18" s="73">
        <v>35805.291666666664</v>
      </c>
      <c r="L18" s="73">
        <v>35805.333333333336</v>
      </c>
      <c r="M18" s="73">
        <v>35805.375</v>
      </c>
      <c r="N18" s="73">
        <v>35805.416666666664</v>
      </c>
      <c r="O18" s="73">
        <v>35805.458333333336</v>
      </c>
      <c r="P18" s="73">
        <v>35805.5</v>
      </c>
      <c r="Q18" s="73">
        <v>35805.541666666664</v>
      </c>
      <c r="R18" s="73">
        <v>35805.583333333336</v>
      </c>
      <c r="S18" s="73">
        <v>35805.625</v>
      </c>
      <c r="T18" s="73">
        <v>35805.666666666664</v>
      </c>
      <c r="U18" s="73">
        <v>35805.708333333336</v>
      </c>
      <c r="V18" s="73">
        <v>35805.75</v>
      </c>
      <c r="W18" s="73">
        <v>35805.791666666664</v>
      </c>
      <c r="X18" s="73">
        <v>35805.833333333336</v>
      </c>
      <c r="Y18" s="73">
        <v>35805.875</v>
      </c>
      <c r="Z18" s="73">
        <v>35805.916666666664</v>
      </c>
      <c r="AA18" s="74">
        <v>35805.958333333336</v>
      </c>
      <c r="AC18" s="12">
        <f t="shared" si="2"/>
        <v>9</v>
      </c>
      <c r="AD18" s="98">
        <v>10</v>
      </c>
      <c r="AF18" s="12">
        <v>280</v>
      </c>
      <c r="AG18" s="47">
        <f t="shared" si="3"/>
        <v>36076</v>
      </c>
      <c r="AH18" s="47">
        <f t="shared" si="4"/>
        <v>36076.041666666664</v>
      </c>
      <c r="AI18" s="47">
        <f t="shared" si="5"/>
        <v>36076.083333333336</v>
      </c>
      <c r="AJ18" s="47">
        <f t="shared" si="6"/>
        <v>36076.125</v>
      </c>
      <c r="AK18" s="47">
        <f t="shared" si="7"/>
        <v>36076.166666666664</v>
      </c>
      <c r="AL18" s="47">
        <f t="shared" si="8"/>
        <v>36076.208333333336</v>
      </c>
      <c r="AM18" s="47">
        <f t="shared" si="9"/>
        <v>36076.25</v>
      </c>
      <c r="AN18" s="47">
        <f t="shared" si="10"/>
        <v>36076.291666666664</v>
      </c>
      <c r="AO18" s="47">
        <f t="shared" si="11"/>
        <v>36076.333333333336</v>
      </c>
      <c r="AP18" s="47">
        <f t="shared" si="12"/>
        <v>36076.375</v>
      </c>
      <c r="AQ18" s="47">
        <f t="shared" si="13"/>
        <v>36076.416666666664</v>
      </c>
      <c r="AR18" s="47">
        <f t="shared" si="14"/>
        <v>36076.458333333336</v>
      </c>
      <c r="AS18" s="47">
        <f t="shared" si="15"/>
        <v>36076.5</v>
      </c>
      <c r="AT18" s="47">
        <f t="shared" si="16"/>
        <v>36076.541666666664</v>
      </c>
      <c r="AU18" s="47">
        <f t="shared" si="17"/>
        <v>36076.583333333336</v>
      </c>
      <c r="AV18" s="47">
        <f t="shared" si="18"/>
        <v>36076.625</v>
      </c>
      <c r="AW18" s="47">
        <f t="shared" si="19"/>
        <v>36076.666666666664</v>
      </c>
      <c r="AX18" s="47">
        <f t="shared" si="20"/>
        <v>36076.708333333336</v>
      </c>
      <c r="AY18" s="47">
        <f t="shared" si="21"/>
        <v>36076.75</v>
      </c>
      <c r="AZ18" s="47">
        <f t="shared" si="22"/>
        <v>36076.791666666664</v>
      </c>
      <c r="BA18" s="47">
        <f t="shared" si="23"/>
        <v>36076.833333333336</v>
      </c>
      <c r="BB18" s="47">
        <f t="shared" si="24"/>
        <v>36076.875</v>
      </c>
      <c r="BC18" s="47">
        <f t="shared" si="25"/>
        <v>36076.916666666664</v>
      </c>
      <c r="BD18" s="47">
        <f t="shared" si="26"/>
        <v>36076.958333333336</v>
      </c>
      <c r="BF18" s="12">
        <f t="shared" si="27"/>
        <v>280</v>
      </c>
      <c r="BG18" s="12">
        <f t="shared" si="28"/>
        <v>8.4931506849315067E-2</v>
      </c>
    </row>
    <row r="19" spans="3:59">
      <c r="C19" s="75">
        <v>10</v>
      </c>
      <c r="D19" s="73">
        <v>35806</v>
      </c>
      <c r="E19" s="73">
        <v>35806.041666666664</v>
      </c>
      <c r="F19" s="73">
        <v>35806.083333333336</v>
      </c>
      <c r="G19" s="73">
        <v>35806.125</v>
      </c>
      <c r="H19" s="73">
        <v>35806.166666666664</v>
      </c>
      <c r="I19" s="73">
        <v>35806.208333333336</v>
      </c>
      <c r="J19" s="73">
        <v>35806.25</v>
      </c>
      <c r="K19" s="73">
        <v>35806.291666666664</v>
      </c>
      <c r="L19" s="73">
        <v>35806.333333333336</v>
      </c>
      <c r="M19" s="73">
        <v>35806.375</v>
      </c>
      <c r="N19" s="73">
        <v>35806.416666666664</v>
      </c>
      <c r="O19" s="73">
        <v>35806.458333333336</v>
      </c>
      <c r="P19" s="73">
        <v>35806.5</v>
      </c>
      <c r="Q19" s="73">
        <v>35806.541666666664</v>
      </c>
      <c r="R19" s="73">
        <v>35806.583333333336</v>
      </c>
      <c r="S19" s="73">
        <v>35806.625</v>
      </c>
      <c r="T19" s="73">
        <v>35806.666666666664</v>
      </c>
      <c r="U19" s="73">
        <v>35806.708333333336</v>
      </c>
      <c r="V19" s="73">
        <v>35806.75</v>
      </c>
      <c r="W19" s="73">
        <v>35806.791666666664</v>
      </c>
      <c r="X19" s="73">
        <v>35806.833333333336</v>
      </c>
      <c r="Y19" s="73">
        <v>35806.875</v>
      </c>
      <c r="Z19" s="73">
        <v>35806.916666666664</v>
      </c>
      <c r="AA19" s="74">
        <v>35806.958333333336</v>
      </c>
      <c r="AC19" s="12">
        <f t="shared" si="2"/>
        <v>10</v>
      </c>
      <c r="AD19" s="98">
        <v>10</v>
      </c>
      <c r="AF19" s="12">
        <v>310</v>
      </c>
      <c r="AG19" s="47">
        <f t="shared" si="3"/>
        <v>36106</v>
      </c>
      <c r="AH19" s="47">
        <f t="shared" si="4"/>
        <v>36106.041666666664</v>
      </c>
      <c r="AI19" s="47">
        <f t="shared" si="5"/>
        <v>36106.083333333336</v>
      </c>
      <c r="AJ19" s="47">
        <f t="shared" si="6"/>
        <v>36106.125</v>
      </c>
      <c r="AK19" s="47">
        <f t="shared" si="7"/>
        <v>36106.166666666664</v>
      </c>
      <c r="AL19" s="47">
        <f t="shared" si="8"/>
        <v>36106.208333333336</v>
      </c>
      <c r="AM19" s="47">
        <f t="shared" si="9"/>
        <v>36106.25</v>
      </c>
      <c r="AN19" s="47">
        <f t="shared" si="10"/>
        <v>36106.291666666664</v>
      </c>
      <c r="AO19" s="47">
        <f t="shared" si="11"/>
        <v>36106.333333333336</v>
      </c>
      <c r="AP19" s="47">
        <f t="shared" si="12"/>
        <v>36106.375</v>
      </c>
      <c r="AQ19" s="47">
        <f t="shared" si="13"/>
        <v>36106.416666666664</v>
      </c>
      <c r="AR19" s="47">
        <f t="shared" si="14"/>
        <v>36106.458333333336</v>
      </c>
      <c r="AS19" s="47">
        <f t="shared" si="15"/>
        <v>36106.5</v>
      </c>
      <c r="AT19" s="47">
        <f t="shared" si="16"/>
        <v>36106.541666666664</v>
      </c>
      <c r="AU19" s="47">
        <f t="shared" si="17"/>
        <v>36106.583333333336</v>
      </c>
      <c r="AV19" s="47">
        <f t="shared" si="18"/>
        <v>36106.625</v>
      </c>
      <c r="AW19" s="47">
        <f t="shared" si="19"/>
        <v>36106.666666666664</v>
      </c>
      <c r="AX19" s="47">
        <f t="shared" si="20"/>
        <v>36106.708333333336</v>
      </c>
      <c r="AY19" s="47">
        <f t="shared" si="21"/>
        <v>36106.75</v>
      </c>
      <c r="AZ19" s="47">
        <f t="shared" si="22"/>
        <v>36106.791666666664</v>
      </c>
      <c r="BA19" s="47">
        <f t="shared" si="23"/>
        <v>36106.833333333336</v>
      </c>
      <c r="BB19" s="47">
        <f t="shared" si="24"/>
        <v>36106.875</v>
      </c>
      <c r="BC19" s="47">
        <f t="shared" si="25"/>
        <v>36106.916666666664</v>
      </c>
      <c r="BD19" s="47">
        <f t="shared" si="26"/>
        <v>36106.958333333336</v>
      </c>
      <c r="BF19" s="12">
        <f t="shared" si="27"/>
        <v>310</v>
      </c>
      <c r="BG19" s="12">
        <f t="shared" si="28"/>
        <v>8.2191780821917804E-2</v>
      </c>
    </row>
    <row r="20" spans="3:59">
      <c r="C20" s="75">
        <v>11</v>
      </c>
      <c r="D20" s="73">
        <v>35807</v>
      </c>
      <c r="E20" s="73">
        <v>35807.041666666664</v>
      </c>
      <c r="F20" s="73">
        <v>35807.083333333336</v>
      </c>
      <c r="G20" s="73">
        <v>35807.125</v>
      </c>
      <c r="H20" s="73">
        <v>35807.166666666664</v>
      </c>
      <c r="I20" s="73">
        <v>35807.208333333336</v>
      </c>
      <c r="J20" s="73">
        <v>35807.25</v>
      </c>
      <c r="K20" s="73">
        <v>35807.291666666664</v>
      </c>
      <c r="L20" s="73">
        <v>35807.333333333336</v>
      </c>
      <c r="M20" s="73">
        <v>35807.375</v>
      </c>
      <c r="N20" s="73">
        <v>35807.416666666664</v>
      </c>
      <c r="O20" s="73">
        <v>35807.458333333336</v>
      </c>
      <c r="P20" s="73">
        <v>35807.5</v>
      </c>
      <c r="Q20" s="73">
        <v>35807.541666666664</v>
      </c>
      <c r="R20" s="73">
        <v>35807.583333333336</v>
      </c>
      <c r="S20" s="73">
        <v>35807.625</v>
      </c>
      <c r="T20" s="73">
        <v>35807.666666666664</v>
      </c>
      <c r="U20" s="73">
        <v>35807.708333333336</v>
      </c>
      <c r="V20" s="73">
        <v>35807.75</v>
      </c>
      <c r="W20" s="73">
        <v>35807.791666666664</v>
      </c>
      <c r="X20" s="73">
        <v>35807.833333333336</v>
      </c>
      <c r="Y20" s="73">
        <v>35807.875</v>
      </c>
      <c r="Z20" s="73">
        <v>35807.916666666664</v>
      </c>
      <c r="AA20" s="74">
        <v>35807.958333333336</v>
      </c>
      <c r="AC20" s="12">
        <f t="shared" si="2"/>
        <v>11</v>
      </c>
      <c r="AD20" s="98">
        <v>10</v>
      </c>
      <c r="AF20" s="12">
        <v>340</v>
      </c>
      <c r="AG20" s="47">
        <f t="shared" si="3"/>
        <v>36136</v>
      </c>
      <c r="AH20" s="47">
        <f t="shared" si="4"/>
        <v>36136.041666666664</v>
      </c>
      <c r="AI20" s="47">
        <f t="shared" si="5"/>
        <v>36136.083333333336</v>
      </c>
      <c r="AJ20" s="47">
        <f t="shared" si="6"/>
        <v>36136.125</v>
      </c>
      <c r="AK20" s="47">
        <f t="shared" si="7"/>
        <v>36136.166666666664</v>
      </c>
      <c r="AL20" s="47">
        <f t="shared" si="8"/>
        <v>36136.208333333336</v>
      </c>
      <c r="AM20" s="47">
        <f t="shared" si="9"/>
        <v>36136.25</v>
      </c>
      <c r="AN20" s="47">
        <f t="shared" si="10"/>
        <v>36136.291666666664</v>
      </c>
      <c r="AO20" s="47">
        <f t="shared" si="11"/>
        <v>36136.333333333336</v>
      </c>
      <c r="AP20" s="47">
        <f t="shared" si="12"/>
        <v>36136.375</v>
      </c>
      <c r="AQ20" s="47">
        <f t="shared" si="13"/>
        <v>36136.416666666664</v>
      </c>
      <c r="AR20" s="47">
        <f t="shared" si="14"/>
        <v>36136.458333333336</v>
      </c>
      <c r="AS20" s="47">
        <f t="shared" si="15"/>
        <v>36136.5</v>
      </c>
      <c r="AT20" s="47">
        <f t="shared" si="16"/>
        <v>36136.541666666664</v>
      </c>
      <c r="AU20" s="47">
        <f t="shared" si="17"/>
        <v>36136.583333333336</v>
      </c>
      <c r="AV20" s="47">
        <f t="shared" si="18"/>
        <v>36136.625</v>
      </c>
      <c r="AW20" s="47">
        <f t="shared" si="19"/>
        <v>36136.666666666664</v>
      </c>
      <c r="AX20" s="47">
        <f t="shared" si="20"/>
        <v>36136.708333333336</v>
      </c>
      <c r="AY20" s="47">
        <f t="shared" si="21"/>
        <v>36136.75</v>
      </c>
      <c r="AZ20" s="47">
        <f t="shared" si="22"/>
        <v>36136.791666666664</v>
      </c>
      <c r="BA20" s="47">
        <f t="shared" si="23"/>
        <v>36136.833333333336</v>
      </c>
      <c r="BB20" s="47">
        <f t="shared" si="24"/>
        <v>36136.875</v>
      </c>
      <c r="BC20" s="47">
        <f t="shared" si="25"/>
        <v>36136.916666666664</v>
      </c>
      <c r="BD20" s="47">
        <f t="shared" si="26"/>
        <v>36136.958333333336</v>
      </c>
      <c r="BF20" s="12">
        <f t="shared" si="27"/>
        <v>340</v>
      </c>
      <c r="BG20" s="12">
        <f t="shared" si="28"/>
        <v>8.4931506849315067E-2</v>
      </c>
    </row>
    <row r="21" spans="3:59">
      <c r="C21" s="75">
        <v>12</v>
      </c>
      <c r="D21" s="73">
        <v>35808</v>
      </c>
      <c r="E21" s="73">
        <v>35808.041666666664</v>
      </c>
      <c r="F21" s="73">
        <v>35808.083333333336</v>
      </c>
      <c r="G21" s="73">
        <v>35808.125</v>
      </c>
      <c r="H21" s="73">
        <v>35808.166666666664</v>
      </c>
      <c r="I21" s="73">
        <v>35808.208333333336</v>
      </c>
      <c r="J21" s="73">
        <v>35808.25</v>
      </c>
      <c r="K21" s="73">
        <v>35808.291666666664</v>
      </c>
      <c r="L21" s="73">
        <v>35808.333333333336</v>
      </c>
      <c r="M21" s="73">
        <v>35808.375</v>
      </c>
      <c r="N21" s="73">
        <v>35808.416666666664</v>
      </c>
      <c r="O21" s="73">
        <v>35808.458333333336</v>
      </c>
      <c r="P21" s="73">
        <v>35808.5</v>
      </c>
      <c r="Q21" s="73">
        <v>35808.541666666664</v>
      </c>
      <c r="R21" s="73">
        <v>35808.583333333336</v>
      </c>
      <c r="S21" s="73">
        <v>35808.625</v>
      </c>
      <c r="T21" s="73">
        <v>35808.666666666664</v>
      </c>
      <c r="U21" s="73">
        <v>35808.708333333336</v>
      </c>
      <c r="V21" s="73">
        <v>35808.75</v>
      </c>
      <c r="W21" s="73">
        <v>35808.791666666664</v>
      </c>
      <c r="X21" s="73">
        <v>35808.833333333336</v>
      </c>
      <c r="Y21" s="73">
        <v>35808.875</v>
      </c>
      <c r="Z21" s="73">
        <v>35808.916666666664</v>
      </c>
      <c r="AA21" s="74">
        <v>35808.958333333336</v>
      </c>
      <c r="AC21" s="12">
        <f t="shared" si="2"/>
        <v>12</v>
      </c>
      <c r="AD21" s="98">
        <v>10</v>
      </c>
      <c r="AF21" s="12"/>
      <c r="AG21" s="47" t="str">
        <f t="shared" si="3"/>
        <v/>
      </c>
      <c r="AH21" s="47" t="str">
        <f t="shared" si="4"/>
        <v/>
      </c>
      <c r="AI21" s="47" t="str">
        <f t="shared" si="5"/>
        <v/>
      </c>
      <c r="AJ21" s="47" t="str">
        <f t="shared" si="6"/>
        <v/>
      </c>
      <c r="AK21" s="47" t="str">
        <f t="shared" si="7"/>
        <v/>
      </c>
      <c r="AL21" s="47" t="str">
        <f t="shared" si="8"/>
        <v/>
      </c>
      <c r="AM21" s="47" t="str">
        <f t="shared" si="9"/>
        <v/>
      </c>
      <c r="AN21" s="47" t="str">
        <f t="shared" si="10"/>
        <v/>
      </c>
      <c r="AO21" s="47" t="str">
        <f t="shared" si="11"/>
        <v/>
      </c>
      <c r="AP21" s="47" t="str">
        <f t="shared" si="12"/>
        <v/>
      </c>
      <c r="AQ21" s="47" t="str">
        <f t="shared" si="13"/>
        <v/>
      </c>
      <c r="AR21" s="47" t="str">
        <f t="shared" si="14"/>
        <v/>
      </c>
      <c r="AS21" s="47" t="str">
        <f t="shared" si="15"/>
        <v/>
      </c>
      <c r="AT21" s="47" t="str">
        <f t="shared" si="16"/>
        <v/>
      </c>
      <c r="AU21" s="47" t="str">
        <f t="shared" si="17"/>
        <v/>
      </c>
      <c r="AV21" s="47" t="str">
        <f t="shared" si="18"/>
        <v/>
      </c>
      <c r="AW21" s="47" t="str">
        <f t="shared" si="19"/>
        <v/>
      </c>
      <c r="AX21" s="47" t="str">
        <f t="shared" si="20"/>
        <v/>
      </c>
      <c r="AY21" s="47" t="str">
        <f t="shared" si="21"/>
        <v/>
      </c>
      <c r="AZ21" s="47" t="str">
        <f t="shared" si="22"/>
        <v/>
      </c>
      <c r="BA21" s="47" t="str">
        <f t="shared" si="23"/>
        <v/>
      </c>
      <c r="BB21" s="47" t="str">
        <f t="shared" si="24"/>
        <v/>
      </c>
      <c r="BC21" s="47" t="str">
        <f t="shared" si="25"/>
        <v/>
      </c>
      <c r="BD21" s="47" t="str">
        <f t="shared" si="26"/>
        <v/>
      </c>
      <c r="BF21" s="12" t="str">
        <f t="shared" si="27"/>
        <v/>
      </c>
      <c r="BG21" s="12" t="str">
        <f t="shared" si="28"/>
        <v/>
      </c>
    </row>
    <row r="22" spans="3:59">
      <c r="C22" s="75">
        <v>13</v>
      </c>
      <c r="D22" s="73">
        <v>35809</v>
      </c>
      <c r="E22" s="73">
        <v>35809.041666666664</v>
      </c>
      <c r="F22" s="73">
        <v>35809.083333333336</v>
      </c>
      <c r="G22" s="73">
        <v>35809.125</v>
      </c>
      <c r="H22" s="73">
        <v>35809.166666666664</v>
      </c>
      <c r="I22" s="73">
        <v>35809.208333333336</v>
      </c>
      <c r="J22" s="73">
        <v>35809.25</v>
      </c>
      <c r="K22" s="73">
        <v>35809.291666666664</v>
      </c>
      <c r="L22" s="73">
        <v>35809.333333333336</v>
      </c>
      <c r="M22" s="73">
        <v>35809.375</v>
      </c>
      <c r="N22" s="73">
        <v>35809.416666666664</v>
      </c>
      <c r="O22" s="73">
        <v>35809.458333333336</v>
      </c>
      <c r="P22" s="73">
        <v>35809.5</v>
      </c>
      <c r="Q22" s="73">
        <v>35809.541666666664</v>
      </c>
      <c r="R22" s="73">
        <v>35809.583333333336</v>
      </c>
      <c r="S22" s="73">
        <v>35809.625</v>
      </c>
      <c r="T22" s="73">
        <v>35809.666666666664</v>
      </c>
      <c r="U22" s="73">
        <v>35809.708333333336</v>
      </c>
      <c r="V22" s="73">
        <v>35809.75</v>
      </c>
      <c r="W22" s="73">
        <v>35809.791666666664</v>
      </c>
      <c r="X22" s="73">
        <v>35809.833333333336</v>
      </c>
      <c r="Y22" s="73">
        <v>35809.875</v>
      </c>
      <c r="Z22" s="73">
        <v>35809.916666666664</v>
      </c>
      <c r="AA22" s="74">
        <v>35809.958333333336</v>
      </c>
      <c r="AC22" s="12">
        <f t="shared" si="2"/>
        <v>13</v>
      </c>
      <c r="AD22" s="98">
        <v>10</v>
      </c>
      <c r="AF22" s="12"/>
      <c r="AG22" s="47" t="str">
        <f t="shared" si="3"/>
        <v/>
      </c>
      <c r="AH22" s="47" t="str">
        <f t="shared" si="4"/>
        <v/>
      </c>
      <c r="AI22" s="47" t="str">
        <f t="shared" si="5"/>
        <v/>
      </c>
      <c r="AJ22" s="47" t="str">
        <f t="shared" si="6"/>
        <v/>
      </c>
      <c r="AK22" s="47" t="str">
        <f t="shared" si="7"/>
        <v/>
      </c>
      <c r="AL22" s="47" t="str">
        <f t="shared" si="8"/>
        <v/>
      </c>
      <c r="AM22" s="47" t="str">
        <f t="shared" si="9"/>
        <v/>
      </c>
      <c r="AN22" s="47" t="str">
        <f t="shared" si="10"/>
        <v/>
      </c>
      <c r="AO22" s="47" t="str">
        <f t="shared" si="11"/>
        <v/>
      </c>
      <c r="AP22" s="47" t="str">
        <f t="shared" si="12"/>
        <v/>
      </c>
      <c r="AQ22" s="47" t="str">
        <f t="shared" si="13"/>
        <v/>
      </c>
      <c r="AR22" s="47" t="str">
        <f t="shared" si="14"/>
        <v/>
      </c>
      <c r="AS22" s="47" t="str">
        <f t="shared" si="15"/>
        <v/>
      </c>
      <c r="AT22" s="47" t="str">
        <f t="shared" si="16"/>
        <v/>
      </c>
      <c r="AU22" s="47" t="str">
        <f t="shared" si="17"/>
        <v/>
      </c>
      <c r="AV22" s="47" t="str">
        <f t="shared" si="18"/>
        <v/>
      </c>
      <c r="AW22" s="47" t="str">
        <f t="shared" si="19"/>
        <v/>
      </c>
      <c r="AX22" s="47" t="str">
        <f t="shared" si="20"/>
        <v/>
      </c>
      <c r="AY22" s="47" t="str">
        <f t="shared" si="21"/>
        <v/>
      </c>
      <c r="AZ22" s="47" t="str">
        <f t="shared" si="22"/>
        <v/>
      </c>
      <c r="BA22" s="47" t="str">
        <f t="shared" si="23"/>
        <v/>
      </c>
      <c r="BB22" s="47" t="str">
        <f t="shared" si="24"/>
        <v/>
      </c>
      <c r="BC22" s="47" t="str">
        <f t="shared" si="25"/>
        <v/>
      </c>
      <c r="BD22" s="47" t="str">
        <f t="shared" si="26"/>
        <v/>
      </c>
      <c r="BF22" s="12" t="str">
        <f t="shared" si="27"/>
        <v/>
      </c>
      <c r="BG22" s="12" t="str">
        <f t="shared" si="28"/>
        <v/>
      </c>
    </row>
    <row r="23" spans="3:59">
      <c r="C23" s="75">
        <v>14</v>
      </c>
      <c r="D23" s="73">
        <v>35810</v>
      </c>
      <c r="E23" s="73">
        <v>35810.041666666664</v>
      </c>
      <c r="F23" s="73">
        <v>35810.083333333336</v>
      </c>
      <c r="G23" s="73">
        <v>35810.125</v>
      </c>
      <c r="H23" s="73">
        <v>35810.166666666664</v>
      </c>
      <c r="I23" s="73">
        <v>35810.208333333336</v>
      </c>
      <c r="J23" s="73">
        <v>35810.25</v>
      </c>
      <c r="K23" s="73">
        <v>35810.291666666664</v>
      </c>
      <c r="L23" s="73">
        <v>35810.333333333336</v>
      </c>
      <c r="M23" s="73">
        <v>35810.375</v>
      </c>
      <c r="N23" s="73">
        <v>35810.416666666664</v>
      </c>
      <c r="O23" s="73">
        <v>35810.458333333336</v>
      </c>
      <c r="P23" s="73">
        <v>35810.5</v>
      </c>
      <c r="Q23" s="73">
        <v>35810.541666666664</v>
      </c>
      <c r="R23" s="73">
        <v>35810.583333333336</v>
      </c>
      <c r="S23" s="73">
        <v>35810.625</v>
      </c>
      <c r="T23" s="73">
        <v>35810.666666666664</v>
      </c>
      <c r="U23" s="73">
        <v>35810.708333333336</v>
      </c>
      <c r="V23" s="73">
        <v>35810.75</v>
      </c>
      <c r="W23" s="73">
        <v>35810.791666666664</v>
      </c>
      <c r="X23" s="73">
        <v>35810.833333333336</v>
      </c>
      <c r="Y23" s="73">
        <v>35810.875</v>
      </c>
      <c r="Z23" s="73">
        <v>35810.916666666664</v>
      </c>
      <c r="AA23" s="74">
        <v>35810.958333333336</v>
      </c>
      <c r="AC23" s="12">
        <f t="shared" si="2"/>
        <v>14</v>
      </c>
      <c r="AD23" s="98">
        <v>10</v>
      </c>
      <c r="AF23" s="12"/>
      <c r="AG23" s="47" t="str">
        <f t="shared" si="3"/>
        <v/>
      </c>
      <c r="AH23" s="47" t="str">
        <f t="shared" si="4"/>
        <v/>
      </c>
      <c r="AI23" s="47" t="str">
        <f t="shared" si="5"/>
        <v/>
      </c>
      <c r="AJ23" s="47" t="str">
        <f t="shared" si="6"/>
        <v/>
      </c>
      <c r="AK23" s="47" t="str">
        <f t="shared" si="7"/>
        <v/>
      </c>
      <c r="AL23" s="47" t="str">
        <f t="shared" si="8"/>
        <v/>
      </c>
      <c r="AM23" s="47" t="str">
        <f t="shared" si="9"/>
        <v/>
      </c>
      <c r="AN23" s="47" t="str">
        <f t="shared" si="10"/>
        <v/>
      </c>
      <c r="AO23" s="47" t="str">
        <f t="shared" si="11"/>
        <v/>
      </c>
      <c r="AP23" s="47" t="str">
        <f t="shared" si="12"/>
        <v/>
      </c>
      <c r="AQ23" s="47" t="str">
        <f t="shared" si="13"/>
        <v/>
      </c>
      <c r="AR23" s="47" t="str">
        <f t="shared" si="14"/>
        <v/>
      </c>
      <c r="AS23" s="47" t="str">
        <f t="shared" si="15"/>
        <v/>
      </c>
      <c r="AT23" s="47" t="str">
        <f t="shared" si="16"/>
        <v/>
      </c>
      <c r="AU23" s="47" t="str">
        <f t="shared" si="17"/>
        <v/>
      </c>
      <c r="AV23" s="47" t="str">
        <f t="shared" si="18"/>
        <v/>
      </c>
      <c r="AW23" s="47" t="str">
        <f t="shared" si="19"/>
        <v/>
      </c>
      <c r="AX23" s="47" t="str">
        <f t="shared" si="20"/>
        <v/>
      </c>
      <c r="AY23" s="47" t="str">
        <f t="shared" si="21"/>
        <v/>
      </c>
      <c r="AZ23" s="47" t="str">
        <f t="shared" si="22"/>
        <v/>
      </c>
      <c r="BA23" s="47" t="str">
        <f t="shared" si="23"/>
        <v/>
      </c>
      <c r="BB23" s="47" t="str">
        <f t="shared" si="24"/>
        <v/>
      </c>
      <c r="BC23" s="47" t="str">
        <f t="shared" si="25"/>
        <v/>
      </c>
      <c r="BD23" s="47" t="str">
        <f t="shared" si="26"/>
        <v/>
      </c>
      <c r="BF23" s="12" t="str">
        <f t="shared" si="27"/>
        <v/>
      </c>
      <c r="BG23" s="12" t="str">
        <f t="shared" si="28"/>
        <v/>
      </c>
    </row>
    <row r="24" spans="3:59">
      <c r="C24" s="75">
        <v>15</v>
      </c>
      <c r="D24" s="73">
        <v>35811</v>
      </c>
      <c r="E24" s="73">
        <v>35811.041666666664</v>
      </c>
      <c r="F24" s="73">
        <v>35811.083333333336</v>
      </c>
      <c r="G24" s="73">
        <v>35811.125</v>
      </c>
      <c r="H24" s="73">
        <v>35811.166666666664</v>
      </c>
      <c r="I24" s="73">
        <v>35811.208333333336</v>
      </c>
      <c r="J24" s="73">
        <v>35811.25</v>
      </c>
      <c r="K24" s="73">
        <v>35811.291666666664</v>
      </c>
      <c r="L24" s="73">
        <v>35811.333333333336</v>
      </c>
      <c r="M24" s="73">
        <v>35811.375</v>
      </c>
      <c r="N24" s="73">
        <v>35811.416666666664</v>
      </c>
      <c r="O24" s="73">
        <v>35811.458333333336</v>
      </c>
      <c r="P24" s="73">
        <v>35811.5</v>
      </c>
      <c r="Q24" s="73">
        <v>35811.541666666664</v>
      </c>
      <c r="R24" s="73">
        <v>35811.583333333336</v>
      </c>
      <c r="S24" s="73">
        <v>35811.625</v>
      </c>
      <c r="T24" s="73">
        <v>35811.666666666664</v>
      </c>
      <c r="U24" s="73">
        <v>35811.708333333336</v>
      </c>
      <c r="V24" s="73">
        <v>35811.75</v>
      </c>
      <c r="W24" s="73">
        <v>35811.791666666664</v>
      </c>
      <c r="X24" s="73">
        <v>35811.833333333336</v>
      </c>
      <c r="Y24" s="73">
        <v>35811.875</v>
      </c>
      <c r="Z24" s="73">
        <v>35811.916666666664</v>
      </c>
      <c r="AA24" s="74">
        <v>35811.958333333336</v>
      </c>
      <c r="AC24" s="12">
        <f t="shared" si="2"/>
        <v>15</v>
      </c>
      <c r="AD24" s="98">
        <v>10</v>
      </c>
      <c r="AF24" s="12"/>
      <c r="AG24" s="47" t="str">
        <f t="shared" si="3"/>
        <v/>
      </c>
      <c r="AH24" s="47" t="str">
        <f t="shared" si="4"/>
        <v/>
      </c>
      <c r="AI24" s="47" t="str">
        <f t="shared" si="5"/>
        <v/>
      </c>
      <c r="AJ24" s="47" t="str">
        <f t="shared" si="6"/>
        <v/>
      </c>
      <c r="AK24" s="47" t="str">
        <f t="shared" si="7"/>
        <v/>
      </c>
      <c r="AL24" s="47" t="str">
        <f t="shared" si="8"/>
        <v/>
      </c>
      <c r="AM24" s="47" t="str">
        <f t="shared" si="9"/>
        <v/>
      </c>
      <c r="AN24" s="47" t="str">
        <f t="shared" si="10"/>
        <v/>
      </c>
      <c r="AO24" s="47" t="str">
        <f t="shared" si="11"/>
        <v/>
      </c>
      <c r="AP24" s="47" t="str">
        <f t="shared" si="12"/>
        <v/>
      </c>
      <c r="AQ24" s="47" t="str">
        <f t="shared" si="13"/>
        <v/>
      </c>
      <c r="AR24" s="47" t="str">
        <f t="shared" si="14"/>
        <v/>
      </c>
      <c r="AS24" s="47" t="str">
        <f t="shared" si="15"/>
        <v/>
      </c>
      <c r="AT24" s="47" t="str">
        <f t="shared" si="16"/>
        <v/>
      </c>
      <c r="AU24" s="47" t="str">
        <f t="shared" si="17"/>
        <v/>
      </c>
      <c r="AV24" s="47" t="str">
        <f t="shared" si="18"/>
        <v/>
      </c>
      <c r="AW24" s="47" t="str">
        <f t="shared" si="19"/>
        <v/>
      </c>
      <c r="AX24" s="47" t="str">
        <f t="shared" si="20"/>
        <v/>
      </c>
      <c r="AY24" s="47" t="str">
        <f t="shared" si="21"/>
        <v/>
      </c>
      <c r="AZ24" s="47" t="str">
        <f t="shared" si="22"/>
        <v/>
      </c>
      <c r="BA24" s="47" t="str">
        <f t="shared" si="23"/>
        <v/>
      </c>
      <c r="BB24" s="47" t="str">
        <f t="shared" si="24"/>
        <v/>
      </c>
      <c r="BC24" s="47" t="str">
        <f t="shared" si="25"/>
        <v/>
      </c>
      <c r="BD24" s="47" t="str">
        <f t="shared" si="26"/>
        <v/>
      </c>
      <c r="BF24" s="12" t="str">
        <f t="shared" si="27"/>
        <v/>
      </c>
      <c r="BG24" s="12" t="str">
        <f t="shared" si="28"/>
        <v/>
      </c>
    </row>
    <row r="25" spans="3:59">
      <c r="C25" s="75">
        <v>16</v>
      </c>
      <c r="D25" s="73">
        <v>35812</v>
      </c>
      <c r="E25" s="73">
        <v>35812.041666666664</v>
      </c>
      <c r="F25" s="73">
        <v>35812.083333333336</v>
      </c>
      <c r="G25" s="73">
        <v>35812.125</v>
      </c>
      <c r="H25" s="73">
        <v>35812.166666666664</v>
      </c>
      <c r="I25" s="73">
        <v>35812.208333333336</v>
      </c>
      <c r="J25" s="73">
        <v>35812.25</v>
      </c>
      <c r="K25" s="73">
        <v>35812.291666666664</v>
      </c>
      <c r="L25" s="73">
        <v>35812.333333333336</v>
      </c>
      <c r="M25" s="73">
        <v>35812.375</v>
      </c>
      <c r="N25" s="73">
        <v>35812.416666666664</v>
      </c>
      <c r="O25" s="73">
        <v>35812.458333333336</v>
      </c>
      <c r="P25" s="73">
        <v>35812.5</v>
      </c>
      <c r="Q25" s="73">
        <v>35812.541666666664</v>
      </c>
      <c r="R25" s="73">
        <v>35812.583333333336</v>
      </c>
      <c r="S25" s="73">
        <v>35812.625</v>
      </c>
      <c r="T25" s="73">
        <v>35812.666666666664</v>
      </c>
      <c r="U25" s="73">
        <v>35812.708333333336</v>
      </c>
      <c r="V25" s="73">
        <v>35812.75</v>
      </c>
      <c r="W25" s="73">
        <v>35812.791666666664</v>
      </c>
      <c r="X25" s="73">
        <v>35812.833333333336</v>
      </c>
      <c r="Y25" s="73">
        <v>35812.875</v>
      </c>
      <c r="Z25" s="73">
        <v>35812.916666666664</v>
      </c>
      <c r="AA25" s="74">
        <v>35812.958333333336</v>
      </c>
      <c r="AC25" s="12">
        <f t="shared" si="2"/>
        <v>16</v>
      </c>
      <c r="AD25" s="98">
        <v>10</v>
      </c>
      <c r="AF25" s="12"/>
      <c r="AG25" s="47" t="str">
        <f t="shared" si="3"/>
        <v/>
      </c>
      <c r="AH25" s="47" t="str">
        <f t="shared" si="4"/>
        <v/>
      </c>
      <c r="AI25" s="47" t="str">
        <f t="shared" si="5"/>
        <v/>
      </c>
      <c r="AJ25" s="47" t="str">
        <f t="shared" si="6"/>
        <v/>
      </c>
      <c r="AK25" s="47" t="str">
        <f t="shared" si="7"/>
        <v/>
      </c>
      <c r="AL25" s="47" t="str">
        <f t="shared" si="8"/>
        <v/>
      </c>
      <c r="AM25" s="47" t="str">
        <f t="shared" si="9"/>
        <v/>
      </c>
      <c r="AN25" s="47" t="str">
        <f t="shared" si="10"/>
        <v/>
      </c>
      <c r="AO25" s="47" t="str">
        <f t="shared" si="11"/>
        <v/>
      </c>
      <c r="AP25" s="47" t="str">
        <f t="shared" si="12"/>
        <v/>
      </c>
      <c r="AQ25" s="47" t="str">
        <f t="shared" si="13"/>
        <v/>
      </c>
      <c r="AR25" s="47" t="str">
        <f t="shared" si="14"/>
        <v/>
      </c>
      <c r="AS25" s="47" t="str">
        <f t="shared" si="15"/>
        <v/>
      </c>
      <c r="AT25" s="47" t="str">
        <f t="shared" si="16"/>
        <v/>
      </c>
      <c r="AU25" s="47" t="str">
        <f t="shared" si="17"/>
        <v/>
      </c>
      <c r="AV25" s="47" t="str">
        <f t="shared" si="18"/>
        <v/>
      </c>
      <c r="AW25" s="47" t="str">
        <f t="shared" si="19"/>
        <v/>
      </c>
      <c r="AX25" s="47" t="str">
        <f t="shared" si="20"/>
        <v/>
      </c>
      <c r="AY25" s="47" t="str">
        <f t="shared" si="21"/>
        <v/>
      </c>
      <c r="AZ25" s="47" t="str">
        <f t="shared" si="22"/>
        <v/>
      </c>
      <c r="BA25" s="47" t="str">
        <f t="shared" si="23"/>
        <v/>
      </c>
      <c r="BB25" s="47" t="str">
        <f t="shared" si="24"/>
        <v/>
      </c>
      <c r="BC25" s="47" t="str">
        <f t="shared" si="25"/>
        <v/>
      </c>
      <c r="BD25" s="47" t="str">
        <f t="shared" si="26"/>
        <v/>
      </c>
      <c r="BF25" s="12" t="str">
        <f t="shared" si="27"/>
        <v/>
      </c>
      <c r="BG25" s="12" t="str">
        <f t="shared" si="28"/>
        <v/>
      </c>
    </row>
    <row r="26" spans="3:59">
      <c r="C26" s="75">
        <v>17</v>
      </c>
      <c r="D26" s="73">
        <v>35813</v>
      </c>
      <c r="E26" s="73">
        <v>35813.041666666664</v>
      </c>
      <c r="F26" s="73">
        <v>35813.083333333336</v>
      </c>
      <c r="G26" s="73">
        <v>35813.125</v>
      </c>
      <c r="H26" s="73">
        <v>35813.166666666664</v>
      </c>
      <c r="I26" s="73">
        <v>35813.208333333336</v>
      </c>
      <c r="J26" s="73">
        <v>35813.25</v>
      </c>
      <c r="K26" s="73">
        <v>35813.291666666664</v>
      </c>
      <c r="L26" s="73">
        <v>35813.333333333336</v>
      </c>
      <c r="M26" s="73">
        <v>35813.375</v>
      </c>
      <c r="N26" s="73">
        <v>35813.416666666664</v>
      </c>
      <c r="O26" s="73">
        <v>35813.458333333336</v>
      </c>
      <c r="P26" s="73">
        <v>35813.5</v>
      </c>
      <c r="Q26" s="73">
        <v>35813.541666666664</v>
      </c>
      <c r="R26" s="73">
        <v>35813.583333333336</v>
      </c>
      <c r="S26" s="73">
        <v>35813.625</v>
      </c>
      <c r="T26" s="73">
        <v>35813.666666666664</v>
      </c>
      <c r="U26" s="73">
        <v>35813.708333333336</v>
      </c>
      <c r="V26" s="73">
        <v>35813.75</v>
      </c>
      <c r="W26" s="73">
        <v>35813.791666666664</v>
      </c>
      <c r="X26" s="73">
        <v>35813.833333333336</v>
      </c>
      <c r="Y26" s="73">
        <v>35813.875</v>
      </c>
      <c r="Z26" s="73">
        <v>35813.916666666664</v>
      </c>
      <c r="AA26" s="74">
        <v>35813.958333333336</v>
      </c>
      <c r="AC26" s="12">
        <f t="shared" si="2"/>
        <v>17</v>
      </c>
      <c r="AD26" s="98">
        <v>10</v>
      </c>
      <c r="AF26" s="12"/>
      <c r="AG26" s="47" t="str">
        <f t="shared" si="3"/>
        <v/>
      </c>
      <c r="AH26" s="47" t="str">
        <f t="shared" si="4"/>
        <v/>
      </c>
      <c r="AI26" s="47" t="str">
        <f t="shared" si="5"/>
        <v/>
      </c>
      <c r="AJ26" s="47" t="str">
        <f t="shared" si="6"/>
        <v/>
      </c>
      <c r="AK26" s="47" t="str">
        <f t="shared" si="7"/>
        <v/>
      </c>
      <c r="AL26" s="47" t="str">
        <f t="shared" si="8"/>
        <v/>
      </c>
      <c r="AM26" s="47" t="str">
        <f t="shared" si="9"/>
        <v/>
      </c>
      <c r="AN26" s="47" t="str">
        <f t="shared" si="10"/>
        <v/>
      </c>
      <c r="AO26" s="47" t="str">
        <f t="shared" si="11"/>
        <v/>
      </c>
      <c r="AP26" s="47" t="str">
        <f t="shared" si="12"/>
        <v/>
      </c>
      <c r="AQ26" s="47" t="str">
        <f t="shared" si="13"/>
        <v/>
      </c>
      <c r="AR26" s="47" t="str">
        <f t="shared" si="14"/>
        <v/>
      </c>
      <c r="AS26" s="47" t="str">
        <f t="shared" si="15"/>
        <v/>
      </c>
      <c r="AT26" s="47" t="str">
        <f t="shared" si="16"/>
        <v/>
      </c>
      <c r="AU26" s="47" t="str">
        <f t="shared" si="17"/>
        <v/>
      </c>
      <c r="AV26" s="47" t="str">
        <f t="shared" si="18"/>
        <v/>
      </c>
      <c r="AW26" s="47" t="str">
        <f t="shared" si="19"/>
        <v/>
      </c>
      <c r="AX26" s="47" t="str">
        <f t="shared" si="20"/>
        <v/>
      </c>
      <c r="AY26" s="47" t="str">
        <f t="shared" si="21"/>
        <v/>
      </c>
      <c r="AZ26" s="47" t="str">
        <f t="shared" si="22"/>
        <v/>
      </c>
      <c r="BA26" s="47" t="str">
        <f t="shared" si="23"/>
        <v/>
      </c>
      <c r="BB26" s="47" t="str">
        <f t="shared" si="24"/>
        <v/>
      </c>
      <c r="BC26" s="47" t="str">
        <f t="shared" si="25"/>
        <v/>
      </c>
      <c r="BD26" s="47" t="str">
        <f t="shared" si="26"/>
        <v/>
      </c>
      <c r="BF26" s="12" t="str">
        <f t="shared" si="27"/>
        <v/>
      </c>
      <c r="BG26" s="12" t="str">
        <f t="shared" si="28"/>
        <v/>
      </c>
    </row>
    <row r="27" spans="3:59">
      <c r="C27" s="75">
        <v>18</v>
      </c>
      <c r="D27" s="73">
        <v>35814</v>
      </c>
      <c r="E27" s="73">
        <v>35814.041666666664</v>
      </c>
      <c r="F27" s="73">
        <v>35814.083333333336</v>
      </c>
      <c r="G27" s="73">
        <v>35814.125</v>
      </c>
      <c r="H27" s="73">
        <v>35814.166666666664</v>
      </c>
      <c r="I27" s="73">
        <v>35814.208333333336</v>
      </c>
      <c r="J27" s="73">
        <v>35814.25</v>
      </c>
      <c r="K27" s="73">
        <v>35814.291666666664</v>
      </c>
      <c r="L27" s="73">
        <v>35814.333333333336</v>
      </c>
      <c r="M27" s="73">
        <v>35814.375</v>
      </c>
      <c r="N27" s="73">
        <v>35814.416666666664</v>
      </c>
      <c r="O27" s="73">
        <v>35814.458333333336</v>
      </c>
      <c r="P27" s="73">
        <v>35814.5</v>
      </c>
      <c r="Q27" s="73">
        <v>35814.541666666664</v>
      </c>
      <c r="R27" s="73">
        <v>35814.583333333336</v>
      </c>
      <c r="S27" s="73">
        <v>35814.625</v>
      </c>
      <c r="T27" s="73">
        <v>35814.666666666664</v>
      </c>
      <c r="U27" s="73">
        <v>35814.708333333336</v>
      </c>
      <c r="V27" s="73">
        <v>35814.75</v>
      </c>
      <c r="W27" s="73">
        <v>35814.791666666664</v>
      </c>
      <c r="X27" s="73">
        <v>35814.833333333336</v>
      </c>
      <c r="Y27" s="73">
        <v>35814.875</v>
      </c>
      <c r="Z27" s="73">
        <v>35814.916666666664</v>
      </c>
      <c r="AA27" s="74">
        <v>35814.958333333336</v>
      </c>
      <c r="AC27" s="12">
        <f t="shared" si="2"/>
        <v>18</v>
      </c>
      <c r="AD27" s="98">
        <v>10</v>
      </c>
      <c r="AF27" s="12"/>
      <c r="AG27" s="47" t="str">
        <f t="shared" si="3"/>
        <v/>
      </c>
      <c r="AH27" s="47" t="str">
        <f t="shared" si="4"/>
        <v/>
      </c>
      <c r="AI27" s="47" t="str">
        <f t="shared" si="5"/>
        <v/>
      </c>
      <c r="AJ27" s="47" t="str">
        <f t="shared" si="6"/>
        <v/>
      </c>
      <c r="AK27" s="47" t="str">
        <f t="shared" si="7"/>
        <v/>
      </c>
      <c r="AL27" s="47" t="str">
        <f t="shared" si="8"/>
        <v/>
      </c>
      <c r="AM27" s="47" t="str">
        <f t="shared" si="9"/>
        <v/>
      </c>
      <c r="AN27" s="47" t="str">
        <f t="shared" si="10"/>
        <v/>
      </c>
      <c r="AO27" s="47" t="str">
        <f t="shared" si="11"/>
        <v/>
      </c>
      <c r="AP27" s="47" t="str">
        <f t="shared" si="12"/>
        <v/>
      </c>
      <c r="AQ27" s="47" t="str">
        <f t="shared" si="13"/>
        <v/>
      </c>
      <c r="AR27" s="47" t="str">
        <f t="shared" si="14"/>
        <v/>
      </c>
      <c r="AS27" s="47" t="str">
        <f t="shared" si="15"/>
        <v/>
      </c>
      <c r="AT27" s="47" t="str">
        <f t="shared" si="16"/>
        <v/>
      </c>
      <c r="AU27" s="47" t="str">
        <f t="shared" si="17"/>
        <v/>
      </c>
      <c r="AV27" s="47" t="str">
        <f t="shared" si="18"/>
        <v/>
      </c>
      <c r="AW27" s="47" t="str">
        <f t="shared" si="19"/>
        <v/>
      </c>
      <c r="AX27" s="47" t="str">
        <f t="shared" si="20"/>
        <v/>
      </c>
      <c r="AY27" s="47" t="str">
        <f t="shared" si="21"/>
        <v/>
      </c>
      <c r="AZ27" s="47" t="str">
        <f t="shared" si="22"/>
        <v/>
      </c>
      <c r="BA27" s="47" t="str">
        <f t="shared" si="23"/>
        <v/>
      </c>
      <c r="BB27" s="47" t="str">
        <f t="shared" si="24"/>
        <v/>
      </c>
      <c r="BC27" s="47" t="str">
        <f t="shared" si="25"/>
        <v/>
      </c>
      <c r="BD27" s="47" t="str">
        <f t="shared" si="26"/>
        <v/>
      </c>
      <c r="BF27" s="12" t="str">
        <f t="shared" si="27"/>
        <v/>
      </c>
      <c r="BG27" s="12" t="str">
        <f t="shared" si="28"/>
        <v/>
      </c>
    </row>
    <row r="28" spans="3:59">
      <c r="C28" s="75">
        <v>19</v>
      </c>
      <c r="D28" s="73">
        <v>35815</v>
      </c>
      <c r="E28" s="73">
        <v>35815.041666666664</v>
      </c>
      <c r="F28" s="73">
        <v>35815.083333333336</v>
      </c>
      <c r="G28" s="73">
        <v>35815.125</v>
      </c>
      <c r="H28" s="73">
        <v>35815.166666666664</v>
      </c>
      <c r="I28" s="73">
        <v>35815.208333333336</v>
      </c>
      <c r="J28" s="73">
        <v>35815.25</v>
      </c>
      <c r="K28" s="73">
        <v>35815.291666666664</v>
      </c>
      <c r="L28" s="73">
        <v>35815.333333333336</v>
      </c>
      <c r="M28" s="73">
        <v>35815.375</v>
      </c>
      <c r="N28" s="73">
        <v>35815.416666666664</v>
      </c>
      <c r="O28" s="73">
        <v>35815.458333333336</v>
      </c>
      <c r="P28" s="73">
        <v>35815.5</v>
      </c>
      <c r="Q28" s="73">
        <v>35815.541666666664</v>
      </c>
      <c r="R28" s="73">
        <v>35815.583333333336</v>
      </c>
      <c r="S28" s="73">
        <v>35815.625</v>
      </c>
      <c r="T28" s="73">
        <v>35815.666666666664</v>
      </c>
      <c r="U28" s="73">
        <v>35815.708333333336</v>
      </c>
      <c r="V28" s="73">
        <v>35815.75</v>
      </c>
      <c r="W28" s="73">
        <v>35815.791666666664</v>
      </c>
      <c r="X28" s="73">
        <v>35815.833333333336</v>
      </c>
      <c r="Y28" s="73">
        <v>35815.875</v>
      </c>
      <c r="Z28" s="73">
        <v>35815.916666666664</v>
      </c>
      <c r="AA28" s="74">
        <v>35815.958333333336</v>
      </c>
      <c r="AC28" s="12">
        <f t="shared" si="2"/>
        <v>19</v>
      </c>
      <c r="AD28" s="98">
        <v>10</v>
      </c>
      <c r="AF28" s="12"/>
      <c r="AG28" s="47" t="str">
        <f t="shared" si="3"/>
        <v/>
      </c>
      <c r="AH28" s="47" t="str">
        <f t="shared" si="4"/>
        <v/>
      </c>
      <c r="AI28" s="47" t="str">
        <f t="shared" si="5"/>
        <v/>
      </c>
      <c r="AJ28" s="47" t="str">
        <f t="shared" si="6"/>
        <v/>
      </c>
      <c r="AK28" s="47" t="str">
        <f t="shared" si="7"/>
        <v/>
      </c>
      <c r="AL28" s="47" t="str">
        <f t="shared" si="8"/>
        <v/>
      </c>
      <c r="AM28" s="47" t="str">
        <f t="shared" si="9"/>
        <v/>
      </c>
      <c r="AN28" s="47" t="str">
        <f t="shared" si="10"/>
        <v/>
      </c>
      <c r="AO28" s="47" t="str">
        <f t="shared" si="11"/>
        <v/>
      </c>
      <c r="AP28" s="47" t="str">
        <f t="shared" si="12"/>
        <v/>
      </c>
      <c r="AQ28" s="47" t="str">
        <f t="shared" si="13"/>
        <v/>
      </c>
      <c r="AR28" s="47" t="str">
        <f t="shared" si="14"/>
        <v/>
      </c>
      <c r="AS28" s="47" t="str">
        <f t="shared" si="15"/>
        <v/>
      </c>
      <c r="AT28" s="47" t="str">
        <f t="shared" si="16"/>
        <v/>
      </c>
      <c r="AU28" s="47" t="str">
        <f t="shared" si="17"/>
        <v/>
      </c>
      <c r="AV28" s="47" t="str">
        <f t="shared" si="18"/>
        <v/>
      </c>
      <c r="AW28" s="47" t="str">
        <f t="shared" si="19"/>
        <v/>
      </c>
      <c r="AX28" s="47" t="str">
        <f t="shared" si="20"/>
        <v/>
      </c>
      <c r="AY28" s="47" t="str">
        <f t="shared" si="21"/>
        <v/>
      </c>
      <c r="AZ28" s="47" t="str">
        <f t="shared" si="22"/>
        <v/>
      </c>
      <c r="BA28" s="47" t="str">
        <f t="shared" si="23"/>
        <v/>
      </c>
      <c r="BB28" s="47" t="str">
        <f t="shared" si="24"/>
        <v/>
      </c>
      <c r="BC28" s="47" t="str">
        <f t="shared" si="25"/>
        <v/>
      </c>
      <c r="BD28" s="47" t="str">
        <f t="shared" si="26"/>
        <v/>
      </c>
      <c r="BF28" s="12" t="str">
        <f t="shared" si="27"/>
        <v/>
      </c>
      <c r="BG28" s="12" t="str">
        <f t="shared" si="28"/>
        <v/>
      </c>
    </row>
    <row r="29" spans="3:59">
      <c r="C29" s="75">
        <v>20</v>
      </c>
      <c r="D29" s="73">
        <v>35816</v>
      </c>
      <c r="E29" s="73">
        <v>35816.041666666664</v>
      </c>
      <c r="F29" s="73">
        <v>35816.083333333336</v>
      </c>
      <c r="G29" s="73">
        <v>35816.125</v>
      </c>
      <c r="H29" s="73">
        <v>35816.166666666664</v>
      </c>
      <c r="I29" s="73">
        <v>35816.208333333336</v>
      </c>
      <c r="J29" s="73">
        <v>35816.25</v>
      </c>
      <c r="K29" s="73">
        <v>35816.291666666664</v>
      </c>
      <c r="L29" s="73">
        <v>35816.333333333336</v>
      </c>
      <c r="M29" s="73">
        <v>35816.375</v>
      </c>
      <c r="N29" s="73">
        <v>35816.416666666664</v>
      </c>
      <c r="O29" s="73">
        <v>35816.458333333336</v>
      </c>
      <c r="P29" s="73">
        <v>35816.5</v>
      </c>
      <c r="Q29" s="73">
        <v>35816.541666666664</v>
      </c>
      <c r="R29" s="73">
        <v>35816.583333333336</v>
      </c>
      <c r="S29" s="73">
        <v>35816.625</v>
      </c>
      <c r="T29" s="73">
        <v>35816.666666666664</v>
      </c>
      <c r="U29" s="73">
        <v>35816.708333333336</v>
      </c>
      <c r="V29" s="73">
        <v>35816.75</v>
      </c>
      <c r="W29" s="73">
        <v>35816.791666666664</v>
      </c>
      <c r="X29" s="73">
        <v>35816.833333333336</v>
      </c>
      <c r="Y29" s="73">
        <v>35816.875</v>
      </c>
      <c r="Z29" s="73">
        <v>35816.916666666664</v>
      </c>
      <c r="AA29" s="74">
        <v>35816.958333333336</v>
      </c>
      <c r="AC29" s="12">
        <f t="shared" si="2"/>
        <v>20</v>
      </c>
      <c r="AD29" s="98">
        <v>10</v>
      </c>
      <c r="AF29" s="12"/>
      <c r="AG29" s="47" t="str">
        <f t="shared" si="3"/>
        <v/>
      </c>
      <c r="AH29" s="47" t="str">
        <f t="shared" si="4"/>
        <v/>
      </c>
      <c r="AI29" s="47" t="str">
        <f t="shared" si="5"/>
        <v/>
      </c>
      <c r="AJ29" s="47" t="str">
        <f t="shared" si="6"/>
        <v/>
      </c>
      <c r="AK29" s="47" t="str">
        <f t="shared" si="7"/>
        <v/>
      </c>
      <c r="AL29" s="47" t="str">
        <f t="shared" si="8"/>
        <v/>
      </c>
      <c r="AM29" s="47" t="str">
        <f t="shared" si="9"/>
        <v/>
      </c>
      <c r="AN29" s="47" t="str">
        <f t="shared" si="10"/>
        <v/>
      </c>
      <c r="AO29" s="47" t="str">
        <f t="shared" si="11"/>
        <v/>
      </c>
      <c r="AP29" s="47" t="str">
        <f t="shared" si="12"/>
        <v/>
      </c>
      <c r="AQ29" s="47" t="str">
        <f t="shared" si="13"/>
        <v/>
      </c>
      <c r="AR29" s="47" t="str">
        <f t="shared" si="14"/>
        <v/>
      </c>
      <c r="AS29" s="47" t="str">
        <f t="shared" si="15"/>
        <v/>
      </c>
      <c r="AT29" s="47" t="str">
        <f t="shared" si="16"/>
        <v/>
      </c>
      <c r="AU29" s="47" t="str">
        <f t="shared" si="17"/>
        <v/>
      </c>
      <c r="AV29" s="47" t="str">
        <f t="shared" si="18"/>
        <v/>
      </c>
      <c r="AW29" s="47" t="str">
        <f t="shared" si="19"/>
        <v/>
      </c>
      <c r="AX29" s="47" t="str">
        <f t="shared" si="20"/>
        <v/>
      </c>
      <c r="AY29" s="47" t="str">
        <f t="shared" si="21"/>
        <v/>
      </c>
      <c r="AZ29" s="47" t="str">
        <f t="shared" si="22"/>
        <v/>
      </c>
      <c r="BA29" s="47" t="str">
        <f t="shared" si="23"/>
        <v/>
      </c>
      <c r="BB29" s="47" t="str">
        <f t="shared" si="24"/>
        <v/>
      </c>
      <c r="BC29" s="47" t="str">
        <f t="shared" si="25"/>
        <v/>
      </c>
      <c r="BD29" s="47" t="str">
        <f t="shared" si="26"/>
        <v/>
      </c>
      <c r="BF29" s="12" t="str">
        <f t="shared" si="27"/>
        <v/>
      </c>
      <c r="BG29" s="12" t="str">
        <f t="shared" si="28"/>
        <v/>
      </c>
    </row>
    <row r="30" spans="3:59">
      <c r="C30" s="75">
        <v>21</v>
      </c>
      <c r="D30" s="73">
        <v>35817</v>
      </c>
      <c r="E30" s="73">
        <v>35817.041666666664</v>
      </c>
      <c r="F30" s="73">
        <v>35817.083333333336</v>
      </c>
      <c r="G30" s="73">
        <v>35817.125</v>
      </c>
      <c r="H30" s="73">
        <v>35817.166666666664</v>
      </c>
      <c r="I30" s="73">
        <v>35817.208333333336</v>
      </c>
      <c r="J30" s="73">
        <v>35817.25</v>
      </c>
      <c r="K30" s="73">
        <v>35817.291666666664</v>
      </c>
      <c r="L30" s="73">
        <v>35817.333333333336</v>
      </c>
      <c r="M30" s="73">
        <v>35817.375</v>
      </c>
      <c r="N30" s="73">
        <v>35817.416666666664</v>
      </c>
      <c r="O30" s="73">
        <v>35817.458333333336</v>
      </c>
      <c r="P30" s="73">
        <v>35817.5</v>
      </c>
      <c r="Q30" s="73">
        <v>35817.541666666664</v>
      </c>
      <c r="R30" s="73">
        <v>35817.583333333336</v>
      </c>
      <c r="S30" s="73">
        <v>35817.625</v>
      </c>
      <c r="T30" s="73">
        <v>35817.666666666664</v>
      </c>
      <c r="U30" s="73">
        <v>35817.708333333336</v>
      </c>
      <c r="V30" s="73">
        <v>35817.75</v>
      </c>
      <c r="W30" s="73">
        <v>35817.791666666664</v>
      </c>
      <c r="X30" s="73">
        <v>35817.833333333336</v>
      </c>
      <c r="Y30" s="73">
        <v>35817.875</v>
      </c>
      <c r="Z30" s="73">
        <v>35817.916666666664</v>
      </c>
      <c r="AA30" s="74">
        <v>35817.958333333336</v>
      </c>
      <c r="AC30" s="12">
        <f t="shared" si="2"/>
        <v>21</v>
      </c>
      <c r="AD30" s="98">
        <v>10</v>
      </c>
      <c r="AF30" s="12"/>
      <c r="AG30" s="47" t="str">
        <f t="shared" si="3"/>
        <v/>
      </c>
      <c r="AH30" s="47" t="str">
        <f t="shared" si="4"/>
        <v/>
      </c>
      <c r="AI30" s="47" t="str">
        <f t="shared" si="5"/>
        <v/>
      </c>
      <c r="AJ30" s="47" t="str">
        <f t="shared" si="6"/>
        <v/>
      </c>
      <c r="AK30" s="47" t="str">
        <f t="shared" si="7"/>
        <v/>
      </c>
      <c r="AL30" s="47" t="str">
        <f t="shared" si="8"/>
        <v/>
      </c>
      <c r="AM30" s="47" t="str">
        <f t="shared" si="9"/>
        <v/>
      </c>
      <c r="AN30" s="47" t="str">
        <f t="shared" si="10"/>
        <v/>
      </c>
      <c r="AO30" s="47" t="str">
        <f t="shared" si="11"/>
        <v/>
      </c>
      <c r="AP30" s="47" t="str">
        <f t="shared" si="12"/>
        <v/>
      </c>
      <c r="AQ30" s="47" t="str">
        <f t="shared" si="13"/>
        <v/>
      </c>
      <c r="AR30" s="47" t="str">
        <f t="shared" si="14"/>
        <v/>
      </c>
      <c r="AS30" s="47" t="str">
        <f t="shared" si="15"/>
        <v/>
      </c>
      <c r="AT30" s="47" t="str">
        <f t="shared" si="16"/>
        <v/>
      </c>
      <c r="AU30" s="47" t="str">
        <f t="shared" si="17"/>
        <v/>
      </c>
      <c r="AV30" s="47" t="str">
        <f t="shared" si="18"/>
        <v/>
      </c>
      <c r="AW30" s="47" t="str">
        <f t="shared" si="19"/>
        <v/>
      </c>
      <c r="AX30" s="47" t="str">
        <f t="shared" si="20"/>
        <v/>
      </c>
      <c r="AY30" s="47" t="str">
        <f t="shared" si="21"/>
        <v/>
      </c>
      <c r="AZ30" s="47" t="str">
        <f t="shared" si="22"/>
        <v/>
      </c>
      <c r="BA30" s="47" t="str">
        <f t="shared" si="23"/>
        <v/>
      </c>
      <c r="BB30" s="47" t="str">
        <f t="shared" si="24"/>
        <v/>
      </c>
      <c r="BC30" s="47" t="str">
        <f t="shared" si="25"/>
        <v/>
      </c>
      <c r="BD30" s="47" t="str">
        <f t="shared" si="26"/>
        <v/>
      </c>
      <c r="BF30" s="12" t="str">
        <f t="shared" si="27"/>
        <v/>
      </c>
      <c r="BG30" s="12" t="str">
        <f t="shared" si="28"/>
        <v/>
      </c>
    </row>
    <row r="31" spans="3:59">
      <c r="C31" s="75">
        <v>22</v>
      </c>
      <c r="D31" s="73">
        <v>35818</v>
      </c>
      <c r="E31" s="73">
        <v>35818.041666666664</v>
      </c>
      <c r="F31" s="73">
        <v>35818.083333333336</v>
      </c>
      <c r="G31" s="73">
        <v>35818.125</v>
      </c>
      <c r="H31" s="73">
        <v>35818.166666666664</v>
      </c>
      <c r="I31" s="73">
        <v>35818.208333333336</v>
      </c>
      <c r="J31" s="73">
        <v>35818.25</v>
      </c>
      <c r="K31" s="73">
        <v>35818.291666666664</v>
      </c>
      <c r="L31" s="73">
        <v>35818.333333333336</v>
      </c>
      <c r="M31" s="73">
        <v>35818.375</v>
      </c>
      <c r="N31" s="73">
        <v>35818.416666666664</v>
      </c>
      <c r="O31" s="73">
        <v>35818.458333333336</v>
      </c>
      <c r="P31" s="73">
        <v>35818.5</v>
      </c>
      <c r="Q31" s="73">
        <v>35818.541666666664</v>
      </c>
      <c r="R31" s="73">
        <v>35818.583333333336</v>
      </c>
      <c r="S31" s="73">
        <v>35818.625</v>
      </c>
      <c r="T31" s="73">
        <v>35818.666666666664</v>
      </c>
      <c r="U31" s="73">
        <v>35818.708333333336</v>
      </c>
      <c r="V31" s="73">
        <v>35818.75</v>
      </c>
      <c r="W31" s="73">
        <v>35818.791666666664</v>
      </c>
      <c r="X31" s="73">
        <v>35818.833333333336</v>
      </c>
      <c r="Y31" s="73">
        <v>35818.875</v>
      </c>
      <c r="Z31" s="73">
        <v>35818.916666666664</v>
      </c>
      <c r="AA31" s="74">
        <v>35818.958333333336</v>
      </c>
      <c r="AC31" s="12">
        <f t="shared" si="2"/>
        <v>22</v>
      </c>
      <c r="AD31" s="98">
        <v>10</v>
      </c>
      <c r="AF31" s="12"/>
      <c r="AG31" s="47" t="str">
        <f t="shared" si="3"/>
        <v/>
      </c>
      <c r="AH31" s="47" t="str">
        <f t="shared" si="4"/>
        <v/>
      </c>
      <c r="AI31" s="47" t="str">
        <f t="shared" si="5"/>
        <v/>
      </c>
      <c r="AJ31" s="47" t="str">
        <f t="shared" si="6"/>
        <v/>
      </c>
      <c r="AK31" s="47" t="str">
        <f t="shared" si="7"/>
        <v/>
      </c>
      <c r="AL31" s="47" t="str">
        <f t="shared" si="8"/>
        <v/>
      </c>
      <c r="AM31" s="47" t="str">
        <f t="shared" si="9"/>
        <v/>
      </c>
      <c r="AN31" s="47" t="str">
        <f t="shared" si="10"/>
        <v/>
      </c>
      <c r="AO31" s="47" t="str">
        <f t="shared" si="11"/>
        <v/>
      </c>
      <c r="AP31" s="47" t="str">
        <f t="shared" si="12"/>
        <v/>
      </c>
      <c r="AQ31" s="47" t="str">
        <f t="shared" si="13"/>
        <v/>
      </c>
      <c r="AR31" s="47" t="str">
        <f t="shared" si="14"/>
        <v/>
      </c>
      <c r="AS31" s="47" t="str">
        <f t="shared" si="15"/>
        <v/>
      </c>
      <c r="AT31" s="47" t="str">
        <f t="shared" si="16"/>
        <v/>
      </c>
      <c r="AU31" s="47" t="str">
        <f t="shared" si="17"/>
        <v/>
      </c>
      <c r="AV31" s="47" t="str">
        <f t="shared" si="18"/>
        <v/>
      </c>
      <c r="AW31" s="47" t="str">
        <f t="shared" si="19"/>
        <v/>
      </c>
      <c r="AX31" s="47" t="str">
        <f t="shared" si="20"/>
        <v/>
      </c>
      <c r="AY31" s="47" t="str">
        <f t="shared" si="21"/>
        <v/>
      </c>
      <c r="AZ31" s="47" t="str">
        <f t="shared" si="22"/>
        <v/>
      </c>
      <c r="BA31" s="47" t="str">
        <f t="shared" si="23"/>
        <v/>
      </c>
      <c r="BB31" s="47" t="str">
        <f t="shared" si="24"/>
        <v/>
      </c>
      <c r="BC31" s="47" t="str">
        <f t="shared" si="25"/>
        <v/>
      </c>
      <c r="BD31" s="47" t="str">
        <f t="shared" si="26"/>
        <v/>
      </c>
      <c r="BF31" s="12" t="str">
        <f t="shared" si="27"/>
        <v/>
      </c>
      <c r="BG31" s="12" t="str">
        <f t="shared" si="28"/>
        <v/>
      </c>
    </row>
    <row r="32" spans="3:59">
      <c r="C32" s="75">
        <v>23</v>
      </c>
      <c r="D32" s="73">
        <v>35819</v>
      </c>
      <c r="E32" s="73">
        <v>35819.041666666664</v>
      </c>
      <c r="F32" s="73">
        <v>35819.083333333336</v>
      </c>
      <c r="G32" s="73">
        <v>35819.125</v>
      </c>
      <c r="H32" s="73">
        <v>35819.166666666664</v>
      </c>
      <c r="I32" s="73">
        <v>35819.208333333336</v>
      </c>
      <c r="J32" s="73">
        <v>35819.25</v>
      </c>
      <c r="K32" s="73">
        <v>35819.291666666664</v>
      </c>
      <c r="L32" s="73">
        <v>35819.333333333336</v>
      </c>
      <c r="M32" s="73">
        <v>35819.375</v>
      </c>
      <c r="N32" s="73">
        <v>35819.416666666664</v>
      </c>
      <c r="O32" s="73">
        <v>35819.458333333336</v>
      </c>
      <c r="P32" s="73">
        <v>35819.5</v>
      </c>
      <c r="Q32" s="73">
        <v>35819.541666666664</v>
      </c>
      <c r="R32" s="73">
        <v>35819.583333333336</v>
      </c>
      <c r="S32" s="73">
        <v>35819.625</v>
      </c>
      <c r="T32" s="73">
        <v>35819.666666666664</v>
      </c>
      <c r="U32" s="73">
        <v>35819.708333333336</v>
      </c>
      <c r="V32" s="73">
        <v>35819.75</v>
      </c>
      <c r="W32" s="73">
        <v>35819.791666666664</v>
      </c>
      <c r="X32" s="73">
        <v>35819.833333333336</v>
      </c>
      <c r="Y32" s="73">
        <v>35819.875</v>
      </c>
      <c r="Z32" s="73">
        <v>35819.916666666664</v>
      </c>
      <c r="AA32" s="74">
        <v>35819.958333333336</v>
      </c>
      <c r="AC32" s="12">
        <f t="shared" si="2"/>
        <v>23</v>
      </c>
      <c r="AD32" s="98">
        <v>10</v>
      </c>
      <c r="AF32" s="12"/>
      <c r="AG32" s="47" t="str">
        <f t="shared" si="3"/>
        <v/>
      </c>
      <c r="AH32" s="47" t="str">
        <f t="shared" si="4"/>
        <v/>
      </c>
      <c r="AI32" s="47" t="str">
        <f t="shared" si="5"/>
        <v/>
      </c>
      <c r="AJ32" s="47" t="str">
        <f t="shared" si="6"/>
        <v/>
      </c>
      <c r="AK32" s="47" t="str">
        <f t="shared" si="7"/>
        <v/>
      </c>
      <c r="AL32" s="47" t="str">
        <f t="shared" si="8"/>
        <v/>
      </c>
      <c r="AM32" s="47" t="str">
        <f t="shared" si="9"/>
        <v/>
      </c>
      <c r="AN32" s="47" t="str">
        <f t="shared" si="10"/>
        <v/>
      </c>
      <c r="AO32" s="47" t="str">
        <f t="shared" si="11"/>
        <v/>
      </c>
      <c r="AP32" s="47" t="str">
        <f t="shared" si="12"/>
        <v/>
      </c>
      <c r="AQ32" s="47" t="str">
        <f t="shared" si="13"/>
        <v/>
      </c>
      <c r="AR32" s="47" t="str">
        <f t="shared" si="14"/>
        <v/>
      </c>
      <c r="AS32" s="47" t="str">
        <f t="shared" si="15"/>
        <v/>
      </c>
      <c r="AT32" s="47" t="str">
        <f t="shared" si="16"/>
        <v/>
      </c>
      <c r="AU32" s="47" t="str">
        <f t="shared" si="17"/>
        <v/>
      </c>
      <c r="AV32" s="47" t="str">
        <f t="shared" si="18"/>
        <v/>
      </c>
      <c r="AW32" s="47" t="str">
        <f t="shared" si="19"/>
        <v/>
      </c>
      <c r="AX32" s="47" t="str">
        <f t="shared" si="20"/>
        <v/>
      </c>
      <c r="AY32" s="47" t="str">
        <f t="shared" si="21"/>
        <v/>
      </c>
      <c r="AZ32" s="47" t="str">
        <f t="shared" si="22"/>
        <v/>
      </c>
      <c r="BA32" s="47" t="str">
        <f t="shared" si="23"/>
        <v/>
      </c>
      <c r="BB32" s="47" t="str">
        <f t="shared" si="24"/>
        <v/>
      </c>
      <c r="BC32" s="47" t="str">
        <f t="shared" si="25"/>
        <v/>
      </c>
      <c r="BD32" s="47" t="str">
        <f t="shared" si="26"/>
        <v/>
      </c>
      <c r="BF32" s="12" t="str">
        <f t="shared" si="27"/>
        <v/>
      </c>
      <c r="BG32" s="12" t="str">
        <f t="shared" si="28"/>
        <v/>
      </c>
    </row>
    <row r="33" spans="3:59">
      <c r="C33" s="75">
        <v>24</v>
      </c>
      <c r="D33" s="73">
        <v>35820</v>
      </c>
      <c r="E33" s="73">
        <v>35820.041666666664</v>
      </c>
      <c r="F33" s="73">
        <v>35820.083333333336</v>
      </c>
      <c r="G33" s="73">
        <v>35820.125</v>
      </c>
      <c r="H33" s="73">
        <v>35820.166666666664</v>
      </c>
      <c r="I33" s="73">
        <v>35820.208333333336</v>
      </c>
      <c r="J33" s="73">
        <v>35820.25</v>
      </c>
      <c r="K33" s="73">
        <v>35820.291666666664</v>
      </c>
      <c r="L33" s="73">
        <v>35820.333333333336</v>
      </c>
      <c r="M33" s="73">
        <v>35820.375</v>
      </c>
      <c r="N33" s="73">
        <v>35820.416666666664</v>
      </c>
      <c r="O33" s="73">
        <v>35820.458333333336</v>
      </c>
      <c r="P33" s="73">
        <v>35820.5</v>
      </c>
      <c r="Q33" s="73">
        <v>35820.541666666664</v>
      </c>
      <c r="R33" s="73">
        <v>35820.583333333336</v>
      </c>
      <c r="S33" s="73">
        <v>35820.625</v>
      </c>
      <c r="T33" s="73">
        <v>35820.666666666664</v>
      </c>
      <c r="U33" s="73">
        <v>35820.708333333336</v>
      </c>
      <c r="V33" s="73">
        <v>35820.75</v>
      </c>
      <c r="W33" s="73">
        <v>35820.791666666664</v>
      </c>
      <c r="X33" s="73">
        <v>35820.833333333336</v>
      </c>
      <c r="Y33" s="73">
        <v>35820.875</v>
      </c>
      <c r="Z33" s="73">
        <v>35820.916666666664</v>
      </c>
      <c r="AA33" s="74">
        <v>35820.958333333336</v>
      </c>
      <c r="AC33" s="12">
        <f t="shared" si="2"/>
        <v>24</v>
      </c>
      <c r="AD33" s="98">
        <v>10</v>
      </c>
      <c r="AF33" s="12"/>
      <c r="AG33" s="47" t="str">
        <f t="shared" si="3"/>
        <v/>
      </c>
      <c r="AH33" s="47" t="str">
        <f t="shared" si="4"/>
        <v/>
      </c>
      <c r="AI33" s="47" t="str">
        <f t="shared" si="5"/>
        <v/>
      </c>
      <c r="AJ33" s="47" t="str">
        <f t="shared" si="6"/>
        <v/>
      </c>
      <c r="AK33" s="47" t="str">
        <f t="shared" si="7"/>
        <v/>
      </c>
      <c r="AL33" s="47" t="str">
        <f t="shared" si="8"/>
        <v/>
      </c>
      <c r="AM33" s="47" t="str">
        <f t="shared" si="9"/>
        <v/>
      </c>
      <c r="AN33" s="47" t="str">
        <f t="shared" si="10"/>
        <v/>
      </c>
      <c r="AO33" s="47" t="str">
        <f t="shared" si="11"/>
        <v/>
      </c>
      <c r="AP33" s="47" t="str">
        <f t="shared" si="12"/>
        <v/>
      </c>
      <c r="AQ33" s="47" t="str">
        <f t="shared" si="13"/>
        <v/>
      </c>
      <c r="AR33" s="47" t="str">
        <f t="shared" si="14"/>
        <v/>
      </c>
      <c r="AS33" s="47" t="str">
        <f t="shared" si="15"/>
        <v/>
      </c>
      <c r="AT33" s="47" t="str">
        <f t="shared" si="16"/>
        <v/>
      </c>
      <c r="AU33" s="47" t="str">
        <f t="shared" si="17"/>
        <v/>
      </c>
      <c r="AV33" s="47" t="str">
        <f t="shared" si="18"/>
        <v/>
      </c>
      <c r="AW33" s="47" t="str">
        <f t="shared" si="19"/>
        <v/>
      </c>
      <c r="AX33" s="47" t="str">
        <f t="shared" si="20"/>
        <v/>
      </c>
      <c r="AY33" s="47" t="str">
        <f t="shared" si="21"/>
        <v/>
      </c>
      <c r="AZ33" s="47" t="str">
        <f t="shared" si="22"/>
        <v/>
      </c>
      <c r="BA33" s="47" t="str">
        <f t="shared" si="23"/>
        <v/>
      </c>
      <c r="BB33" s="47" t="str">
        <f t="shared" si="24"/>
        <v/>
      </c>
      <c r="BC33" s="47" t="str">
        <f t="shared" si="25"/>
        <v/>
      </c>
      <c r="BD33" s="47" t="str">
        <f t="shared" si="26"/>
        <v/>
      </c>
      <c r="BF33" s="12" t="str">
        <f t="shared" si="27"/>
        <v/>
      </c>
      <c r="BG33" s="12" t="str">
        <f t="shared" si="28"/>
        <v/>
      </c>
    </row>
    <row r="34" spans="3:59">
      <c r="C34" s="75">
        <v>25</v>
      </c>
      <c r="D34" s="73">
        <v>35821</v>
      </c>
      <c r="E34" s="73">
        <v>35821.041666666664</v>
      </c>
      <c r="F34" s="73">
        <v>35821.083333333336</v>
      </c>
      <c r="G34" s="73">
        <v>35821.125</v>
      </c>
      <c r="H34" s="73">
        <v>35821.166666666664</v>
      </c>
      <c r="I34" s="73">
        <v>35821.208333333336</v>
      </c>
      <c r="J34" s="73">
        <v>35821.25</v>
      </c>
      <c r="K34" s="73">
        <v>35821.291666666664</v>
      </c>
      <c r="L34" s="73">
        <v>35821.333333333336</v>
      </c>
      <c r="M34" s="73">
        <v>35821.375</v>
      </c>
      <c r="N34" s="73">
        <v>35821.416666666664</v>
      </c>
      <c r="O34" s="73">
        <v>35821.458333333336</v>
      </c>
      <c r="P34" s="73">
        <v>35821.5</v>
      </c>
      <c r="Q34" s="73">
        <v>35821.541666666664</v>
      </c>
      <c r="R34" s="73">
        <v>35821.583333333336</v>
      </c>
      <c r="S34" s="73">
        <v>35821.625</v>
      </c>
      <c r="T34" s="73">
        <v>35821.666666666664</v>
      </c>
      <c r="U34" s="73">
        <v>35821.708333333336</v>
      </c>
      <c r="V34" s="73">
        <v>35821.75</v>
      </c>
      <c r="W34" s="73">
        <v>35821.791666666664</v>
      </c>
      <c r="X34" s="73">
        <v>35821.833333333336</v>
      </c>
      <c r="Y34" s="73">
        <v>35821.875</v>
      </c>
      <c r="Z34" s="73">
        <v>35821.916666666664</v>
      </c>
      <c r="AA34" s="74">
        <v>35821.958333333336</v>
      </c>
      <c r="AC34" s="12">
        <f t="shared" si="2"/>
        <v>25</v>
      </c>
      <c r="AD34" s="98">
        <v>10</v>
      </c>
      <c r="AF34" s="12"/>
      <c r="AG34" s="47" t="str">
        <f t="shared" si="3"/>
        <v/>
      </c>
      <c r="AH34" s="47" t="str">
        <f t="shared" si="4"/>
        <v/>
      </c>
      <c r="AI34" s="47" t="str">
        <f t="shared" si="5"/>
        <v/>
      </c>
      <c r="AJ34" s="47" t="str">
        <f t="shared" si="6"/>
        <v/>
      </c>
      <c r="AK34" s="47" t="str">
        <f t="shared" si="7"/>
        <v/>
      </c>
      <c r="AL34" s="47" t="str">
        <f t="shared" si="8"/>
        <v/>
      </c>
      <c r="AM34" s="47" t="str">
        <f t="shared" si="9"/>
        <v/>
      </c>
      <c r="AN34" s="47" t="str">
        <f t="shared" si="10"/>
        <v/>
      </c>
      <c r="AO34" s="47" t="str">
        <f t="shared" si="11"/>
        <v/>
      </c>
      <c r="AP34" s="47" t="str">
        <f t="shared" si="12"/>
        <v/>
      </c>
      <c r="AQ34" s="47" t="str">
        <f t="shared" si="13"/>
        <v/>
      </c>
      <c r="AR34" s="47" t="str">
        <f t="shared" si="14"/>
        <v/>
      </c>
      <c r="AS34" s="47" t="str">
        <f t="shared" si="15"/>
        <v/>
      </c>
      <c r="AT34" s="47" t="str">
        <f t="shared" si="16"/>
        <v/>
      </c>
      <c r="AU34" s="47" t="str">
        <f t="shared" si="17"/>
        <v/>
      </c>
      <c r="AV34" s="47" t="str">
        <f t="shared" si="18"/>
        <v/>
      </c>
      <c r="AW34" s="47" t="str">
        <f t="shared" si="19"/>
        <v/>
      </c>
      <c r="AX34" s="47" t="str">
        <f t="shared" si="20"/>
        <v/>
      </c>
      <c r="AY34" s="47" t="str">
        <f t="shared" si="21"/>
        <v/>
      </c>
      <c r="AZ34" s="47" t="str">
        <f t="shared" si="22"/>
        <v/>
      </c>
      <c r="BA34" s="47" t="str">
        <f t="shared" si="23"/>
        <v/>
      </c>
      <c r="BB34" s="47" t="str">
        <f t="shared" si="24"/>
        <v/>
      </c>
      <c r="BC34" s="47" t="str">
        <f t="shared" si="25"/>
        <v/>
      </c>
      <c r="BD34" s="47" t="str">
        <f t="shared" si="26"/>
        <v/>
      </c>
      <c r="BF34" s="12" t="str">
        <f t="shared" si="27"/>
        <v/>
      </c>
      <c r="BG34" s="12" t="str">
        <f t="shared" si="28"/>
        <v/>
      </c>
    </row>
    <row r="35" spans="3:59">
      <c r="C35" s="75">
        <v>26</v>
      </c>
      <c r="D35" s="73">
        <v>35822</v>
      </c>
      <c r="E35" s="73">
        <v>35822.041666666664</v>
      </c>
      <c r="F35" s="73">
        <v>35822.083333333336</v>
      </c>
      <c r="G35" s="73">
        <v>35822.125</v>
      </c>
      <c r="H35" s="73">
        <v>35822.166666666664</v>
      </c>
      <c r="I35" s="73">
        <v>35822.208333333336</v>
      </c>
      <c r="J35" s="73">
        <v>35822.25</v>
      </c>
      <c r="K35" s="73">
        <v>35822.291666666664</v>
      </c>
      <c r="L35" s="73">
        <v>35822.333333333336</v>
      </c>
      <c r="M35" s="73">
        <v>35822.375</v>
      </c>
      <c r="N35" s="73">
        <v>35822.416666666664</v>
      </c>
      <c r="O35" s="73">
        <v>35822.458333333336</v>
      </c>
      <c r="P35" s="73">
        <v>35822.5</v>
      </c>
      <c r="Q35" s="73">
        <v>35822.541666666664</v>
      </c>
      <c r="R35" s="73">
        <v>35822.583333333336</v>
      </c>
      <c r="S35" s="73">
        <v>35822.625</v>
      </c>
      <c r="T35" s="73">
        <v>35822.666666666664</v>
      </c>
      <c r="U35" s="73">
        <v>35822.708333333336</v>
      </c>
      <c r="V35" s="73">
        <v>35822.75</v>
      </c>
      <c r="W35" s="73">
        <v>35822.791666666664</v>
      </c>
      <c r="X35" s="73">
        <v>35822.833333333336</v>
      </c>
      <c r="Y35" s="73">
        <v>35822.875</v>
      </c>
      <c r="Z35" s="73">
        <v>35822.916666666664</v>
      </c>
      <c r="AA35" s="74">
        <v>35822.958333333336</v>
      </c>
      <c r="AC35" s="12">
        <f t="shared" si="2"/>
        <v>26</v>
      </c>
      <c r="AD35" s="98">
        <v>10</v>
      </c>
      <c r="AF35" s="12"/>
      <c r="AG35" s="47" t="str">
        <f t="shared" si="3"/>
        <v/>
      </c>
      <c r="AH35" s="47" t="str">
        <f t="shared" si="4"/>
        <v/>
      </c>
      <c r="AI35" s="47" t="str">
        <f t="shared" si="5"/>
        <v/>
      </c>
      <c r="AJ35" s="47" t="str">
        <f t="shared" si="6"/>
        <v/>
      </c>
      <c r="AK35" s="47" t="str">
        <f t="shared" si="7"/>
        <v/>
      </c>
      <c r="AL35" s="47" t="str">
        <f t="shared" si="8"/>
        <v/>
      </c>
      <c r="AM35" s="47" t="str">
        <f t="shared" si="9"/>
        <v/>
      </c>
      <c r="AN35" s="47" t="str">
        <f t="shared" si="10"/>
        <v/>
      </c>
      <c r="AO35" s="47" t="str">
        <f t="shared" si="11"/>
        <v/>
      </c>
      <c r="AP35" s="47" t="str">
        <f t="shared" si="12"/>
        <v/>
      </c>
      <c r="AQ35" s="47" t="str">
        <f t="shared" si="13"/>
        <v/>
      </c>
      <c r="AR35" s="47" t="str">
        <f t="shared" si="14"/>
        <v/>
      </c>
      <c r="AS35" s="47" t="str">
        <f t="shared" si="15"/>
        <v/>
      </c>
      <c r="AT35" s="47" t="str">
        <f t="shared" si="16"/>
        <v/>
      </c>
      <c r="AU35" s="47" t="str">
        <f t="shared" si="17"/>
        <v/>
      </c>
      <c r="AV35" s="47" t="str">
        <f t="shared" si="18"/>
        <v/>
      </c>
      <c r="AW35" s="47" t="str">
        <f t="shared" si="19"/>
        <v/>
      </c>
      <c r="AX35" s="47" t="str">
        <f t="shared" si="20"/>
        <v/>
      </c>
      <c r="AY35" s="47" t="str">
        <f t="shared" si="21"/>
        <v/>
      </c>
      <c r="AZ35" s="47" t="str">
        <f t="shared" si="22"/>
        <v/>
      </c>
      <c r="BA35" s="47" t="str">
        <f t="shared" si="23"/>
        <v/>
      </c>
      <c r="BB35" s="47" t="str">
        <f t="shared" si="24"/>
        <v/>
      </c>
      <c r="BC35" s="47" t="str">
        <f t="shared" si="25"/>
        <v/>
      </c>
      <c r="BD35" s="47" t="str">
        <f t="shared" si="26"/>
        <v/>
      </c>
      <c r="BF35" s="12" t="str">
        <f t="shared" si="27"/>
        <v/>
      </c>
      <c r="BG35" s="12" t="str">
        <f t="shared" si="28"/>
        <v/>
      </c>
    </row>
    <row r="36" spans="3:59">
      <c r="C36" s="75">
        <v>27</v>
      </c>
      <c r="D36" s="73">
        <v>35823</v>
      </c>
      <c r="E36" s="73">
        <v>35823.041666666664</v>
      </c>
      <c r="F36" s="73">
        <v>35823.083333333336</v>
      </c>
      <c r="G36" s="73">
        <v>35823.125</v>
      </c>
      <c r="H36" s="73">
        <v>35823.166666666664</v>
      </c>
      <c r="I36" s="73">
        <v>35823.208333333336</v>
      </c>
      <c r="J36" s="73">
        <v>35823.25</v>
      </c>
      <c r="K36" s="73">
        <v>35823.291666666664</v>
      </c>
      <c r="L36" s="73">
        <v>35823.333333333336</v>
      </c>
      <c r="M36" s="73">
        <v>35823.375</v>
      </c>
      <c r="N36" s="73">
        <v>35823.416666666664</v>
      </c>
      <c r="O36" s="73">
        <v>35823.458333333336</v>
      </c>
      <c r="P36" s="73">
        <v>35823.5</v>
      </c>
      <c r="Q36" s="73">
        <v>35823.541666666664</v>
      </c>
      <c r="R36" s="73">
        <v>35823.583333333336</v>
      </c>
      <c r="S36" s="73">
        <v>35823.625</v>
      </c>
      <c r="T36" s="73">
        <v>35823.666666666664</v>
      </c>
      <c r="U36" s="73">
        <v>35823.708333333336</v>
      </c>
      <c r="V36" s="73">
        <v>35823.75</v>
      </c>
      <c r="W36" s="73">
        <v>35823.791666666664</v>
      </c>
      <c r="X36" s="73">
        <v>35823.833333333336</v>
      </c>
      <c r="Y36" s="73">
        <v>35823.875</v>
      </c>
      <c r="Z36" s="73">
        <v>35823.916666666664</v>
      </c>
      <c r="AA36" s="74">
        <v>35823.958333333336</v>
      </c>
      <c r="AC36" s="12">
        <f t="shared" si="2"/>
        <v>27</v>
      </c>
      <c r="AD36" s="98">
        <v>10</v>
      </c>
      <c r="AF36" s="12"/>
      <c r="AG36" s="47" t="str">
        <f t="shared" si="3"/>
        <v/>
      </c>
      <c r="AH36" s="47" t="str">
        <f t="shared" si="4"/>
        <v/>
      </c>
      <c r="AI36" s="47" t="str">
        <f t="shared" si="5"/>
        <v/>
      </c>
      <c r="AJ36" s="47" t="str">
        <f t="shared" si="6"/>
        <v/>
      </c>
      <c r="AK36" s="47" t="str">
        <f t="shared" si="7"/>
        <v/>
      </c>
      <c r="AL36" s="47" t="str">
        <f t="shared" si="8"/>
        <v/>
      </c>
      <c r="AM36" s="47" t="str">
        <f t="shared" si="9"/>
        <v/>
      </c>
      <c r="AN36" s="47" t="str">
        <f t="shared" si="10"/>
        <v/>
      </c>
      <c r="AO36" s="47" t="str">
        <f t="shared" si="11"/>
        <v/>
      </c>
      <c r="AP36" s="47" t="str">
        <f t="shared" si="12"/>
        <v/>
      </c>
      <c r="AQ36" s="47" t="str">
        <f t="shared" si="13"/>
        <v/>
      </c>
      <c r="AR36" s="47" t="str">
        <f t="shared" si="14"/>
        <v/>
      </c>
      <c r="AS36" s="47" t="str">
        <f t="shared" si="15"/>
        <v/>
      </c>
      <c r="AT36" s="47" t="str">
        <f t="shared" si="16"/>
        <v/>
      </c>
      <c r="AU36" s="47" t="str">
        <f t="shared" si="17"/>
        <v/>
      </c>
      <c r="AV36" s="47" t="str">
        <f t="shared" si="18"/>
        <v/>
      </c>
      <c r="AW36" s="47" t="str">
        <f t="shared" si="19"/>
        <v/>
      </c>
      <c r="AX36" s="47" t="str">
        <f t="shared" si="20"/>
        <v/>
      </c>
      <c r="AY36" s="47" t="str">
        <f t="shared" si="21"/>
        <v/>
      </c>
      <c r="AZ36" s="47" t="str">
        <f t="shared" si="22"/>
        <v/>
      </c>
      <c r="BA36" s="47" t="str">
        <f t="shared" si="23"/>
        <v/>
      </c>
      <c r="BB36" s="47" t="str">
        <f t="shared" si="24"/>
        <v/>
      </c>
      <c r="BC36" s="47" t="str">
        <f t="shared" si="25"/>
        <v/>
      </c>
      <c r="BD36" s="47" t="str">
        <f t="shared" si="26"/>
        <v/>
      </c>
      <c r="BF36" s="12" t="str">
        <f t="shared" si="27"/>
        <v/>
      </c>
      <c r="BG36" s="12" t="str">
        <f t="shared" si="28"/>
        <v/>
      </c>
    </row>
    <row r="37" spans="3:59">
      <c r="C37" s="75">
        <v>28</v>
      </c>
      <c r="D37" s="73">
        <v>35824</v>
      </c>
      <c r="E37" s="73">
        <v>35824.041666666664</v>
      </c>
      <c r="F37" s="73">
        <v>35824.083333333336</v>
      </c>
      <c r="G37" s="73">
        <v>35824.125</v>
      </c>
      <c r="H37" s="73">
        <v>35824.166666666664</v>
      </c>
      <c r="I37" s="73">
        <v>35824.208333333336</v>
      </c>
      <c r="J37" s="73">
        <v>35824.25</v>
      </c>
      <c r="K37" s="73">
        <v>35824.291666666664</v>
      </c>
      <c r="L37" s="73">
        <v>35824.333333333336</v>
      </c>
      <c r="M37" s="73">
        <v>35824.375</v>
      </c>
      <c r="N37" s="73">
        <v>35824.416666666664</v>
      </c>
      <c r="O37" s="73">
        <v>35824.458333333336</v>
      </c>
      <c r="P37" s="73">
        <v>35824.5</v>
      </c>
      <c r="Q37" s="73">
        <v>35824.541666666664</v>
      </c>
      <c r="R37" s="73">
        <v>35824.583333333336</v>
      </c>
      <c r="S37" s="73">
        <v>35824.625</v>
      </c>
      <c r="T37" s="73">
        <v>35824.666666666664</v>
      </c>
      <c r="U37" s="73">
        <v>35824.708333333336</v>
      </c>
      <c r="V37" s="73">
        <v>35824.75</v>
      </c>
      <c r="W37" s="73">
        <v>35824.791666666664</v>
      </c>
      <c r="X37" s="73">
        <v>35824.833333333336</v>
      </c>
      <c r="Y37" s="73">
        <v>35824.875</v>
      </c>
      <c r="Z37" s="73">
        <v>35824.916666666664</v>
      </c>
      <c r="AA37" s="74">
        <v>35824.958333333336</v>
      </c>
      <c r="AC37" s="12">
        <f t="shared" si="2"/>
        <v>28</v>
      </c>
      <c r="AD37" s="98">
        <v>10</v>
      </c>
      <c r="AF37" s="12"/>
      <c r="AG37" s="47" t="str">
        <f t="shared" si="3"/>
        <v/>
      </c>
      <c r="AH37" s="47" t="str">
        <f t="shared" si="4"/>
        <v/>
      </c>
      <c r="AI37" s="47" t="str">
        <f t="shared" si="5"/>
        <v/>
      </c>
      <c r="AJ37" s="47" t="str">
        <f t="shared" si="6"/>
        <v/>
      </c>
      <c r="AK37" s="47" t="str">
        <f t="shared" si="7"/>
        <v/>
      </c>
      <c r="AL37" s="47" t="str">
        <f t="shared" si="8"/>
        <v/>
      </c>
      <c r="AM37" s="47" t="str">
        <f t="shared" si="9"/>
        <v/>
      </c>
      <c r="AN37" s="47" t="str">
        <f t="shared" si="10"/>
        <v/>
      </c>
      <c r="AO37" s="47" t="str">
        <f t="shared" si="11"/>
        <v/>
      </c>
      <c r="AP37" s="47" t="str">
        <f t="shared" si="12"/>
        <v/>
      </c>
      <c r="AQ37" s="47" t="str">
        <f t="shared" si="13"/>
        <v/>
      </c>
      <c r="AR37" s="47" t="str">
        <f t="shared" si="14"/>
        <v/>
      </c>
      <c r="AS37" s="47" t="str">
        <f t="shared" si="15"/>
        <v/>
      </c>
      <c r="AT37" s="47" t="str">
        <f t="shared" si="16"/>
        <v/>
      </c>
      <c r="AU37" s="47" t="str">
        <f t="shared" si="17"/>
        <v/>
      </c>
      <c r="AV37" s="47" t="str">
        <f t="shared" si="18"/>
        <v/>
      </c>
      <c r="AW37" s="47" t="str">
        <f t="shared" si="19"/>
        <v/>
      </c>
      <c r="AX37" s="47" t="str">
        <f t="shared" si="20"/>
        <v/>
      </c>
      <c r="AY37" s="47" t="str">
        <f t="shared" si="21"/>
        <v/>
      </c>
      <c r="AZ37" s="47" t="str">
        <f t="shared" si="22"/>
        <v/>
      </c>
      <c r="BA37" s="47" t="str">
        <f t="shared" si="23"/>
        <v/>
      </c>
      <c r="BB37" s="47" t="str">
        <f t="shared" si="24"/>
        <v/>
      </c>
      <c r="BC37" s="47" t="str">
        <f t="shared" si="25"/>
        <v/>
      </c>
      <c r="BD37" s="47" t="str">
        <f t="shared" si="26"/>
        <v/>
      </c>
      <c r="BF37" s="12" t="str">
        <f t="shared" si="27"/>
        <v/>
      </c>
      <c r="BG37" s="12" t="str">
        <f t="shared" si="28"/>
        <v/>
      </c>
    </row>
    <row r="38" spans="3:59">
      <c r="C38" s="75">
        <v>29</v>
      </c>
      <c r="D38" s="73">
        <v>35825</v>
      </c>
      <c r="E38" s="73">
        <v>35825.041666666664</v>
      </c>
      <c r="F38" s="73">
        <v>35825.083333333336</v>
      </c>
      <c r="G38" s="73">
        <v>35825.125</v>
      </c>
      <c r="H38" s="73">
        <v>35825.166666666664</v>
      </c>
      <c r="I38" s="73">
        <v>35825.208333333336</v>
      </c>
      <c r="J38" s="73">
        <v>35825.25</v>
      </c>
      <c r="K38" s="73">
        <v>35825.291666666664</v>
      </c>
      <c r="L38" s="73">
        <v>35825.333333333336</v>
      </c>
      <c r="M38" s="73">
        <v>35825.375</v>
      </c>
      <c r="N38" s="73">
        <v>35825.416666666664</v>
      </c>
      <c r="O38" s="73">
        <v>35825.458333333336</v>
      </c>
      <c r="P38" s="73">
        <v>35825.5</v>
      </c>
      <c r="Q38" s="73">
        <v>35825.541666666664</v>
      </c>
      <c r="R38" s="73">
        <v>35825.583333333336</v>
      </c>
      <c r="S38" s="73">
        <v>35825.625</v>
      </c>
      <c r="T38" s="73">
        <v>35825.666666666664</v>
      </c>
      <c r="U38" s="73">
        <v>35825.708333333336</v>
      </c>
      <c r="V38" s="73">
        <v>35825.75</v>
      </c>
      <c r="W38" s="73">
        <v>35825.791666666664</v>
      </c>
      <c r="X38" s="73">
        <v>35825.833333333336</v>
      </c>
      <c r="Y38" s="73">
        <v>35825.875</v>
      </c>
      <c r="Z38" s="73">
        <v>35825.916666666664</v>
      </c>
      <c r="AA38" s="74">
        <v>35825.958333333336</v>
      </c>
      <c r="AC38" s="12">
        <f t="shared" si="2"/>
        <v>29</v>
      </c>
      <c r="AD38" s="98">
        <v>10</v>
      </c>
      <c r="AF38" s="12"/>
      <c r="AG38" s="47" t="str">
        <f t="shared" si="3"/>
        <v/>
      </c>
      <c r="AH38" s="47" t="str">
        <f t="shared" si="4"/>
        <v/>
      </c>
      <c r="AI38" s="47" t="str">
        <f t="shared" si="5"/>
        <v/>
      </c>
      <c r="AJ38" s="47" t="str">
        <f t="shared" si="6"/>
        <v/>
      </c>
      <c r="AK38" s="47" t="str">
        <f t="shared" si="7"/>
        <v/>
      </c>
      <c r="AL38" s="47" t="str">
        <f t="shared" si="8"/>
        <v/>
      </c>
      <c r="AM38" s="47" t="str">
        <f t="shared" si="9"/>
        <v/>
      </c>
      <c r="AN38" s="47" t="str">
        <f t="shared" si="10"/>
        <v/>
      </c>
      <c r="AO38" s="47" t="str">
        <f t="shared" si="11"/>
        <v/>
      </c>
      <c r="AP38" s="47" t="str">
        <f t="shared" si="12"/>
        <v/>
      </c>
      <c r="AQ38" s="47" t="str">
        <f t="shared" si="13"/>
        <v/>
      </c>
      <c r="AR38" s="47" t="str">
        <f t="shared" si="14"/>
        <v/>
      </c>
      <c r="AS38" s="47" t="str">
        <f t="shared" si="15"/>
        <v/>
      </c>
      <c r="AT38" s="47" t="str">
        <f t="shared" si="16"/>
        <v/>
      </c>
      <c r="AU38" s="47" t="str">
        <f t="shared" si="17"/>
        <v/>
      </c>
      <c r="AV38" s="47" t="str">
        <f t="shared" si="18"/>
        <v/>
      </c>
      <c r="AW38" s="47" t="str">
        <f t="shared" si="19"/>
        <v/>
      </c>
      <c r="AX38" s="47" t="str">
        <f t="shared" si="20"/>
        <v/>
      </c>
      <c r="AY38" s="47" t="str">
        <f t="shared" si="21"/>
        <v/>
      </c>
      <c r="AZ38" s="47" t="str">
        <f t="shared" si="22"/>
        <v/>
      </c>
      <c r="BA38" s="47" t="str">
        <f t="shared" si="23"/>
        <v/>
      </c>
      <c r="BB38" s="47" t="str">
        <f t="shared" si="24"/>
        <v/>
      </c>
      <c r="BC38" s="47" t="str">
        <f t="shared" si="25"/>
        <v/>
      </c>
      <c r="BD38" s="47" t="str">
        <f t="shared" si="26"/>
        <v/>
      </c>
      <c r="BF38" s="12" t="str">
        <f t="shared" si="27"/>
        <v/>
      </c>
      <c r="BG38" s="12" t="str">
        <f t="shared" si="28"/>
        <v/>
      </c>
    </row>
    <row r="39" spans="3:59">
      <c r="C39" s="75">
        <v>30</v>
      </c>
      <c r="D39" s="73">
        <v>35826</v>
      </c>
      <c r="E39" s="73">
        <v>35826.041666666664</v>
      </c>
      <c r="F39" s="73">
        <v>35826.083333333336</v>
      </c>
      <c r="G39" s="73">
        <v>35826.125</v>
      </c>
      <c r="H39" s="73">
        <v>35826.166666666664</v>
      </c>
      <c r="I39" s="73">
        <v>35826.208333333336</v>
      </c>
      <c r="J39" s="73">
        <v>35826.25</v>
      </c>
      <c r="K39" s="73">
        <v>35826.291666666664</v>
      </c>
      <c r="L39" s="73">
        <v>35826.333333333336</v>
      </c>
      <c r="M39" s="73">
        <v>35826.375</v>
      </c>
      <c r="N39" s="73">
        <v>35826.416666666664</v>
      </c>
      <c r="O39" s="73">
        <v>35826.458333333336</v>
      </c>
      <c r="P39" s="73">
        <v>35826.5</v>
      </c>
      <c r="Q39" s="73">
        <v>35826.541666666664</v>
      </c>
      <c r="R39" s="73">
        <v>35826.583333333336</v>
      </c>
      <c r="S39" s="73">
        <v>35826.625</v>
      </c>
      <c r="T39" s="73">
        <v>35826.666666666664</v>
      </c>
      <c r="U39" s="73">
        <v>35826.708333333336</v>
      </c>
      <c r="V39" s="73">
        <v>35826.75</v>
      </c>
      <c r="W39" s="73">
        <v>35826.791666666664</v>
      </c>
      <c r="X39" s="73">
        <v>35826.833333333336</v>
      </c>
      <c r="Y39" s="73">
        <v>35826.875</v>
      </c>
      <c r="Z39" s="73">
        <v>35826.916666666664</v>
      </c>
      <c r="AA39" s="74">
        <v>35826.958333333336</v>
      </c>
      <c r="AC39" s="12">
        <f t="shared" si="2"/>
        <v>30</v>
      </c>
      <c r="AD39" s="98">
        <v>10</v>
      </c>
      <c r="AF39" s="12"/>
      <c r="AG39" s="47" t="str">
        <f t="shared" si="3"/>
        <v/>
      </c>
      <c r="AH39" s="47" t="str">
        <f t="shared" si="4"/>
        <v/>
      </c>
      <c r="AI39" s="47" t="str">
        <f t="shared" si="5"/>
        <v/>
      </c>
      <c r="AJ39" s="47" t="str">
        <f t="shared" si="6"/>
        <v/>
      </c>
      <c r="AK39" s="47" t="str">
        <f t="shared" si="7"/>
        <v/>
      </c>
      <c r="AL39" s="47" t="str">
        <f t="shared" si="8"/>
        <v/>
      </c>
      <c r="AM39" s="47" t="str">
        <f t="shared" si="9"/>
        <v/>
      </c>
      <c r="AN39" s="47" t="str">
        <f t="shared" si="10"/>
        <v/>
      </c>
      <c r="AO39" s="47" t="str">
        <f t="shared" si="11"/>
        <v/>
      </c>
      <c r="AP39" s="47" t="str">
        <f t="shared" si="12"/>
        <v/>
      </c>
      <c r="AQ39" s="47" t="str">
        <f t="shared" si="13"/>
        <v/>
      </c>
      <c r="AR39" s="47" t="str">
        <f t="shared" si="14"/>
        <v/>
      </c>
      <c r="AS39" s="47" t="str">
        <f t="shared" si="15"/>
        <v/>
      </c>
      <c r="AT39" s="47" t="str">
        <f t="shared" si="16"/>
        <v/>
      </c>
      <c r="AU39" s="47" t="str">
        <f t="shared" si="17"/>
        <v/>
      </c>
      <c r="AV39" s="47" t="str">
        <f t="shared" si="18"/>
        <v/>
      </c>
      <c r="AW39" s="47" t="str">
        <f t="shared" si="19"/>
        <v/>
      </c>
      <c r="AX39" s="47" t="str">
        <f t="shared" si="20"/>
        <v/>
      </c>
      <c r="AY39" s="47" t="str">
        <f t="shared" si="21"/>
        <v/>
      </c>
      <c r="AZ39" s="47" t="str">
        <f t="shared" si="22"/>
        <v/>
      </c>
      <c r="BA39" s="47" t="str">
        <f t="shared" si="23"/>
        <v/>
      </c>
      <c r="BB39" s="47" t="str">
        <f t="shared" si="24"/>
        <v/>
      </c>
      <c r="BC39" s="47" t="str">
        <f t="shared" si="25"/>
        <v/>
      </c>
      <c r="BD39" s="47" t="str">
        <f t="shared" si="26"/>
        <v/>
      </c>
      <c r="BF39" s="12" t="str">
        <f t="shared" si="27"/>
        <v/>
      </c>
      <c r="BG39" s="12" t="str">
        <f t="shared" si="28"/>
        <v/>
      </c>
    </row>
    <row r="40" spans="3:59">
      <c r="C40" s="75">
        <v>31</v>
      </c>
      <c r="D40" s="73">
        <v>35827</v>
      </c>
      <c r="E40" s="73">
        <v>35827.041666666664</v>
      </c>
      <c r="F40" s="73">
        <v>35827.083333333336</v>
      </c>
      <c r="G40" s="73">
        <v>35827.125</v>
      </c>
      <c r="H40" s="73">
        <v>35827.166666666664</v>
      </c>
      <c r="I40" s="73">
        <v>35827.208333333336</v>
      </c>
      <c r="J40" s="73">
        <v>35827.25</v>
      </c>
      <c r="K40" s="73">
        <v>35827.291666666664</v>
      </c>
      <c r="L40" s="73">
        <v>35827.333333333336</v>
      </c>
      <c r="M40" s="73">
        <v>35827.375</v>
      </c>
      <c r="N40" s="73">
        <v>35827.416666666664</v>
      </c>
      <c r="O40" s="73">
        <v>35827.458333333336</v>
      </c>
      <c r="P40" s="73">
        <v>35827.5</v>
      </c>
      <c r="Q40" s="73">
        <v>35827.541666666664</v>
      </c>
      <c r="R40" s="73">
        <v>35827.583333333336</v>
      </c>
      <c r="S40" s="73">
        <v>35827.625</v>
      </c>
      <c r="T40" s="73">
        <v>35827.666666666664</v>
      </c>
      <c r="U40" s="73">
        <v>35827.708333333336</v>
      </c>
      <c r="V40" s="73">
        <v>35827.75</v>
      </c>
      <c r="W40" s="73">
        <v>35827.791666666664</v>
      </c>
      <c r="X40" s="73">
        <v>35827.833333333336</v>
      </c>
      <c r="Y40" s="73">
        <v>35827.875</v>
      </c>
      <c r="Z40" s="73">
        <v>35827.916666666664</v>
      </c>
      <c r="AA40" s="74">
        <v>35827.958333333336</v>
      </c>
      <c r="AC40" s="12">
        <f t="shared" si="2"/>
        <v>31</v>
      </c>
      <c r="AD40" s="98">
        <v>40</v>
      </c>
      <c r="AF40" s="12"/>
      <c r="AG40" s="47" t="str">
        <f t="shared" si="3"/>
        <v/>
      </c>
      <c r="AH40" s="47" t="str">
        <f t="shared" si="4"/>
        <v/>
      </c>
      <c r="AI40" s="47" t="str">
        <f t="shared" si="5"/>
        <v/>
      </c>
      <c r="AJ40" s="47" t="str">
        <f t="shared" si="6"/>
        <v/>
      </c>
      <c r="AK40" s="47" t="str">
        <f t="shared" si="7"/>
        <v/>
      </c>
      <c r="AL40" s="47" t="str">
        <f t="shared" si="8"/>
        <v/>
      </c>
      <c r="AM40" s="47" t="str">
        <f t="shared" si="9"/>
        <v/>
      </c>
      <c r="AN40" s="47" t="str">
        <f t="shared" si="10"/>
        <v/>
      </c>
      <c r="AO40" s="47" t="str">
        <f t="shared" si="11"/>
        <v/>
      </c>
      <c r="AP40" s="47" t="str">
        <f t="shared" si="12"/>
        <v/>
      </c>
      <c r="AQ40" s="47" t="str">
        <f t="shared" si="13"/>
        <v/>
      </c>
      <c r="AR40" s="47" t="str">
        <f t="shared" si="14"/>
        <v/>
      </c>
      <c r="AS40" s="47" t="str">
        <f t="shared" si="15"/>
        <v/>
      </c>
      <c r="AT40" s="47" t="str">
        <f t="shared" si="16"/>
        <v/>
      </c>
      <c r="AU40" s="47" t="str">
        <f t="shared" si="17"/>
        <v/>
      </c>
      <c r="AV40" s="47" t="str">
        <f t="shared" si="18"/>
        <v/>
      </c>
      <c r="AW40" s="47" t="str">
        <f t="shared" si="19"/>
        <v/>
      </c>
      <c r="AX40" s="47" t="str">
        <f t="shared" si="20"/>
        <v/>
      </c>
      <c r="AY40" s="47" t="str">
        <f t="shared" si="21"/>
        <v/>
      </c>
      <c r="AZ40" s="47" t="str">
        <f t="shared" si="22"/>
        <v/>
      </c>
      <c r="BA40" s="47" t="str">
        <f t="shared" si="23"/>
        <v/>
      </c>
      <c r="BB40" s="47" t="str">
        <f t="shared" si="24"/>
        <v/>
      </c>
      <c r="BC40" s="47" t="str">
        <f t="shared" si="25"/>
        <v/>
      </c>
      <c r="BD40" s="47" t="str">
        <f t="shared" si="26"/>
        <v/>
      </c>
      <c r="BF40" s="12" t="str">
        <f t="shared" si="27"/>
        <v/>
      </c>
      <c r="BG40" s="12" t="str">
        <f t="shared" si="28"/>
        <v/>
      </c>
    </row>
    <row r="41" spans="3:59">
      <c r="C41" s="75">
        <v>32</v>
      </c>
      <c r="D41" s="73">
        <v>35828</v>
      </c>
      <c r="E41" s="73">
        <v>35828.041666666664</v>
      </c>
      <c r="F41" s="73">
        <v>35828.083333333336</v>
      </c>
      <c r="G41" s="73">
        <v>35828.125</v>
      </c>
      <c r="H41" s="73">
        <v>35828.166666666664</v>
      </c>
      <c r="I41" s="73">
        <v>35828.208333333336</v>
      </c>
      <c r="J41" s="73">
        <v>35828.25</v>
      </c>
      <c r="K41" s="73">
        <v>35828.291666666664</v>
      </c>
      <c r="L41" s="73">
        <v>35828.333333333336</v>
      </c>
      <c r="M41" s="73">
        <v>35828.375</v>
      </c>
      <c r="N41" s="73">
        <v>35828.416666666664</v>
      </c>
      <c r="O41" s="73">
        <v>35828.458333333336</v>
      </c>
      <c r="P41" s="73">
        <v>35828.5</v>
      </c>
      <c r="Q41" s="73">
        <v>35828.541666666664</v>
      </c>
      <c r="R41" s="73">
        <v>35828.583333333336</v>
      </c>
      <c r="S41" s="73">
        <v>35828.625</v>
      </c>
      <c r="T41" s="73">
        <v>35828.666666666664</v>
      </c>
      <c r="U41" s="73">
        <v>35828.708333333336</v>
      </c>
      <c r="V41" s="73">
        <v>35828.75</v>
      </c>
      <c r="W41" s="73">
        <v>35828.791666666664</v>
      </c>
      <c r="X41" s="73">
        <v>35828.833333333336</v>
      </c>
      <c r="Y41" s="73">
        <v>35828.875</v>
      </c>
      <c r="Z41" s="73">
        <v>35828.916666666664</v>
      </c>
      <c r="AA41" s="74">
        <v>35828.958333333336</v>
      </c>
      <c r="AC41" s="12">
        <f t="shared" si="2"/>
        <v>32</v>
      </c>
      <c r="AD41" s="98">
        <v>40</v>
      </c>
      <c r="AF41" s="12"/>
      <c r="AG41" s="47" t="str">
        <f t="shared" si="3"/>
        <v/>
      </c>
      <c r="AH41" s="47" t="str">
        <f t="shared" si="4"/>
        <v/>
      </c>
      <c r="AI41" s="47" t="str">
        <f t="shared" si="5"/>
        <v/>
      </c>
      <c r="AJ41" s="47" t="str">
        <f t="shared" si="6"/>
        <v/>
      </c>
      <c r="AK41" s="47" t="str">
        <f t="shared" si="7"/>
        <v/>
      </c>
      <c r="AL41" s="47" t="str">
        <f t="shared" si="8"/>
        <v/>
      </c>
      <c r="AM41" s="47" t="str">
        <f t="shared" si="9"/>
        <v/>
      </c>
      <c r="AN41" s="47" t="str">
        <f t="shared" si="10"/>
        <v/>
      </c>
      <c r="AO41" s="47" t="str">
        <f t="shared" si="11"/>
        <v/>
      </c>
      <c r="AP41" s="47" t="str">
        <f t="shared" si="12"/>
        <v/>
      </c>
      <c r="AQ41" s="47" t="str">
        <f t="shared" si="13"/>
        <v/>
      </c>
      <c r="AR41" s="47" t="str">
        <f t="shared" si="14"/>
        <v/>
      </c>
      <c r="AS41" s="47" t="str">
        <f t="shared" si="15"/>
        <v/>
      </c>
      <c r="AT41" s="47" t="str">
        <f t="shared" si="16"/>
        <v/>
      </c>
      <c r="AU41" s="47" t="str">
        <f t="shared" si="17"/>
        <v/>
      </c>
      <c r="AV41" s="47" t="str">
        <f t="shared" si="18"/>
        <v/>
      </c>
      <c r="AW41" s="47" t="str">
        <f t="shared" si="19"/>
        <v/>
      </c>
      <c r="AX41" s="47" t="str">
        <f t="shared" si="20"/>
        <v/>
      </c>
      <c r="AY41" s="47" t="str">
        <f t="shared" si="21"/>
        <v/>
      </c>
      <c r="AZ41" s="47" t="str">
        <f t="shared" si="22"/>
        <v/>
      </c>
      <c r="BA41" s="47" t="str">
        <f t="shared" si="23"/>
        <v/>
      </c>
      <c r="BB41" s="47" t="str">
        <f t="shared" si="24"/>
        <v/>
      </c>
      <c r="BC41" s="47" t="str">
        <f t="shared" si="25"/>
        <v/>
      </c>
      <c r="BD41" s="47" t="str">
        <f t="shared" si="26"/>
        <v/>
      </c>
      <c r="BF41" s="12" t="str">
        <f t="shared" si="27"/>
        <v/>
      </c>
      <c r="BG41" s="12" t="str">
        <f t="shared" si="28"/>
        <v/>
      </c>
    </row>
    <row r="42" spans="3:59">
      <c r="C42" s="75">
        <v>33</v>
      </c>
      <c r="D42" s="73">
        <v>35829</v>
      </c>
      <c r="E42" s="73">
        <v>35829.041666666664</v>
      </c>
      <c r="F42" s="73">
        <v>35829.083333333336</v>
      </c>
      <c r="G42" s="73">
        <v>35829.125</v>
      </c>
      <c r="H42" s="73">
        <v>35829.166666666664</v>
      </c>
      <c r="I42" s="73">
        <v>35829.208333333336</v>
      </c>
      <c r="J42" s="73">
        <v>35829.25</v>
      </c>
      <c r="K42" s="73">
        <v>35829.291666666664</v>
      </c>
      <c r="L42" s="73">
        <v>35829.333333333336</v>
      </c>
      <c r="M42" s="73">
        <v>35829.375</v>
      </c>
      <c r="N42" s="73">
        <v>35829.416666666664</v>
      </c>
      <c r="O42" s="73">
        <v>35829.458333333336</v>
      </c>
      <c r="P42" s="73">
        <v>35829.5</v>
      </c>
      <c r="Q42" s="73">
        <v>35829.541666666664</v>
      </c>
      <c r="R42" s="73">
        <v>35829.583333333336</v>
      </c>
      <c r="S42" s="73">
        <v>35829.625</v>
      </c>
      <c r="T42" s="73">
        <v>35829.666666666664</v>
      </c>
      <c r="U42" s="73">
        <v>35829.708333333336</v>
      </c>
      <c r="V42" s="73">
        <v>35829.75</v>
      </c>
      <c r="W42" s="73">
        <v>35829.791666666664</v>
      </c>
      <c r="X42" s="73">
        <v>35829.833333333336</v>
      </c>
      <c r="Y42" s="73">
        <v>35829.875</v>
      </c>
      <c r="Z42" s="73">
        <v>35829.916666666664</v>
      </c>
      <c r="AA42" s="74">
        <v>35829.958333333336</v>
      </c>
      <c r="AC42" s="12">
        <f t="shared" si="2"/>
        <v>33</v>
      </c>
      <c r="AD42" s="98">
        <v>40</v>
      </c>
      <c r="AF42" s="12"/>
      <c r="AG42" s="47" t="str">
        <f t="shared" si="3"/>
        <v/>
      </c>
      <c r="AH42" s="47" t="str">
        <f t="shared" si="4"/>
        <v/>
      </c>
      <c r="AI42" s="47" t="str">
        <f t="shared" si="5"/>
        <v/>
      </c>
      <c r="AJ42" s="47" t="str">
        <f t="shared" si="6"/>
        <v/>
      </c>
      <c r="AK42" s="47" t="str">
        <f t="shared" si="7"/>
        <v/>
      </c>
      <c r="AL42" s="47" t="str">
        <f t="shared" si="8"/>
        <v/>
      </c>
      <c r="AM42" s="47" t="str">
        <f t="shared" si="9"/>
        <v/>
      </c>
      <c r="AN42" s="47" t="str">
        <f t="shared" si="10"/>
        <v/>
      </c>
      <c r="AO42" s="47" t="str">
        <f t="shared" si="11"/>
        <v/>
      </c>
      <c r="AP42" s="47" t="str">
        <f t="shared" si="12"/>
        <v/>
      </c>
      <c r="AQ42" s="47" t="str">
        <f t="shared" si="13"/>
        <v/>
      </c>
      <c r="AR42" s="47" t="str">
        <f t="shared" si="14"/>
        <v/>
      </c>
      <c r="AS42" s="47" t="str">
        <f t="shared" si="15"/>
        <v/>
      </c>
      <c r="AT42" s="47" t="str">
        <f t="shared" si="16"/>
        <v/>
      </c>
      <c r="AU42" s="47" t="str">
        <f t="shared" si="17"/>
        <v/>
      </c>
      <c r="AV42" s="47" t="str">
        <f t="shared" si="18"/>
        <v/>
      </c>
      <c r="AW42" s="47" t="str">
        <f t="shared" si="19"/>
        <v/>
      </c>
      <c r="AX42" s="47" t="str">
        <f t="shared" si="20"/>
        <v/>
      </c>
      <c r="AY42" s="47" t="str">
        <f t="shared" si="21"/>
        <v/>
      </c>
      <c r="AZ42" s="47" t="str">
        <f t="shared" si="22"/>
        <v/>
      </c>
      <c r="BA42" s="47" t="str">
        <f t="shared" si="23"/>
        <v/>
      </c>
      <c r="BB42" s="47" t="str">
        <f t="shared" si="24"/>
        <v/>
      </c>
      <c r="BC42" s="47" t="str">
        <f t="shared" si="25"/>
        <v/>
      </c>
      <c r="BD42" s="47" t="str">
        <f t="shared" si="26"/>
        <v/>
      </c>
      <c r="BF42" s="12" t="str">
        <f t="shared" si="27"/>
        <v/>
      </c>
      <c r="BG42" s="12" t="str">
        <f t="shared" si="28"/>
        <v/>
      </c>
    </row>
    <row r="43" spans="3:59">
      <c r="C43" s="75">
        <v>34</v>
      </c>
      <c r="D43" s="73">
        <v>35830</v>
      </c>
      <c r="E43" s="73">
        <v>35830.041666666664</v>
      </c>
      <c r="F43" s="73">
        <v>35830.083333333336</v>
      </c>
      <c r="G43" s="73">
        <v>35830.125</v>
      </c>
      <c r="H43" s="73">
        <v>35830.166666666664</v>
      </c>
      <c r="I43" s="73">
        <v>35830.208333333336</v>
      </c>
      <c r="J43" s="73">
        <v>35830.25</v>
      </c>
      <c r="K43" s="73">
        <v>35830.291666666664</v>
      </c>
      <c r="L43" s="73">
        <v>35830.333333333336</v>
      </c>
      <c r="M43" s="73">
        <v>35830.375</v>
      </c>
      <c r="N43" s="73">
        <v>35830.416666666664</v>
      </c>
      <c r="O43" s="73">
        <v>35830.458333333336</v>
      </c>
      <c r="P43" s="73">
        <v>35830.5</v>
      </c>
      <c r="Q43" s="73">
        <v>35830.541666666664</v>
      </c>
      <c r="R43" s="73">
        <v>35830.583333333336</v>
      </c>
      <c r="S43" s="73">
        <v>35830.625</v>
      </c>
      <c r="T43" s="73">
        <v>35830.666666666664</v>
      </c>
      <c r="U43" s="73">
        <v>35830.708333333336</v>
      </c>
      <c r="V43" s="73">
        <v>35830.75</v>
      </c>
      <c r="W43" s="73">
        <v>35830.791666666664</v>
      </c>
      <c r="X43" s="73">
        <v>35830.833333333336</v>
      </c>
      <c r="Y43" s="73">
        <v>35830.875</v>
      </c>
      <c r="Z43" s="73">
        <v>35830.916666666664</v>
      </c>
      <c r="AA43" s="74">
        <v>35830.958333333336</v>
      </c>
      <c r="AC43" s="12">
        <f t="shared" si="2"/>
        <v>34</v>
      </c>
      <c r="AD43" s="98">
        <v>40</v>
      </c>
      <c r="AF43" s="12"/>
      <c r="AG43" s="47" t="str">
        <f t="shared" si="3"/>
        <v/>
      </c>
      <c r="AH43" s="47" t="str">
        <f t="shared" si="4"/>
        <v/>
      </c>
      <c r="AI43" s="47" t="str">
        <f t="shared" si="5"/>
        <v/>
      </c>
      <c r="AJ43" s="47" t="str">
        <f t="shared" si="6"/>
        <v/>
      </c>
      <c r="AK43" s="47" t="str">
        <f t="shared" si="7"/>
        <v/>
      </c>
      <c r="AL43" s="47" t="str">
        <f t="shared" si="8"/>
        <v/>
      </c>
      <c r="AM43" s="47" t="str">
        <f t="shared" si="9"/>
        <v/>
      </c>
      <c r="AN43" s="47" t="str">
        <f t="shared" si="10"/>
        <v/>
      </c>
      <c r="AO43" s="47" t="str">
        <f t="shared" si="11"/>
        <v/>
      </c>
      <c r="AP43" s="47" t="str">
        <f t="shared" si="12"/>
        <v/>
      </c>
      <c r="AQ43" s="47" t="str">
        <f t="shared" si="13"/>
        <v/>
      </c>
      <c r="AR43" s="47" t="str">
        <f t="shared" si="14"/>
        <v/>
      </c>
      <c r="AS43" s="47" t="str">
        <f t="shared" si="15"/>
        <v/>
      </c>
      <c r="AT43" s="47" t="str">
        <f t="shared" si="16"/>
        <v/>
      </c>
      <c r="AU43" s="47" t="str">
        <f t="shared" si="17"/>
        <v/>
      </c>
      <c r="AV43" s="47" t="str">
        <f t="shared" si="18"/>
        <v/>
      </c>
      <c r="AW43" s="47" t="str">
        <f t="shared" si="19"/>
        <v/>
      </c>
      <c r="AX43" s="47" t="str">
        <f t="shared" si="20"/>
        <v/>
      </c>
      <c r="AY43" s="47" t="str">
        <f t="shared" si="21"/>
        <v/>
      </c>
      <c r="AZ43" s="47" t="str">
        <f t="shared" si="22"/>
        <v/>
      </c>
      <c r="BA43" s="47" t="str">
        <f t="shared" si="23"/>
        <v/>
      </c>
      <c r="BB43" s="47" t="str">
        <f t="shared" si="24"/>
        <v/>
      </c>
      <c r="BC43" s="47" t="str">
        <f t="shared" si="25"/>
        <v/>
      </c>
      <c r="BD43" s="47" t="str">
        <f t="shared" si="26"/>
        <v/>
      </c>
      <c r="BF43" s="12" t="str">
        <f t="shared" si="27"/>
        <v/>
      </c>
      <c r="BG43" s="12" t="str">
        <f t="shared" si="28"/>
        <v/>
      </c>
    </row>
    <row r="44" spans="3:59">
      <c r="C44" s="75">
        <v>35</v>
      </c>
      <c r="D44" s="73">
        <v>35831</v>
      </c>
      <c r="E44" s="73">
        <v>35831.041666666664</v>
      </c>
      <c r="F44" s="73">
        <v>35831.083333333336</v>
      </c>
      <c r="G44" s="73">
        <v>35831.125</v>
      </c>
      <c r="H44" s="73">
        <v>35831.166666666664</v>
      </c>
      <c r="I44" s="73">
        <v>35831.208333333336</v>
      </c>
      <c r="J44" s="73">
        <v>35831.25</v>
      </c>
      <c r="K44" s="73">
        <v>35831.291666666664</v>
      </c>
      <c r="L44" s="73">
        <v>35831.333333333336</v>
      </c>
      <c r="M44" s="73">
        <v>35831.375</v>
      </c>
      <c r="N44" s="73">
        <v>35831.416666666664</v>
      </c>
      <c r="O44" s="73">
        <v>35831.458333333336</v>
      </c>
      <c r="P44" s="73">
        <v>35831.5</v>
      </c>
      <c r="Q44" s="73">
        <v>35831.541666666664</v>
      </c>
      <c r="R44" s="73">
        <v>35831.583333333336</v>
      </c>
      <c r="S44" s="73">
        <v>35831.625</v>
      </c>
      <c r="T44" s="73">
        <v>35831.666666666664</v>
      </c>
      <c r="U44" s="73">
        <v>35831.708333333336</v>
      </c>
      <c r="V44" s="73">
        <v>35831.75</v>
      </c>
      <c r="W44" s="73">
        <v>35831.791666666664</v>
      </c>
      <c r="X44" s="73">
        <v>35831.833333333336</v>
      </c>
      <c r="Y44" s="73">
        <v>35831.875</v>
      </c>
      <c r="Z44" s="73">
        <v>35831.916666666664</v>
      </c>
      <c r="AA44" s="74">
        <v>35831.958333333336</v>
      </c>
      <c r="AC44" s="12">
        <f t="shared" si="2"/>
        <v>35</v>
      </c>
      <c r="AD44" s="98">
        <v>40</v>
      </c>
      <c r="AF44" s="12"/>
      <c r="AG44" s="47" t="str">
        <f t="shared" si="3"/>
        <v/>
      </c>
      <c r="AH44" s="47" t="str">
        <f t="shared" si="4"/>
        <v/>
      </c>
      <c r="AI44" s="47" t="str">
        <f t="shared" si="5"/>
        <v/>
      </c>
      <c r="AJ44" s="47" t="str">
        <f t="shared" si="6"/>
        <v/>
      </c>
      <c r="AK44" s="47" t="str">
        <f t="shared" si="7"/>
        <v/>
      </c>
      <c r="AL44" s="47" t="str">
        <f t="shared" si="8"/>
        <v/>
      </c>
      <c r="AM44" s="47" t="str">
        <f t="shared" si="9"/>
        <v/>
      </c>
      <c r="AN44" s="47" t="str">
        <f t="shared" si="10"/>
        <v/>
      </c>
      <c r="AO44" s="47" t="str">
        <f t="shared" si="11"/>
        <v/>
      </c>
      <c r="AP44" s="47" t="str">
        <f t="shared" si="12"/>
        <v/>
      </c>
      <c r="AQ44" s="47" t="str">
        <f t="shared" si="13"/>
        <v/>
      </c>
      <c r="AR44" s="47" t="str">
        <f t="shared" si="14"/>
        <v/>
      </c>
      <c r="AS44" s="47" t="str">
        <f t="shared" si="15"/>
        <v/>
      </c>
      <c r="AT44" s="47" t="str">
        <f t="shared" si="16"/>
        <v/>
      </c>
      <c r="AU44" s="47" t="str">
        <f t="shared" si="17"/>
        <v/>
      </c>
      <c r="AV44" s="47" t="str">
        <f t="shared" si="18"/>
        <v/>
      </c>
      <c r="AW44" s="47" t="str">
        <f t="shared" si="19"/>
        <v/>
      </c>
      <c r="AX44" s="47" t="str">
        <f t="shared" si="20"/>
        <v/>
      </c>
      <c r="AY44" s="47" t="str">
        <f t="shared" si="21"/>
        <v/>
      </c>
      <c r="AZ44" s="47" t="str">
        <f t="shared" si="22"/>
        <v/>
      </c>
      <c r="BA44" s="47" t="str">
        <f t="shared" si="23"/>
        <v/>
      </c>
      <c r="BB44" s="47" t="str">
        <f t="shared" si="24"/>
        <v/>
      </c>
      <c r="BC44" s="47" t="str">
        <f t="shared" si="25"/>
        <v/>
      </c>
      <c r="BD44" s="47" t="str">
        <f t="shared" si="26"/>
        <v/>
      </c>
      <c r="BF44" s="12" t="str">
        <f t="shared" si="27"/>
        <v/>
      </c>
      <c r="BG44" s="12" t="str">
        <f t="shared" si="28"/>
        <v/>
      </c>
    </row>
    <row r="45" spans="3:59">
      <c r="C45" s="76">
        <v>36</v>
      </c>
      <c r="D45" s="77">
        <v>35832</v>
      </c>
      <c r="E45" s="77">
        <v>35832.041666666664</v>
      </c>
      <c r="F45" s="77">
        <v>35832.083333333336</v>
      </c>
      <c r="G45" s="77">
        <v>35832.125</v>
      </c>
      <c r="H45" s="77">
        <v>35832.166666666664</v>
      </c>
      <c r="I45" s="77">
        <v>35832.208333333336</v>
      </c>
      <c r="J45" s="77">
        <v>35832.25</v>
      </c>
      <c r="K45" s="77">
        <v>35832.291666666664</v>
      </c>
      <c r="L45" s="77">
        <v>35832.333333333336</v>
      </c>
      <c r="M45" s="77">
        <v>35832.375</v>
      </c>
      <c r="N45" s="77">
        <v>35832.416666666664</v>
      </c>
      <c r="O45" s="77">
        <v>35832.458333333336</v>
      </c>
      <c r="P45" s="77">
        <v>35832.5</v>
      </c>
      <c r="Q45" s="77">
        <v>35832.541666666664</v>
      </c>
      <c r="R45" s="77">
        <v>35832.583333333336</v>
      </c>
      <c r="S45" s="77">
        <v>35832.625</v>
      </c>
      <c r="T45" s="77">
        <v>35832.666666666664</v>
      </c>
      <c r="U45" s="77">
        <v>35832.708333333336</v>
      </c>
      <c r="V45" s="77">
        <v>35832.75</v>
      </c>
      <c r="W45" s="77">
        <v>35832.791666666664</v>
      </c>
      <c r="X45" s="77">
        <v>35832.833333333336</v>
      </c>
      <c r="Y45" s="77">
        <v>35832.875</v>
      </c>
      <c r="Z45" s="77">
        <v>35832.916666666664</v>
      </c>
      <c r="AA45" s="78">
        <v>35832.958333333336</v>
      </c>
      <c r="AC45" s="12">
        <f t="shared" si="2"/>
        <v>36</v>
      </c>
      <c r="AD45" s="98">
        <v>40</v>
      </c>
    </row>
    <row r="46" spans="3:59">
      <c r="C46" s="76">
        <v>37</v>
      </c>
      <c r="D46" s="77">
        <v>35833</v>
      </c>
      <c r="E46" s="77">
        <v>35833.041666666664</v>
      </c>
      <c r="F46" s="77">
        <v>35833.083333333336</v>
      </c>
      <c r="G46" s="77">
        <v>35833.125</v>
      </c>
      <c r="H46" s="77">
        <v>35833.166666666664</v>
      </c>
      <c r="I46" s="77">
        <v>35833.208333333336</v>
      </c>
      <c r="J46" s="77">
        <v>35833.25</v>
      </c>
      <c r="K46" s="77">
        <v>35833.291666666664</v>
      </c>
      <c r="L46" s="77">
        <v>35833.333333333336</v>
      </c>
      <c r="M46" s="77">
        <v>35833.375</v>
      </c>
      <c r="N46" s="77">
        <v>35833.416666666664</v>
      </c>
      <c r="O46" s="77">
        <v>35833.458333333336</v>
      </c>
      <c r="P46" s="77">
        <v>35833.5</v>
      </c>
      <c r="Q46" s="77">
        <v>35833.541666666664</v>
      </c>
      <c r="R46" s="77">
        <v>35833.583333333336</v>
      </c>
      <c r="S46" s="77">
        <v>35833.625</v>
      </c>
      <c r="T46" s="77">
        <v>35833.666666666664</v>
      </c>
      <c r="U46" s="77">
        <v>35833.708333333336</v>
      </c>
      <c r="V46" s="77">
        <v>35833.75</v>
      </c>
      <c r="W46" s="77">
        <v>35833.791666666664</v>
      </c>
      <c r="X46" s="77">
        <v>35833.833333333336</v>
      </c>
      <c r="Y46" s="77">
        <v>35833.875</v>
      </c>
      <c r="Z46" s="77">
        <v>35833.916666666664</v>
      </c>
      <c r="AA46" s="78">
        <v>35833.958333333336</v>
      </c>
      <c r="AC46" s="12">
        <f t="shared" si="2"/>
        <v>37</v>
      </c>
      <c r="AD46" s="98">
        <v>40</v>
      </c>
    </row>
    <row r="47" spans="3:59">
      <c r="C47" s="76">
        <v>38</v>
      </c>
      <c r="D47" s="77">
        <v>35834</v>
      </c>
      <c r="E47" s="77">
        <v>35834.041666666664</v>
      </c>
      <c r="F47" s="77">
        <v>35834.083333333336</v>
      </c>
      <c r="G47" s="77">
        <v>35834.125</v>
      </c>
      <c r="H47" s="77">
        <v>35834.166666666664</v>
      </c>
      <c r="I47" s="77">
        <v>35834.208333333336</v>
      </c>
      <c r="J47" s="77">
        <v>35834.25</v>
      </c>
      <c r="K47" s="77">
        <v>35834.291666666664</v>
      </c>
      <c r="L47" s="77">
        <v>35834.333333333336</v>
      </c>
      <c r="M47" s="77">
        <v>35834.375</v>
      </c>
      <c r="N47" s="77">
        <v>35834.416666666664</v>
      </c>
      <c r="O47" s="77">
        <v>35834.458333333336</v>
      </c>
      <c r="P47" s="77">
        <v>35834.5</v>
      </c>
      <c r="Q47" s="77">
        <v>35834.541666666664</v>
      </c>
      <c r="R47" s="77">
        <v>35834.583333333336</v>
      </c>
      <c r="S47" s="77">
        <v>35834.625</v>
      </c>
      <c r="T47" s="77">
        <v>35834.666666666664</v>
      </c>
      <c r="U47" s="77">
        <v>35834.708333333336</v>
      </c>
      <c r="V47" s="77">
        <v>35834.75</v>
      </c>
      <c r="W47" s="77">
        <v>35834.791666666664</v>
      </c>
      <c r="X47" s="77">
        <v>35834.833333333336</v>
      </c>
      <c r="Y47" s="77">
        <v>35834.875</v>
      </c>
      <c r="Z47" s="77">
        <v>35834.916666666664</v>
      </c>
      <c r="AA47" s="78">
        <v>35834.958333333336</v>
      </c>
      <c r="AC47" s="12">
        <f t="shared" si="2"/>
        <v>38</v>
      </c>
      <c r="AD47" s="98">
        <v>40</v>
      </c>
    </row>
    <row r="48" spans="3:59">
      <c r="C48" s="76">
        <v>39</v>
      </c>
      <c r="D48" s="77">
        <v>35835</v>
      </c>
      <c r="E48" s="77">
        <v>35835.041666666664</v>
      </c>
      <c r="F48" s="77">
        <v>35835.083333333336</v>
      </c>
      <c r="G48" s="77">
        <v>35835.125</v>
      </c>
      <c r="H48" s="77">
        <v>35835.166666666664</v>
      </c>
      <c r="I48" s="77">
        <v>35835.208333333336</v>
      </c>
      <c r="J48" s="77">
        <v>35835.25</v>
      </c>
      <c r="K48" s="77">
        <v>35835.291666666664</v>
      </c>
      <c r="L48" s="77">
        <v>35835.333333333336</v>
      </c>
      <c r="M48" s="77">
        <v>35835.375</v>
      </c>
      <c r="N48" s="77">
        <v>35835.416666666664</v>
      </c>
      <c r="O48" s="77">
        <v>35835.458333333336</v>
      </c>
      <c r="P48" s="77">
        <v>35835.5</v>
      </c>
      <c r="Q48" s="77">
        <v>35835.541666666664</v>
      </c>
      <c r="R48" s="77">
        <v>35835.583333333336</v>
      </c>
      <c r="S48" s="77">
        <v>35835.625</v>
      </c>
      <c r="T48" s="77">
        <v>35835.666666666664</v>
      </c>
      <c r="U48" s="77">
        <v>35835.708333333336</v>
      </c>
      <c r="V48" s="77">
        <v>35835.75</v>
      </c>
      <c r="W48" s="77">
        <v>35835.791666666664</v>
      </c>
      <c r="X48" s="77">
        <v>35835.833333333336</v>
      </c>
      <c r="Y48" s="77">
        <v>35835.875</v>
      </c>
      <c r="Z48" s="77">
        <v>35835.916666666664</v>
      </c>
      <c r="AA48" s="78">
        <v>35835.958333333336</v>
      </c>
      <c r="AC48" s="12">
        <f t="shared" si="2"/>
        <v>39</v>
      </c>
      <c r="AD48" s="98">
        <v>40</v>
      </c>
    </row>
    <row r="49" spans="3:30">
      <c r="C49" s="76">
        <v>40</v>
      </c>
      <c r="D49" s="77">
        <v>35836</v>
      </c>
      <c r="E49" s="77">
        <v>35836.041666666664</v>
      </c>
      <c r="F49" s="77">
        <v>35836.083333333336</v>
      </c>
      <c r="G49" s="77">
        <v>35836.125</v>
      </c>
      <c r="H49" s="77">
        <v>35836.166666666664</v>
      </c>
      <c r="I49" s="77">
        <v>35836.208333333336</v>
      </c>
      <c r="J49" s="77">
        <v>35836.25</v>
      </c>
      <c r="K49" s="77">
        <v>35836.291666666664</v>
      </c>
      <c r="L49" s="77">
        <v>35836.333333333336</v>
      </c>
      <c r="M49" s="77">
        <v>35836.375</v>
      </c>
      <c r="N49" s="77">
        <v>35836.416666666664</v>
      </c>
      <c r="O49" s="77">
        <v>35836.458333333336</v>
      </c>
      <c r="P49" s="77">
        <v>35836.5</v>
      </c>
      <c r="Q49" s="77">
        <v>35836.541666666664</v>
      </c>
      <c r="R49" s="77">
        <v>35836.583333333336</v>
      </c>
      <c r="S49" s="77">
        <v>35836.625</v>
      </c>
      <c r="T49" s="77">
        <v>35836.666666666664</v>
      </c>
      <c r="U49" s="77">
        <v>35836.708333333336</v>
      </c>
      <c r="V49" s="77">
        <v>35836.75</v>
      </c>
      <c r="W49" s="77">
        <v>35836.791666666664</v>
      </c>
      <c r="X49" s="77">
        <v>35836.833333333336</v>
      </c>
      <c r="Y49" s="77">
        <v>35836.875</v>
      </c>
      <c r="Z49" s="77">
        <v>35836.916666666664</v>
      </c>
      <c r="AA49" s="78">
        <v>35836.958333333336</v>
      </c>
      <c r="AC49" s="12">
        <f t="shared" si="2"/>
        <v>40</v>
      </c>
      <c r="AD49" s="98">
        <v>40</v>
      </c>
    </row>
    <row r="50" spans="3:30">
      <c r="C50" s="76">
        <v>41</v>
      </c>
      <c r="D50" s="77">
        <v>35837</v>
      </c>
      <c r="E50" s="77">
        <v>35837.041666666664</v>
      </c>
      <c r="F50" s="77">
        <v>35837.083333333336</v>
      </c>
      <c r="G50" s="77">
        <v>35837.125</v>
      </c>
      <c r="H50" s="77">
        <v>35837.166666666664</v>
      </c>
      <c r="I50" s="77">
        <v>35837.208333333336</v>
      </c>
      <c r="J50" s="77">
        <v>35837.25</v>
      </c>
      <c r="K50" s="77">
        <v>35837.291666666664</v>
      </c>
      <c r="L50" s="77">
        <v>35837.333333333336</v>
      </c>
      <c r="M50" s="77">
        <v>35837.375</v>
      </c>
      <c r="N50" s="77">
        <v>35837.416666666664</v>
      </c>
      <c r="O50" s="77">
        <v>35837.458333333336</v>
      </c>
      <c r="P50" s="77">
        <v>35837.5</v>
      </c>
      <c r="Q50" s="77">
        <v>35837.541666666664</v>
      </c>
      <c r="R50" s="77">
        <v>35837.583333333336</v>
      </c>
      <c r="S50" s="77">
        <v>35837.625</v>
      </c>
      <c r="T50" s="77">
        <v>35837.666666666664</v>
      </c>
      <c r="U50" s="77">
        <v>35837.708333333336</v>
      </c>
      <c r="V50" s="77">
        <v>35837.75</v>
      </c>
      <c r="W50" s="77">
        <v>35837.791666666664</v>
      </c>
      <c r="X50" s="77">
        <v>35837.833333333336</v>
      </c>
      <c r="Y50" s="77">
        <v>35837.875</v>
      </c>
      <c r="Z50" s="77">
        <v>35837.916666666664</v>
      </c>
      <c r="AA50" s="78">
        <v>35837.958333333336</v>
      </c>
      <c r="AC50" s="12">
        <f t="shared" si="2"/>
        <v>41</v>
      </c>
      <c r="AD50" s="98">
        <v>40</v>
      </c>
    </row>
    <row r="51" spans="3:30">
      <c r="C51" s="76">
        <v>42</v>
      </c>
      <c r="D51" s="77">
        <v>35838</v>
      </c>
      <c r="E51" s="77">
        <v>35838.041666666664</v>
      </c>
      <c r="F51" s="77">
        <v>35838.083333333336</v>
      </c>
      <c r="G51" s="77">
        <v>35838.125</v>
      </c>
      <c r="H51" s="77">
        <v>35838.166666666664</v>
      </c>
      <c r="I51" s="77">
        <v>35838.208333333336</v>
      </c>
      <c r="J51" s="77">
        <v>35838.25</v>
      </c>
      <c r="K51" s="77">
        <v>35838.291666666664</v>
      </c>
      <c r="L51" s="77">
        <v>35838.333333333336</v>
      </c>
      <c r="M51" s="77">
        <v>35838.375</v>
      </c>
      <c r="N51" s="77">
        <v>35838.416666666664</v>
      </c>
      <c r="O51" s="77">
        <v>35838.458333333336</v>
      </c>
      <c r="P51" s="77">
        <v>35838.5</v>
      </c>
      <c r="Q51" s="77">
        <v>35838.541666666664</v>
      </c>
      <c r="R51" s="77">
        <v>35838.583333333336</v>
      </c>
      <c r="S51" s="77">
        <v>35838.625</v>
      </c>
      <c r="T51" s="77">
        <v>35838.666666666664</v>
      </c>
      <c r="U51" s="77">
        <v>35838.708333333336</v>
      </c>
      <c r="V51" s="77">
        <v>35838.75</v>
      </c>
      <c r="W51" s="77">
        <v>35838.791666666664</v>
      </c>
      <c r="X51" s="77">
        <v>35838.833333333336</v>
      </c>
      <c r="Y51" s="77">
        <v>35838.875</v>
      </c>
      <c r="Z51" s="77">
        <v>35838.916666666664</v>
      </c>
      <c r="AA51" s="78">
        <v>35838.958333333336</v>
      </c>
      <c r="AC51" s="12">
        <f t="shared" si="2"/>
        <v>42</v>
      </c>
      <c r="AD51" s="98">
        <v>40</v>
      </c>
    </row>
    <row r="52" spans="3:30">
      <c r="C52" s="76">
        <v>43</v>
      </c>
      <c r="D52" s="77">
        <v>35839</v>
      </c>
      <c r="E52" s="77">
        <v>35839.041666666664</v>
      </c>
      <c r="F52" s="77">
        <v>35839.083333333336</v>
      </c>
      <c r="G52" s="77">
        <v>35839.125</v>
      </c>
      <c r="H52" s="77">
        <v>35839.166666666664</v>
      </c>
      <c r="I52" s="77">
        <v>35839.208333333336</v>
      </c>
      <c r="J52" s="77">
        <v>35839.25</v>
      </c>
      <c r="K52" s="77">
        <v>35839.291666666664</v>
      </c>
      <c r="L52" s="77">
        <v>35839.333333333336</v>
      </c>
      <c r="M52" s="77">
        <v>35839.375</v>
      </c>
      <c r="N52" s="77">
        <v>35839.416666666664</v>
      </c>
      <c r="O52" s="77">
        <v>35839.458333333336</v>
      </c>
      <c r="P52" s="77">
        <v>35839.5</v>
      </c>
      <c r="Q52" s="77">
        <v>35839.541666666664</v>
      </c>
      <c r="R52" s="77">
        <v>35839.583333333336</v>
      </c>
      <c r="S52" s="77">
        <v>35839.625</v>
      </c>
      <c r="T52" s="77">
        <v>35839.666666666664</v>
      </c>
      <c r="U52" s="77">
        <v>35839.708333333336</v>
      </c>
      <c r="V52" s="77">
        <v>35839.75</v>
      </c>
      <c r="W52" s="77">
        <v>35839.791666666664</v>
      </c>
      <c r="X52" s="77">
        <v>35839.833333333336</v>
      </c>
      <c r="Y52" s="77">
        <v>35839.875</v>
      </c>
      <c r="Z52" s="77">
        <v>35839.916666666664</v>
      </c>
      <c r="AA52" s="78">
        <v>35839.958333333336</v>
      </c>
      <c r="AC52" s="12">
        <f t="shared" si="2"/>
        <v>43</v>
      </c>
      <c r="AD52" s="98">
        <v>40</v>
      </c>
    </row>
    <row r="53" spans="3:30">
      <c r="C53" s="76">
        <v>44</v>
      </c>
      <c r="D53" s="77">
        <v>35840</v>
      </c>
      <c r="E53" s="77">
        <v>35840.041666666664</v>
      </c>
      <c r="F53" s="77">
        <v>35840.083333333336</v>
      </c>
      <c r="G53" s="77">
        <v>35840.125</v>
      </c>
      <c r="H53" s="77">
        <v>35840.166666666664</v>
      </c>
      <c r="I53" s="77">
        <v>35840.208333333336</v>
      </c>
      <c r="J53" s="77">
        <v>35840.25</v>
      </c>
      <c r="K53" s="77">
        <v>35840.291666666664</v>
      </c>
      <c r="L53" s="77">
        <v>35840.333333333336</v>
      </c>
      <c r="M53" s="77">
        <v>35840.375</v>
      </c>
      <c r="N53" s="77">
        <v>35840.416666666664</v>
      </c>
      <c r="O53" s="77">
        <v>35840.458333333336</v>
      </c>
      <c r="P53" s="77">
        <v>35840.5</v>
      </c>
      <c r="Q53" s="77">
        <v>35840.541666666664</v>
      </c>
      <c r="R53" s="77">
        <v>35840.583333333336</v>
      </c>
      <c r="S53" s="77">
        <v>35840.625</v>
      </c>
      <c r="T53" s="77">
        <v>35840.666666666664</v>
      </c>
      <c r="U53" s="77">
        <v>35840.708333333336</v>
      </c>
      <c r="V53" s="77">
        <v>35840.75</v>
      </c>
      <c r="W53" s="77">
        <v>35840.791666666664</v>
      </c>
      <c r="X53" s="77">
        <v>35840.833333333336</v>
      </c>
      <c r="Y53" s="77">
        <v>35840.875</v>
      </c>
      <c r="Z53" s="77">
        <v>35840.916666666664</v>
      </c>
      <c r="AA53" s="78">
        <v>35840.958333333336</v>
      </c>
      <c r="AC53" s="12">
        <f t="shared" si="2"/>
        <v>44</v>
      </c>
      <c r="AD53" s="98">
        <v>40</v>
      </c>
    </row>
    <row r="54" spans="3:30">
      <c r="C54" s="76">
        <v>45</v>
      </c>
      <c r="D54" s="77">
        <v>35841</v>
      </c>
      <c r="E54" s="77">
        <v>35841.041666666664</v>
      </c>
      <c r="F54" s="77">
        <v>35841.083333333336</v>
      </c>
      <c r="G54" s="77">
        <v>35841.125</v>
      </c>
      <c r="H54" s="77">
        <v>35841.166666666664</v>
      </c>
      <c r="I54" s="77">
        <v>35841.208333333336</v>
      </c>
      <c r="J54" s="77">
        <v>35841.25</v>
      </c>
      <c r="K54" s="77">
        <v>35841.291666666664</v>
      </c>
      <c r="L54" s="77">
        <v>35841.333333333336</v>
      </c>
      <c r="M54" s="77">
        <v>35841.375</v>
      </c>
      <c r="N54" s="77">
        <v>35841.416666666664</v>
      </c>
      <c r="O54" s="77">
        <v>35841.458333333336</v>
      </c>
      <c r="P54" s="77">
        <v>35841.5</v>
      </c>
      <c r="Q54" s="77">
        <v>35841.541666666664</v>
      </c>
      <c r="R54" s="77">
        <v>35841.583333333336</v>
      </c>
      <c r="S54" s="77">
        <v>35841.625</v>
      </c>
      <c r="T54" s="77">
        <v>35841.666666666664</v>
      </c>
      <c r="U54" s="77">
        <v>35841.708333333336</v>
      </c>
      <c r="V54" s="77">
        <v>35841.75</v>
      </c>
      <c r="W54" s="77">
        <v>35841.791666666664</v>
      </c>
      <c r="X54" s="77">
        <v>35841.833333333336</v>
      </c>
      <c r="Y54" s="77">
        <v>35841.875</v>
      </c>
      <c r="Z54" s="77">
        <v>35841.916666666664</v>
      </c>
      <c r="AA54" s="78">
        <v>35841.958333333336</v>
      </c>
      <c r="AC54" s="12">
        <f t="shared" si="2"/>
        <v>45</v>
      </c>
      <c r="AD54" s="98">
        <v>40</v>
      </c>
    </row>
    <row r="55" spans="3:30">
      <c r="C55" s="76">
        <v>46</v>
      </c>
      <c r="D55" s="77">
        <v>35842</v>
      </c>
      <c r="E55" s="77">
        <v>35842.041666666664</v>
      </c>
      <c r="F55" s="77">
        <v>35842.083333333336</v>
      </c>
      <c r="G55" s="77">
        <v>35842.125</v>
      </c>
      <c r="H55" s="77">
        <v>35842.166666666664</v>
      </c>
      <c r="I55" s="77">
        <v>35842.208333333336</v>
      </c>
      <c r="J55" s="77">
        <v>35842.25</v>
      </c>
      <c r="K55" s="77">
        <v>35842.291666666664</v>
      </c>
      <c r="L55" s="77">
        <v>35842.333333333336</v>
      </c>
      <c r="M55" s="77">
        <v>35842.375</v>
      </c>
      <c r="N55" s="77">
        <v>35842.416666666664</v>
      </c>
      <c r="O55" s="77">
        <v>35842.458333333336</v>
      </c>
      <c r="P55" s="77">
        <v>35842.5</v>
      </c>
      <c r="Q55" s="77">
        <v>35842.541666666664</v>
      </c>
      <c r="R55" s="77">
        <v>35842.583333333336</v>
      </c>
      <c r="S55" s="77">
        <v>35842.625</v>
      </c>
      <c r="T55" s="77">
        <v>35842.666666666664</v>
      </c>
      <c r="U55" s="77">
        <v>35842.708333333336</v>
      </c>
      <c r="V55" s="77">
        <v>35842.75</v>
      </c>
      <c r="W55" s="77">
        <v>35842.791666666664</v>
      </c>
      <c r="X55" s="77">
        <v>35842.833333333336</v>
      </c>
      <c r="Y55" s="77">
        <v>35842.875</v>
      </c>
      <c r="Z55" s="77">
        <v>35842.916666666664</v>
      </c>
      <c r="AA55" s="78">
        <v>35842.958333333336</v>
      </c>
      <c r="AC55" s="12">
        <f t="shared" si="2"/>
        <v>46</v>
      </c>
      <c r="AD55" s="98">
        <v>40</v>
      </c>
    </row>
    <row r="56" spans="3:30">
      <c r="C56" s="76">
        <v>47</v>
      </c>
      <c r="D56" s="77">
        <v>35843</v>
      </c>
      <c r="E56" s="77">
        <v>35843.041666666664</v>
      </c>
      <c r="F56" s="77">
        <v>35843.083333333336</v>
      </c>
      <c r="G56" s="77">
        <v>35843.125</v>
      </c>
      <c r="H56" s="77">
        <v>35843.166666666664</v>
      </c>
      <c r="I56" s="77">
        <v>35843.208333333336</v>
      </c>
      <c r="J56" s="77">
        <v>35843.25</v>
      </c>
      <c r="K56" s="77">
        <v>35843.291666666664</v>
      </c>
      <c r="L56" s="77">
        <v>35843.333333333336</v>
      </c>
      <c r="M56" s="77">
        <v>35843.375</v>
      </c>
      <c r="N56" s="77">
        <v>35843.416666666664</v>
      </c>
      <c r="O56" s="77">
        <v>35843.458333333336</v>
      </c>
      <c r="P56" s="77">
        <v>35843.5</v>
      </c>
      <c r="Q56" s="77">
        <v>35843.541666666664</v>
      </c>
      <c r="R56" s="77">
        <v>35843.583333333336</v>
      </c>
      <c r="S56" s="77">
        <v>35843.625</v>
      </c>
      <c r="T56" s="77">
        <v>35843.666666666664</v>
      </c>
      <c r="U56" s="77">
        <v>35843.708333333336</v>
      </c>
      <c r="V56" s="77">
        <v>35843.75</v>
      </c>
      <c r="W56" s="77">
        <v>35843.791666666664</v>
      </c>
      <c r="X56" s="77">
        <v>35843.833333333336</v>
      </c>
      <c r="Y56" s="77">
        <v>35843.875</v>
      </c>
      <c r="Z56" s="77">
        <v>35843.916666666664</v>
      </c>
      <c r="AA56" s="78">
        <v>35843.958333333336</v>
      </c>
      <c r="AC56" s="12">
        <f t="shared" si="2"/>
        <v>47</v>
      </c>
      <c r="AD56" s="98">
        <v>40</v>
      </c>
    </row>
    <row r="57" spans="3:30">
      <c r="C57" s="76">
        <v>48</v>
      </c>
      <c r="D57" s="77">
        <v>35844</v>
      </c>
      <c r="E57" s="77">
        <v>35844.041666666664</v>
      </c>
      <c r="F57" s="77">
        <v>35844.083333333336</v>
      </c>
      <c r="G57" s="77">
        <v>35844.125</v>
      </c>
      <c r="H57" s="77">
        <v>35844.166666666664</v>
      </c>
      <c r="I57" s="77">
        <v>35844.208333333336</v>
      </c>
      <c r="J57" s="77">
        <v>35844.25</v>
      </c>
      <c r="K57" s="77">
        <v>35844.291666666664</v>
      </c>
      <c r="L57" s="77">
        <v>35844.333333333336</v>
      </c>
      <c r="M57" s="77">
        <v>35844.375</v>
      </c>
      <c r="N57" s="77">
        <v>35844.416666666664</v>
      </c>
      <c r="O57" s="77">
        <v>35844.458333333336</v>
      </c>
      <c r="P57" s="77">
        <v>35844.5</v>
      </c>
      <c r="Q57" s="77">
        <v>35844.541666666664</v>
      </c>
      <c r="R57" s="77">
        <v>35844.583333333336</v>
      </c>
      <c r="S57" s="77">
        <v>35844.625</v>
      </c>
      <c r="T57" s="77">
        <v>35844.666666666664</v>
      </c>
      <c r="U57" s="77">
        <v>35844.708333333336</v>
      </c>
      <c r="V57" s="77">
        <v>35844.75</v>
      </c>
      <c r="W57" s="77">
        <v>35844.791666666664</v>
      </c>
      <c r="X57" s="77">
        <v>35844.833333333336</v>
      </c>
      <c r="Y57" s="77">
        <v>35844.875</v>
      </c>
      <c r="Z57" s="77">
        <v>35844.916666666664</v>
      </c>
      <c r="AA57" s="78">
        <v>35844.958333333336</v>
      </c>
      <c r="AC57" s="12">
        <f t="shared" si="2"/>
        <v>48</v>
      </c>
      <c r="AD57" s="98">
        <v>40</v>
      </c>
    </row>
    <row r="58" spans="3:30">
      <c r="C58" s="76">
        <v>49</v>
      </c>
      <c r="D58" s="77">
        <v>35845</v>
      </c>
      <c r="E58" s="77">
        <v>35845.041666666664</v>
      </c>
      <c r="F58" s="77">
        <v>35845.083333333336</v>
      </c>
      <c r="G58" s="77">
        <v>35845.125</v>
      </c>
      <c r="H58" s="77">
        <v>35845.166666666664</v>
      </c>
      <c r="I58" s="77">
        <v>35845.208333333336</v>
      </c>
      <c r="J58" s="77">
        <v>35845.25</v>
      </c>
      <c r="K58" s="77">
        <v>35845.291666666664</v>
      </c>
      <c r="L58" s="77">
        <v>35845.333333333336</v>
      </c>
      <c r="M58" s="77">
        <v>35845.375</v>
      </c>
      <c r="N58" s="77">
        <v>35845.416666666664</v>
      </c>
      <c r="O58" s="77">
        <v>35845.458333333336</v>
      </c>
      <c r="P58" s="77">
        <v>35845.5</v>
      </c>
      <c r="Q58" s="77">
        <v>35845.541666666664</v>
      </c>
      <c r="R58" s="77">
        <v>35845.583333333336</v>
      </c>
      <c r="S58" s="77">
        <v>35845.625</v>
      </c>
      <c r="T58" s="77">
        <v>35845.666666666664</v>
      </c>
      <c r="U58" s="77">
        <v>35845.708333333336</v>
      </c>
      <c r="V58" s="77">
        <v>35845.75</v>
      </c>
      <c r="W58" s="77">
        <v>35845.791666666664</v>
      </c>
      <c r="X58" s="77">
        <v>35845.833333333336</v>
      </c>
      <c r="Y58" s="77">
        <v>35845.875</v>
      </c>
      <c r="Z58" s="77">
        <v>35845.916666666664</v>
      </c>
      <c r="AA58" s="78">
        <v>35845.958333333336</v>
      </c>
      <c r="AC58" s="12">
        <f t="shared" si="2"/>
        <v>49</v>
      </c>
      <c r="AD58" s="98">
        <v>40</v>
      </c>
    </row>
    <row r="59" spans="3:30">
      <c r="C59" s="76">
        <v>50</v>
      </c>
      <c r="D59" s="77">
        <v>35846</v>
      </c>
      <c r="E59" s="77">
        <v>35846.041666666664</v>
      </c>
      <c r="F59" s="77">
        <v>35846.083333333336</v>
      </c>
      <c r="G59" s="77">
        <v>35846.125</v>
      </c>
      <c r="H59" s="77">
        <v>35846.166666666664</v>
      </c>
      <c r="I59" s="77">
        <v>35846.208333333336</v>
      </c>
      <c r="J59" s="77">
        <v>35846.25</v>
      </c>
      <c r="K59" s="77">
        <v>35846.291666666664</v>
      </c>
      <c r="L59" s="77">
        <v>35846.333333333336</v>
      </c>
      <c r="M59" s="77">
        <v>35846.375</v>
      </c>
      <c r="N59" s="77">
        <v>35846.416666666664</v>
      </c>
      <c r="O59" s="77">
        <v>35846.458333333336</v>
      </c>
      <c r="P59" s="77">
        <v>35846.5</v>
      </c>
      <c r="Q59" s="77">
        <v>35846.541666666664</v>
      </c>
      <c r="R59" s="77">
        <v>35846.583333333336</v>
      </c>
      <c r="S59" s="77">
        <v>35846.625</v>
      </c>
      <c r="T59" s="77">
        <v>35846.666666666664</v>
      </c>
      <c r="U59" s="77">
        <v>35846.708333333336</v>
      </c>
      <c r="V59" s="77">
        <v>35846.75</v>
      </c>
      <c r="W59" s="77">
        <v>35846.791666666664</v>
      </c>
      <c r="X59" s="77">
        <v>35846.833333333336</v>
      </c>
      <c r="Y59" s="77">
        <v>35846.875</v>
      </c>
      <c r="Z59" s="77">
        <v>35846.916666666664</v>
      </c>
      <c r="AA59" s="78">
        <v>35846.958333333336</v>
      </c>
      <c r="AC59" s="12">
        <f t="shared" si="2"/>
        <v>50</v>
      </c>
      <c r="AD59" s="98">
        <v>40</v>
      </c>
    </row>
    <row r="60" spans="3:30">
      <c r="C60" s="76">
        <v>51</v>
      </c>
      <c r="D60" s="77">
        <v>35847</v>
      </c>
      <c r="E60" s="77">
        <v>35847.041666666664</v>
      </c>
      <c r="F60" s="77">
        <v>35847.083333333336</v>
      </c>
      <c r="G60" s="77">
        <v>35847.125</v>
      </c>
      <c r="H60" s="77">
        <v>35847.166666666664</v>
      </c>
      <c r="I60" s="77">
        <v>35847.208333333336</v>
      </c>
      <c r="J60" s="77">
        <v>35847.25</v>
      </c>
      <c r="K60" s="77">
        <v>35847.291666666664</v>
      </c>
      <c r="L60" s="77">
        <v>35847.333333333336</v>
      </c>
      <c r="M60" s="77">
        <v>35847.375</v>
      </c>
      <c r="N60" s="77">
        <v>35847.416666666664</v>
      </c>
      <c r="O60" s="77">
        <v>35847.458333333336</v>
      </c>
      <c r="P60" s="77">
        <v>35847.5</v>
      </c>
      <c r="Q60" s="77">
        <v>35847.541666666664</v>
      </c>
      <c r="R60" s="77">
        <v>35847.583333333336</v>
      </c>
      <c r="S60" s="77">
        <v>35847.625</v>
      </c>
      <c r="T60" s="77">
        <v>35847.666666666664</v>
      </c>
      <c r="U60" s="77">
        <v>35847.708333333336</v>
      </c>
      <c r="V60" s="77">
        <v>35847.75</v>
      </c>
      <c r="W60" s="77">
        <v>35847.791666666664</v>
      </c>
      <c r="X60" s="77">
        <v>35847.833333333336</v>
      </c>
      <c r="Y60" s="77">
        <v>35847.875</v>
      </c>
      <c r="Z60" s="77">
        <v>35847.916666666664</v>
      </c>
      <c r="AA60" s="78">
        <v>35847.958333333336</v>
      </c>
      <c r="AC60" s="12">
        <f t="shared" si="2"/>
        <v>51</v>
      </c>
      <c r="AD60" s="98">
        <v>40</v>
      </c>
    </row>
    <row r="61" spans="3:30">
      <c r="C61" s="76">
        <v>52</v>
      </c>
      <c r="D61" s="77">
        <v>35848</v>
      </c>
      <c r="E61" s="77">
        <v>35848.041666666664</v>
      </c>
      <c r="F61" s="77">
        <v>35848.083333333336</v>
      </c>
      <c r="G61" s="77">
        <v>35848.125</v>
      </c>
      <c r="H61" s="77">
        <v>35848.166666666664</v>
      </c>
      <c r="I61" s="77">
        <v>35848.208333333336</v>
      </c>
      <c r="J61" s="77">
        <v>35848.25</v>
      </c>
      <c r="K61" s="77">
        <v>35848.291666666664</v>
      </c>
      <c r="L61" s="77">
        <v>35848.333333333336</v>
      </c>
      <c r="M61" s="77">
        <v>35848.375</v>
      </c>
      <c r="N61" s="77">
        <v>35848.416666666664</v>
      </c>
      <c r="O61" s="77">
        <v>35848.458333333336</v>
      </c>
      <c r="P61" s="77">
        <v>35848.5</v>
      </c>
      <c r="Q61" s="77">
        <v>35848.541666666664</v>
      </c>
      <c r="R61" s="77">
        <v>35848.583333333336</v>
      </c>
      <c r="S61" s="77">
        <v>35848.625</v>
      </c>
      <c r="T61" s="77">
        <v>35848.666666666664</v>
      </c>
      <c r="U61" s="77">
        <v>35848.708333333336</v>
      </c>
      <c r="V61" s="77">
        <v>35848.75</v>
      </c>
      <c r="W61" s="77">
        <v>35848.791666666664</v>
      </c>
      <c r="X61" s="77">
        <v>35848.833333333336</v>
      </c>
      <c r="Y61" s="77">
        <v>35848.875</v>
      </c>
      <c r="Z61" s="77">
        <v>35848.916666666664</v>
      </c>
      <c r="AA61" s="78">
        <v>35848.958333333336</v>
      </c>
      <c r="AC61" s="12">
        <f t="shared" si="2"/>
        <v>52</v>
      </c>
      <c r="AD61" s="98">
        <v>40</v>
      </c>
    </row>
    <row r="62" spans="3:30">
      <c r="C62" s="76">
        <v>53</v>
      </c>
      <c r="D62" s="77">
        <v>35849</v>
      </c>
      <c r="E62" s="77">
        <v>35849.041666666664</v>
      </c>
      <c r="F62" s="77">
        <v>35849.083333333336</v>
      </c>
      <c r="G62" s="77">
        <v>35849.125</v>
      </c>
      <c r="H62" s="77">
        <v>35849.166666666664</v>
      </c>
      <c r="I62" s="77">
        <v>35849.208333333336</v>
      </c>
      <c r="J62" s="77">
        <v>35849.25</v>
      </c>
      <c r="K62" s="77">
        <v>35849.291666666664</v>
      </c>
      <c r="L62" s="77">
        <v>35849.333333333336</v>
      </c>
      <c r="M62" s="77">
        <v>35849.375</v>
      </c>
      <c r="N62" s="77">
        <v>35849.416666666664</v>
      </c>
      <c r="O62" s="77">
        <v>35849.458333333336</v>
      </c>
      <c r="P62" s="77">
        <v>35849.5</v>
      </c>
      <c r="Q62" s="77">
        <v>35849.541666666664</v>
      </c>
      <c r="R62" s="77">
        <v>35849.583333333336</v>
      </c>
      <c r="S62" s="77">
        <v>35849.625</v>
      </c>
      <c r="T62" s="77">
        <v>35849.666666666664</v>
      </c>
      <c r="U62" s="77">
        <v>35849.708333333336</v>
      </c>
      <c r="V62" s="77">
        <v>35849.75</v>
      </c>
      <c r="W62" s="77">
        <v>35849.791666666664</v>
      </c>
      <c r="X62" s="77">
        <v>35849.833333333336</v>
      </c>
      <c r="Y62" s="77">
        <v>35849.875</v>
      </c>
      <c r="Z62" s="77">
        <v>35849.916666666664</v>
      </c>
      <c r="AA62" s="78">
        <v>35849.958333333336</v>
      </c>
      <c r="AC62" s="12">
        <f t="shared" si="2"/>
        <v>53</v>
      </c>
      <c r="AD62" s="98">
        <v>40</v>
      </c>
    </row>
    <row r="63" spans="3:30">
      <c r="C63" s="76">
        <v>54</v>
      </c>
      <c r="D63" s="77">
        <v>35850</v>
      </c>
      <c r="E63" s="77">
        <v>35850.041666666664</v>
      </c>
      <c r="F63" s="77">
        <v>35850.083333333336</v>
      </c>
      <c r="G63" s="77">
        <v>35850.125</v>
      </c>
      <c r="H63" s="77">
        <v>35850.166666666664</v>
      </c>
      <c r="I63" s="77">
        <v>35850.208333333336</v>
      </c>
      <c r="J63" s="77">
        <v>35850.25</v>
      </c>
      <c r="K63" s="77">
        <v>35850.291666666664</v>
      </c>
      <c r="L63" s="77">
        <v>35850.333333333336</v>
      </c>
      <c r="M63" s="77">
        <v>35850.375</v>
      </c>
      <c r="N63" s="77">
        <v>35850.416666666664</v>
      </c>
      <c r="O63" s="77">
        <v>35850.458333333336</v>
      </c>
      <c r="P63" s="77">
        <v>35850.5</v>
      </c>
      <c r="Q63" s="77">
        <v>35850.541666666664</v>
      </c>
      <c r="R63" s="77">
        <v>35850.583333333336</v>
      </c>
      <c r="S63" s="77">
        <v>35850.625</v>
      </c>
      <c r="T63" s="77">
        <v>35850.666666666664</v>
      </c>
      <c r="U63" s="77">
        <v>35850.708333333336</v>
      </c>
      <c r="V63" s="77">
        <v>35850.75</v>
      </c>
      <c r="W63" s="77">
        <v>35850.791666666664</v>
      </c>
      <c r="X63" s="77">
        <v>35850.833333333336</v>
      </c>
      <c r="Y63" s="77">
        <v>35850.875</v>
      </c>
      <c r="Z63" s="77">
        <v>35850.916666666664</v>
      </c>
      <c r="AA63" s="78">
        <v>35850.958333333336</v>
      </c>
      <c r="AC63" s="12">
        <f t="shared" si="2"/>
        <v>54</v>
      </c>
      <c r="AD63" s="98">
        <v>40</v>
      </c>
    </row>
    <row r="64" spans="3:30">
      <c r="C64" s="76">
        <v>55</v>
      </c>
      <c r="D64" s="77">
        <v>35851</v>
      </c>
      <c r="E64" s="77">
        <v>35851.041666666664</v>
      </c>
      <c r="F64" s="77">
        <v>35851.083333333336</v>
      </c>
      <c r="G64" s="77">
        <v>35851.125</v>
      </c>
      <c r="H64" s="77">
        <v>35851.166666666664</v>
      </c>
      <c r="I64" s="77">
        <v>35851.208333333336</v>
      </c>
      <c r="J64" s="77">
        <v>35851.25</v>
      </c>
      <c r="K64" s="77">
        <v>35851.291666666664</v>
      </c>
      <c r="L64" s="77">
        <v>35851.333333333336</v>
      </c>
      <c r="M64" s="77">
        <v>35851.375</v>
      </c>
      <c r="N64" s="77">
        <v>35851.416666666664</v>
      </c>
      <c r="O64" s="77">
        <v>35851.458333333336</v>
      </c>
      <c r="P64" s="77">
        <v>35851.5</v>
      </c>
      <c r="Q64" s="77">
        <v>35851.541666666664</v>
      </c>
      <c r="R64" s="77">
        <v>35851.583333333336</v>
      </c>
      <c r="S64" s="77">
        <v>35851.625</v>
      </c>
      <c r="T64" s="77">
        <v>35851.666666666664</v>
      </c>
      <c r="U64" s="77">
        <v>35851.708333333336</v>
      </c>
      <c r="V64" s="77">
        <v>35851.75</v>
      </c>
      <c r="W64" s="77">
        <v>35851.791666666664</v>
      </c>
      <c r="X64" s="77">
        <v>35851.833333333336</v>
      </c>
      <c r="Y64" s="77">
        <v>35851.875</v>
      </c>
      <c r="Z64" s="77">
        <v>35851.916666666664</v>
      </c>
      <c r="AA64" s="78">
        <v>35851.958333333336</v>
      </c>
      <c r="AC64" s="12">
        <f t="shared" si="2"/>
        <v>55</v>
      </c>
      <c r="AD64" s="98">
        <v>40</v>
      </c>
    </row>
    <row r="65" spans="3:30">
      <c r="C65" s="76">
        <v>56</v>
      </c>
      <c r="D65" s="77">
        <v>35852</v>
      </c>
      <c r="E65" s="77">
        <v>35852.041666666664</v>
      </c>
      <c r="F65" s="77">
        <v>35852.083333333336</v>
      </c>
      <c r="G65" s="77">
        <v>35852.125</v>
      </c>
      <c r="H65" s="77">
        <v>35852.166666666664</v>
      </c>
      <c r="I65" s="77">
        <v>35852.208333333336</v>
      </c>
      <c r="J65" s="77">
        <v>35852.25</v>
      </c>
      <c r="K65" s="77">
        <v>35852.291666666664</v>
      </c>
      <c r="L65" s="77">
        <v>35852.333333333336</v>
      </c>
      <c r="M65" s="77">
        <v>35852.375</v>
      </c>
      <c r="N65" s="77">
        <v>35852.416666666664</v>
      </c>
      <c r="O65" s="77">
        <v>35852.458333333336</v>
      </c>
      <c r="P65" s="77">
        <v>35852.5</v>
      </c>
      <c r="Q65" s="77">
        <v>35852.541666666664</v>
      </c>
      <c r="R65" s="77">
        <v>35852.583333333336</v>
      </c>
      <c r="S65" s="77">
        <v>35852.625</v>
      </c>
      <c r="T65" s="77">
        <v>35852.666666666664</v>
      </c>
      <c r="U65" s="77">
        <v>35852.708333333336</v>
      </c>
      <c r="V65" s="77">
        <v>35852.75</v>
      </c>
      <c r="W65" s="77">
        <v>35852.791666666664</v>
      </c>
      <c r="X65" s="77">
        <v>35852.833333333336</v>
      </c>
      <c r="Y65" s="77">
        <v>35852.875</v>
      </c>
      <c r="Z65" s="77">
        <v>35852.916666666664</v>
      </c>
      <c r="AA65" s="78">
        <v>35852.958333333336</v>
      </c>
      <c r="AC65" s="12">
        <f t="shared" si="2"/>
        <v>56</v>
      </c>
      <c r="AD65" s="98">
        <v>40</v>
      </c>
    </row>
    <row r="66" spans="3:30">
      <c r="C66" s="76">
        <v>57</v>
      </c>
      <c r="D66" s="77">
        <v>35853</v>
      </c>
      <c r="E66" s="77">
        <v>35853.041666666664</v>
      </c>
      <c r="F66" s="77">
        <v>35853.083333333336</v>
      </c>
      <c r="G66" s="77">
        <v>35853.125</v>
      </c>
      <c r="H66" s="77">
        <v>35853.166666666664</v>
      </c>
      <c r="I66" s="77">
        <v>35853.208333333336</v>
      </c>
      <c r="J66" s="77">
        <v>35853.25</v>
      </c>
      <c r="K66" s="77">
        <v>35853.291666666664</v>
      </c>
      <c r="L66" s="77">
        <v>35853.333333333336</v>
      </c>
      <c r="M66" s="77">
        <v>35853.375</v>
      </c>
      <c r="N66" s="77">
        <v>35853.416666666664</v>
      </c>
      <c r="O66" s="77">
        <v>35853.458333333336</v>
      </c>
      <c r="P66" s="77">
        <v>35853.5</v>
      </c>
      <c r="Q66" s="77">
        <v>35853.541666666664</v>
      </c>
      <c r="R66" s="77">
        <v>35853.583333333336</v>
      </c>
      <c r="S66" s="77">
        <v>35853.625</v>
      </c>
      <c r="T66" s="77">
        <v>35853.666666666664</v>
      </c>
      <c r="U66" s="77">
        <v>35853.708333333336</v>
      </c>
      <c r="V66" s="77">
        <v>35853.75</v>
      </c>
      <c r="W66" s="77">
        <v>35853.791666666664</v>
      </c>
      <c r="X66" s="77">
        <v>35853.833333333336</v>
      </c>
      <c r="Y66" s="77">
        <v>35853.875</v>
      </c>
      <c r="Z66" s="77">
        <v>35853.916666666664</v>
      </c>
      <c r="AA66" s="78">
        <v>35853.958333333336</v>
      </c>
      <c r="AC66" s="12">
        <f t="shared" si="2"/>
        <v>57</v>
      </c>
      <c r="AD66" s="98">
        <v>40</v>
      </c>
    </row>
    <row r="67" spans="3:30">
      <c r="C67" s="76">
        <v>58</v>
      </c>
      <c r="D67" s="77">
        <v>35854</v>
      </c>
      <c r="E67" s="77">
        <v>35854.041666666664</v>
      </c>
      <c r="F67" s="77">
        <v>35854.083333333336</v>
      </c>
      <c r="G67" s="77">
        <v>35854.125</v>
      </c>
      <c r="H67" s="77">
        <v>35854.166666666664</v>
      </c>
      <c r="I67" s="77">
        <v>35854.208333333336</v>
      </c>
      <c r="J67" s="77">
        <v>35854.25</v>
      </c>
      <c r="K67" s="77">
        <v>35854.291666666664</v>
      </c>
      <c r="L67" s="77">
        <v>35854.333333333336</v>
      </c>
      <c r="M67" s="77">
        <v>35854.375</v>
      </c>
      <c r="N67" s="77">
        <v>35854.416666666664</v>
      </c>
      <c r="O67" s="77">
        <v>35854.458333333336</v>
      </c>
      <c r="P67" s="77">
        <v>35854.5</v>
      </c>
      <c r="Q67" s="77">
        <v>35854.541666666664</v>
      </c>
      <c r="R67" s="77">
        <v>35854.583333333336</v>
      </c>
      <c r="S67" s="77">
        <v>35854.625</v>
      </c>
      <c r="T67" s="77">
        <v>35854.666666666664</v>
      </c>
      <c r="U67" s="77">
        <v>35854.708333333336</v>
      </c>
      <c r="V67" s="77">
        <v>35854.75</v>
      </c>
      <c r="W67" s="77">
        <v>35854.791666666664</v>
      </c>
      <c r="X67" s="77">
        <v>35854.833333333336</v>
      </c>
      <c r="Y67" s="77">
        <v>35854.875</v>
      </c>
      <c r="Z67" s="77">
        <v>35854.916666666664</v>
      </c>
      <c r="AA67" s="78">
        <v>35854.958333333336</v>
      </c>
      <c r="AC67" s="12">
        <f t="shared" si="2"/>
        <v>58</v>
      </c>
      <c r="AD67" s="98">
        <v>40</v>
      </c>
    </row>
    <row r="68" spans="3:30">
      <c r="C68" s="76">
        <v>59</v>
      </c>
      <c r="D68" s="77">
        <v>35855</v>
      </c>
      <c r="E68" s="77">
        <v>35855.041666666664</v>
      </c>
      <c r="F68" s="77">
        <v>35855.083333333336</v>
      </c>
      <c r="G68" s="77">
        <v>35855.125</v>
      </c>
      <c r="H68" s="77">
        <v>35855.166666666664</v>
      </c>
      <c r="I68" s="77">
        <v>35855.208333333336</v>
      </c>
      <c r="J68" s="77">
        <v>35855.25</v>
      </c>
      <c r="K68" s="77">
        <v>35855.291666666664</v>
      </c>
      <c r="L68" s="77">
        <v>35855.333333333336</v>
      </c>
      <c r="M68" s="77">
        <v>35855.375</v>
      </c>
      <c r="N68" s="77">
        <v>35855.416666666664</v>
      </c>
      <c r="O68" s="77">
        <v>35855.458333333336</v>
      </c>
      <c r="P68" s="77">
        <v>35855.5</v>
      </c>
      <c r="Q68" s="77">
        <v>35855.541666666664</v>
      </c>
      <c r="R68" s="77">
        <v>35855.583333333336</v>
      </c>
      <c r="S68" s="77">
        <v>35855.625</v>
      </c>
      <c r="T68" s="77">
        <v>35855.666666666664</v>
      </c>
      <c r="U68" s="77">
        <v>35855.708333333336</v>
      </c>
      <c r="V68" s="77">
        <v>35855.75</v>
      </c>
      <c r="W68" s="77">
        <v>35855.791666666664</v>
      </c>
      <c r="X68" s="77">
        <v>35855.833333333336</v>
      </c>
      <c r="Y68" s="77">
        <v>35855.875</v>
      </c>
      <c r="Z68" s="77">
        <v>35855.916666666664</v>
      </c>
      <c r="AA68" s="78">
        <v>35855.958333333336</v>
      </c>
      <c r="AC68" s="12">
        <f t="shared" si="2"/>
        <v>59</v>
      </c>
      <c r="AD68" s="98">
        <v>70</v>
      </c>
    </row>
    <row r="69" spans="3:30">
      <c r="C69" s="76">
        <v>60</v>
      </c>
      <c r="D69" s="77">
        <v>35856</v>
      </c>
      <c r="E69" s="77">
        <v>35856.041666666664</v>
      </c>
      <c r="F69" s="77">
        <v>35856.083333333336</v>
      </c>
      <c r="G69" s="77">
        <v>35856.125</v>
      </c>
      <c r="H69" s="77">
        <v>35856.166666666664</v>
      </c>
      <c r="I69" s="77">
        <v>35856.208333333336</v>
      </c>
      <c r="J69" s="77">
        <v>35856.25</v>
      </c>
      <c r="K69" s="77">
        <v>35856.291666666664</v>
      </c>
      <c r="L69" s="77">
        <v>35856.333333333336</v>
      </c>
      <c r="M69" s="77">
        <v>35856.375</v>
      </c>
      <c r="N69" s="77">
        <v>35856.416666666664</v>
      </c>
      <c r="O69" s="77">
        <v>35856.458333333336</v>
      </c>
      <c r="P69" s="77">
        <v>35856.5</v>
      </c>
      <c r="Q69" s="77">
        <v>35856.541666666664</v>
      </c>
      <c r="R69" s="77">
        <v>35856.583333333336</v>
      </c>
      <c r="S69" s="77">
        <v>35856.625</v>
      </c>
      <c r="T69" s="77">
        <v>35856.666666666664</v>
      </c>
      <c r="U69" s="77">
        <v>35856.708333333336</v>
      </c>
      <c r="V69" s="77">
        <v>35856.75</v>
      </c>
      <c r="W69" s="77">
        <v>35856.791666666664</v>
      </c>
      <c r="X69" s="77">
        <v>35856.833333333336</v>
      </c>
      <c r="Y69" s="77">
        <v>35856.875</v>
      </c>
      <c r="Z69" s="77">
        <v>35856.916666666664</v>
      </c>
      <c r="AA69" s="78">
        <v>35856.958333333336</v>
      </c>
      <c r="AC69" s="12">
        <f t="shared" si="2"/>
        <v>60</v>
      </c>
      <c r="AD69" s="98">
        <v>70</v>
      </c>
    </row>
    <row r="70" spans="3:30">
      <c r="C70" s="76">
        <v>61</v>
      </c>
      <c r="D70" s="77">
        <v>35857</v>
      </c>
      <c r="E70" s="77">
        <v>35857.041666666664</v>
      </c>
      <c r="F70" s="77">
        <v>35857.083333333336</v>
      </c>
      <c r="G70" s="77">
        <v>35857.125</v>
      </c>
      <c r="H70" s="77">
        <v>35857.166666666664</v>
      </c>
      <c r="I70" s="77">
        <v>35857.208333333336</v>
      </c>
      <c r="J70" s="77">
        <v>35857.25</v>
      </c>
      <c r="K70" s="77">
        <v>35857.291666666664</v>
      </c>
      <c r="L70" s="77">
        <v>35857.333333333336</v>
      </c>
      <c r="M70" s="77">
        <v>35857.375</v>
      </c>
      <c r="N70" s="77">
        <v>35857.416666666664</v>
      </c>
      <c r="O70" s="77">
        <v>35857.458333333336</v>
      </c>
      <c r="P70" s="77">
        <v>35857.5</v>
      </c>
      <c r="Q70" s="77">
        <v>35857.541666666664</v>
      </c>
      <c r="R70" s="77">
        <v>35857.583333333336</v>
      </c>
      <c r="S70" s="77">
        <v>35857.625</v>
      </c>
      <c r="T70" s="77">
        <v>35857.666666666664</v>
      </c>
      <c r="U70" s="77">
        <v>35857.708333333336</v>
      </c>
      <c r="V70" s="77">
        <v>35857.75</v>
      </c>
      <c r="W70" s="77">
        <v>35857.791666666664</v>
      </c>
      <c r="X70" s="77">
        <v>35857.833333333336</v>
      </c>
      <c r="Y70" s="77">
        <v>35857.875</v>
      </c>
      <c r="Z70" s="77">
        <v>35857.916666666664</v>
      </c>
      <c r="AA70" s="78">
        <v>35857.958333333336</v>
      </c>
      <c r="AC70" s="12">
        <f t="shared" si="2"/>
        <v>61</v>
      </c>
      <c r="AD70" s="98">
        <v>70</v>
      </c>
    </row>
    <row r="71" spans="3:30">
      <c r="C71" s="76">
        <v>62</v>
      </c>
      <c r="D71" s="77">
        <v>35858</v>
      </c>
      <c r="E71" s="77">
        <v>35858.041666666664</v>
      </c>
      <c r="F71" s="77">
        <v>35858.083333333336</v>
      </c>
      <c r="G71" s="77">
        <v>35858.125</v>
      </c>
      <c r="H71" s="77">
        <v>35858.166666666664</v>
      </c>
      <c r="I71" s="77">
        <v>35858.208333333336</v>
      </c>
      <c r="J71" s="77">
        <v>35858.25</v>
      </c>
      <c r="K71" s="77">
        <v>35858.291666666664</v>
      </c>
      <c r="L71" s="77">
        <v>35858.333333333336</v>
      </c>
      <c r="M71" s="77">
        <v>35858.375</v>
      </c>
      <c r="N71" s="77">
        <v>35858.416666666664</v>
      </c>
      <c r="O71" s="77">
        <v>35858.458333333336</v>
      </c>
      <c r="P71" s="77">
        <v>35858.5</v>
      </c>
      <c r="Q71" s="77">
        <v>35858.541666666664</v>
      </c>
      <c r="R71" s="77">
        <v>35858.583333333336</v>
      </c>
      <c r="S71" s="77">
        <v>35858.625</v>
      </c>
      <c r="T71" s="77">
        <v>35858.666666666664</v>
      </c>
      <c r="U71" s="77">
        <v>35858.708333333336</v>
      </c>
      <c r="V71" s="77">
        <v>35858.75</v>
      </c>
      <c r="W71" s="77">
        <v>35858.791666666664</v>
      </c>
      <c r="X71" s="77">
        <v>35858.833333333336</v>
      </c>
      <c r="Y71" s="77">
        <v>35858.875</v>
      </c>
      <c r="Z71" s="77">
        <v>35858.916666666664</v>
      </c>
      <c r="AA71" s="78">
        <v>35858.958333333336</v>
      </c>
      <c r="AC71" s="12">
        <f t="shared" si="2"/>
        <v>62</v>
      </c>
      <c r="AD71" s="98">
        <v>70</v>
      </c>
    </row>
    <row r="72" spans="3:30">
      <c r="C72" s="76">
        <v>63</v>
      </c>
      <c r="D72" s="77">
        <v>35859</v>
      </c>
      <c r="E72" s="77">
        <v>35859.041666666664</v>
      </c>
      <c r="F72" s="77">
        <v>35859.083333333336</v>
      </c>
      <c r="G72" s="77">
        <v>35859.125</v>
      </c>
      <c r="H72" s="77">
        <v>35859.166666666664</v>
      </c>
      <c r="I72" s="77">
        <v>35859.208333333336</v>
      </c>
      <c r="J72" s="77">
        <v>35859.25</v>
      </c>
      <c r="K72" s="77">
        <v>35859.291666666664</v>
      </c>
      <c r="L72" s="77">
        <v>35859.333333333336</v>
      </c>
      <c r="M72" s="77">
        <v>35859.375</v>
      </c>
      <c r="N72" s="77">
        <v>35859.416666666664</v>
      </c>
      <c r="O72" s="77">
        <v>35859.458333333336</v>
      </c>
      <c r="P72" s="77">
        <v>35859.5</v>
      </c>
      <c r="Q72" s="77">
        <v>35859.541666666664</v>
      </c>
      <c r="R72" s="77">
        <v>35859.583333333336</v>
      </c>
      <c r="S72" s="77">
        <v>35859.625</v>
      </c>
      <c r="T72" s="77">
        <v>35859.666666666664</v>
      </c>
      <c r="U72" s="77">
        <v>35859.708333333336</v>
      </c>
      <c r="V72" s="77">
        <v>35859.75</v>
      </c>
      <c r="W72" s="77">
        <v>35859.791666666664</v>
      </c>
      <c r="X72" s="77">
        <v>35859.833333333336</v>
      </c>
      <c r="Y72" s="77">
        <v>35859.875</v>
      </c>
      <c r="Z72" s="77">
        <v>35859.916666666664</v>
      </c>
      <c r="AA72" s="78">
        <v>35859.958333333336</v>
      </c>
      <c r="AC72" s="12">
        <f t="shared" si="2"/>
        <v>63</v>
      </c>
      <c r="AD72" s="98">
        <v>70</v>
      </c>
    </row>
    <row r="73" spans="3:30">
      <c r="C73" s="76">
        <v>64</v>
      </c>
      <c r="D73" s="77">
        <v>35860</v>
      </c>
      <c r="E73" s="77">
        <v>35860.041666666664</v>
      </c>
      <c r="F73" s="77">
        <v>35860.083333333336</v>
      </c>
      <c r="G73" s="77">
        <v>35860.125</v>
      </c>
      <c r="H73" s="77">
        <v>35860.166666666664</v>
      </c>
      <c r="I73" s="77">
        <v>35860.208333333336</v>
      </c>
      <c r="J73" s="77">
        <v>35860.25</v>
      </c>
      <c r="K73" s="77">
        <v>35860.291666666664</v>
      </c>
      <c r="L73" s="77">
        <v>35860.333333333336</v>
      </c>
      <c r="M73" s="77">
        <v>35860.375</v>
      </c>
      <c r="N73" s="77">
        <v>35860.416666666664</v>
      </c>
      <c r="O73" s="77">
        <v>35860.458333333336</v>
      </c>
      <c r="P73" s="77">
        <v>35860.5</v>
      </c>
      <c r="Q73" s="77">
        <v>35860.541666666664</v>
      </c>
      <c r="R73" s="77">
        <v>35860.583333333336</v>
      </c>
      <c r="S73" s="77">
        <v>35860.625</v>
      </c>
      <c r="T73" s="77">
        <v>35860.666666666664</v>
      </c>
      <c r="U73" s="77">
        <v>35860.708333333336</v>
      </c>
      <c r="V73" s="77">
        <v>35860.75</v>
      </c>
      <c r="W73" s="77">
        <v>35860.791666666664</v>
      </c>
      <c r="X73" s="77">
        <v>35860.833333333336</v>
      </c>
      <c r="Y73" s="77">
        <v>35860.875</v>
      </c>
      <c r="Z73" s="77">
        <v>35860.916666666664</v>
      </c>
      <c r="AA73" s="78">
        <v>35860.958333333336</v>
      </c>
      <c r="AC73" s="12">
        <f t="shared" ref="AC73:AC136" si="29">C73</f>
        <v>64</v>
      </c>
      <c r="AD73" s="98">
        <v>70</v>
      </c>
    </row>
    <row r="74" spans="3:30">
      <c r="C74" s="76">
        <v>65</v>
      </c>
      <c r="D74" s="77">
        <v>35861</v>
      </c>
      <c r="E74" s="77">
        <v>35861.041666666664</v>
      </c>
      <c r="F74" s="77">
        <v>35861.083333333336</v>
      </c>
      <c r="G74" s="77">
        <v>35861.125</v>
      </c>
      <c r="H74" s="77">
        <v>35861.166666666664</v>
      </c>
      <c r="I74" s="77">
        <v>35861.208333333336</v>
      </c>
      <c r="J74" s="77">
        <v>35861.25</v>
      </c>
      <c r="K74" s="77">
        <v>35861.291666666664</v>
      </c>
      <c r="L74" s="77">
        <v>35861.333333333336</v>
      </c>
      <c r="M74" s="77">
        <v>35861.375</v>
      </c>
      <c r="N74" s="77">
        <v>35861.416666666664</v>
      </c>
      <c r="O74" s="77">
        <v>35861.458333333336</v>
      </c>
      <c r="P74" s="77">
        <v>35861.5</v>
      </c>
      <c r="Q74" s="77">
        <v>35861.541666666664</v>
      </c>
      <c r="R74" s="77">
        <v>35861.583333333336</v>
      </c>
      <c r="S74" s="77">
        <v>35861.625</v>
      </c>
      <c r="T74" s="77">
        <v>35861.666666666664</v>
      </c>
      <c r="U74" s="77">
        <v>35861.708333333336</v>
      </c>
      <c r="V74" s="77">
        <v>35861.75</v>
      </c>
      <c r="W74" s="77">
        <v>35861.791666666664</v>
      </c>
      <c r="X74" s="77">
        <v>35861.833333333336</v>
      </c>
      <c r="Y74" s="77">
        <v>35861.875</v>
      </c>
      <c r="Z74" s="77">
        <v>35861.916666666664</v>
      </c>
      <c r="AA74" s="78">
        <v>35861.958333333336</v>
      </c>
      <c r="AC74" s="12">
        <f t="shared" si="29"/>
        <v>65</v>
      </c>
      <c r="AD74" s="98">
        <v>70</v>
      </c>
    </row>
    <row r="75" spans="3:30">
      <c r="C75" s="76">
        <v>66</v>
      </c>
      <c r="D75" s="77">
        <v>35862</v>
      </c>
      <c r="E75" s="77">
        <v>35862.041666666664</v>
      </c>
      <c r="F75" s="77">
        <v>35862.083333333336</v>
      </c>
      <c r="G75" s="77">
        <v>35862.125</v>
      </c>
      <c r="H75" s="77">
        <v>35862.166666666664</v>
      </c>
      <c r="I75" s="77">
        <v>35862.208333333336</v>
      </c>
      <c r="J75" s="77">
        <v>35862.25</v>
      </c>
      <c r="K75" s="77">
        <v>35862.291666666664</v>
      </c>
      <c r="L75" s="77">
        <v>35862.333333333336</v>
      </c>
      <c r="M75" s="77">
        <v>35862.375</v>
      </c>
      <c r="N75" s="77">
        <v>35862.416666666664</v>
      </c>
      <c r="O75" s="77">
        <v>35862.458333333336</v>
      </c>
      <c r="P75" s="77">
        <v>35862.5</v>
      </c>
      <c r="Q75" s="77">
        <v>35862.541666666664</v>
      </c>
      <c r="R75" s="77">
        <v>35862.583333333336</v>
      </c>
      <c r="S75" s="77">
        <v>35862.625</v>
      </c>
      <c r="T75" s="77">
        <v>35862.666666666664</v>
      </c>
      <c r="U75" s="77">
        <v>35862.708333333336</v>
      </c>
      <c r="V75" s="77">
        <v>35862.75</v>
      </c>
      <c r="W75" s="77">
        <v>35862.791666666664</v>
      </c>
      <c r="X75" s="77">
        <v>35862.833333333336</v>
      </c>
      <c r="Y75" s="77">
        <v>35862.875</v>
      </c>
      <c r="Z75" s="77">
        <v>35862.916666666664</v>
      </c>
      <c r="AA75" s="78">
        <v>35862.958333333336</v>
      </c>
      <c r="AC75" s="12">
        <f t="shared" si="29"/>
        <v>66</v>
      </c>
      <c r="AD75" s="98">
        <v>70</v>
      </c>
    </row>
    <row r="76" spans="3:30">
      <c r="C76" s="76">
        <v>67</v>
      </c>
      <c r="D76" s="77">
        <v>35863</v>
      </c>
      <c r="E76" s="77">
        <v>35863.041666666664</v>
      </c>
      <c r="F76" s="77">
        <v>35863.083333333336</v>
      </c>
      <c r="G76" s="77">
        <v>35863.125</v>
      </c>
      <c r="H76" s="77">
        <v>35863.166666666664</v>
      </c>
      <c r="I76" s="77">
        <v>35863.208333333336</v>
      </c>
      <c r="J76" s="77">
        <v>35863.25</v>
      </c>
      <c r="K76" s="77">
        <v>35863.291666666664</v>
      </c>
      <c r="L76" s="77">
        <v>35863.333333333336</v>
      </c>
      <c r="M76" s="77">
        <v>35863.375</v>
      </c>
      <c r="N76" s="77">
        <v>35863.416666666664</v>
      </c>
      <c r="O76" s="77">
        <v>35863.458333333336</v>
      </c>
      <c r="P76" s="77">
        <v>35863.5</v>
      </c>
      <c r="Q76" s="77">
        <v>35863.541666666664</v>
      </c>
      <c r="R76" s="77">
        <v>35863.583333333336</v>
      </c>
      <c r="S76" s="77">
        <v>35863.625</v>
      </c>
      <c r="T76" s="77">
        <v>35863.666666666664</v>
      </c>
      <c r="U76" s="77">
        <v>35863.708333333336</v>
      </c>
      <c r="V76" s="77">
        <v>35863.75</v>
      </c>
      <c r="W76" s="77">
        <v>35863.791666666664</v>
      </c>
      <c r="X76" s="77">
        <v>35863.833333333336</v>
      </c>
      <c r="Y76" s="77">
        <v>35863.875</v>
      </c>
      <c r="Z76" s="77">
        <v>35863.916666666664</v>
      </c>
      <c r="AA76" s="78">
        <v>35863.958333333336</v>
      </c>
      <c r="AC76" s="12">
        <f t="shared" si="29"/>
        <v>67</v>
      </c>
      <c r="AD76" s="98">
        <v>70</v>
      </c>
    </row>
    <row r="77" spans="3:30">
      <c r="C77" s="76">
        <v>68</v>
      </c>
      <c r="D77" s="77">
        <v>35864</v>
      </c>
      <c r="E77" s="77">
        <v>35864.041666666664</v>
      </c>
      <c r="F77" s="77">
        <v>35864.083333333336</v>
      </c>
      <c r="G77" s="77">
        <v>35864.125</v>
      </c>
      <c r="H77" s="77">
        <v>35864.166666666664</v>
      </c>
      <c r="I77" s="77">
        <v>35864.208333333336</v>
      </c>
      <c r="J77" s="77">
        <v>35864.25</v>
      </c>
      <c r="K77" s="77">
        <v>35864.291666666664</v>
      </c>
      <c r="L77" s="77">
        <v>35864.333333333336</v>
      </c>
      <c r="M77" s="77">
        <v>35864.375</v>
      </c>
      <c r="N77" s="77">
        <v>35864.416666666664</v>
      </c>
      <c r="O77" s="77">
        <v>35864.458333333336</v>
      </c>
      <c r="P77" s="77">
        <v>35864.5</v>
      </c>
      <c r="Q77" s="77">
        <v>35864.541666666664</v>
      </c>
      <c r="R77" s="77">
        <v>35864.583333333336</v>
      </c>
      <c r="S77" s="77">
        <v>35864.625</v>
      </c>
      <c r="T77" s="77">
        <v>35864.666666666664</v>
      </c>
      <c r="U77" s="77">
        <v>35864.708333333336</v>
      </c>
      <c r="V77" s="77">
        <v>35864.75</v>
      </c>
      <c r="W77" s="77">
        <v>35864.791666666664</v>
      </c>
      <c r="X77" s="77">
        <v>35864.833333333336</v>
      </c>
      <c r="Y77" s="77">
        <v>35864.875</v>
      </c>
      <c r="Z77" s="77">
        <v>35864.916666666664</v>
      </c>
      <c r="AA77" s="78">
        <v>35864.958333333336</v>
      </c>
      <c r="AC77" s="12">
        <f t="shared" si="29"/>
        <v>68</v>
      </c>
      <c r="AD77" s="98">
        <v>70</v>
      </c>
    </row>
    <row r="78" spans="3:30">
      <c r="C78" s="76">
        <v>69</v>
      </c>
      <c r="D78" s="77">
        <v>35865</v>
      </c>
      <c r="E78" s="77">
        <v>35865.041666666664</v>
      </c>
      <c r="F78" s="77">
        <v>35865.083333333336</v>
      </c>
      <c r="G78" s="77">
        <v>35865.125</v>
      </c>
      <c r="H78" s="77">
        <v>35865.166666666664</v>
      </c>
      <c r="I78" s="77">
        <v>35865.208333333336</v>
      </c>
      <c r="J78" s="77">
        <v>35865.25</v>
      </c>
      <c r="K78" s="77">
        <v>35865.291666666664</v>
      </c>
      <c r="L78" s="77">
        <v>35865.333333333336</v>
      </c>
      <c r="M78" s="77">
        <v>35865.375</v>
      </c>
      <c r="N78" s="77">
        <v>35865.416666666664</v>
      </c>
      <c r="O78" s="77">
        <v>35865.458333333336</v>
      </c>
      <c r="P78" s="77">
        <v>35865.5</v>
      </c>
      <c r="Q78" s="77">
        <v>35865.541666666664</v>
      </c>
      <c r="R78" s="77">
        <v>35865.583333333336</v>
      </c>
      <c r="S78" s="77">
        <v>35865.625</v>
      </c>
      <c r="T78" s="77">
        <v>35865.666666666664</v>
      </c>
      <c r="U78" s="77">
        <v>35865.708333333336</v>
      </c>
      <c r="V78" s="77">
        <v>35865.75</v>
      </c>
      <c r="W78" s="77">
        <v>35865.791666666664</v>
      </c>
      <c r="X78" s="77">
        <v>35865.833333333336</v>
      </c>
      <c r="Y78" s="77">
        <v>35865.875</v>
      </c>
      <c r="Z78" s="77">
        <v>35865.916666666664</v>
      </c>
      <c r="AA78" s="78">
        <v>35865.958333333336</v>
      </c>
      <c r="AC78" s="12">
        <f t="shared" si="29"/>
        <v>69</v>
      </c>
      <c r="AD78" s="98">
        <v>70</v>
      </c>
    </row>
    <row r="79" spans="3:30">
      <c r="C79" s="76">
        <v>70</v>
      </c>
      <c r="D79" s="77">
        <v>35866</v>
      </c>
      <c r="E79" s="77">
        <v>35866.041666666664</v>
      </c>
      <c r="F79" s="77">
        <v>35866.083333333336</v>
      </c>
      <c r="G79" s="77">
        <v>35866.125</v>
      </c>
      <c r="H79" s="77">
        <v>35866.166666666664</v>
      </c>
      <c r="I79" s="77">
        <v>35866.208333333336</v>
      </c>
      <c r="J79" s="77">
        <v>35866.25</v>
      </c>
      <c r="K79" s="77">
        <v>35866.291666666664</v>
      </c>
      <c r="L79" s="77">
        <v>35866.333333333336</v>
      </c>
      <c r="M79" s="77">
        <v>35866.375</v>
      </c>
      <c r="N79" s="77">
        <v>35866.416666666664</v>
      </c>
      <c r="O79" s="77">
        <v>35866.458333333336</v>
      </c>
      <c r="P79" s="77">
        <v>35866.5</v>
      </c>
      <c r="Q79" s="77">
        <v>35866.541666666664</v>
      </c>
      <c r="R79" s="77">
        <v>35866.583333333336</v>
      </c>
      <c r="S79" s="77">
        <v>35866.625</v>
      </c>
      <c r="T79" s="77">
        <v>35866.666666666664</v>
      </c>
      <c r="U79" s="77">
        <v>35866.708333333336</v>
      </c>
      <c r="V79" s="77">
        <v>35866.75</v>
      </c>
      <c r="W79" s="77">
        <v>35866.791666666664</v>
      </c>
      <c r="X79" s="77">
        <v>35866.833333333336</v>
      </c>
      <c r="Y79" s="77">
        <v>35866.875</v>
      </c>
      <c r="Z79" s="77">
        <v>35866.916666666664</v>
      </c>
      <c r="AA79" s="78">
        <v>35866.958333333336</v>
      </c>
      <c r="AC79" s="12">
        <f t="shared" si="29"/>
        <v>70</v>
      </c>
      <c r="AD79" s="98">
        <v>70</v>
      </c>
    </row>
    <row r="80" spans="3:30">
      <c r="C80" s="76">
        <v>71</v>
      </c>
      <c r="D80" s="77">
        <v>35867</v>
      </c>
      <c r="E80" s="77">
        <v>35867.041666666664</v>
      </c>
      <c r="F80" s="77">
        <v>35867.083333333336</v>
      </c>
      <c r="G80" s="77">
        <v>35867.125</v>
      </c>
      <c r="H80" s="77">
        <v>35867.166666666664</v>
      </c>
      <c r="I80" s="77">
        <v>35867.208333333336</v>
      </c>
      <c r="J80" s="77">
        <v>35867.25</v>
      </c>
      <c r="K80" s="77">
        <v>35867.291666666664</v>
      </c>
      <c r="L80" s="77">
        <v>35867.333333333336</v>
      </c>
      <c r="M80" s="77">
        <v>35867.375</v>
      </c>
      <c r="N80" s="77">
        <v>35867.416666666664</v>
      </c>
      <c r="O80" s="77">
        <v>35867.458333333336</v>
      </c>
      <c r="P80" s="77">
        <v>35867.5</v>
      </c>
      <c r="Q80" s="77">
        <v>35867.541666666664</v>
      </c>
      <c r="R80" s="77">
        <v>35867.583333333336</v>
      </c>
      <c r="S80" s="77">
        <v>35867.625</v>
      </c>
      <c r="T80" s="77">
        <v>35867.666666666664</v>
      </c>
      <c r="U80" s="77">
        <v>35867.708333333336</v>
      </c>
      <c r="V80" s="77">
        <v>35867.75</v>
      </c>
      <c r="W80" s="77">
        <v>35867.791666666664</v>
      </c>
      <c r="X80" s="77">
        <v>35867.833333333336</v>
      </c>
      <c r="Y80" s="77">
        <v>35867.875</v>
      </c>
      <c r="Z80" s="77">
        <v>35867.916666666664</v>
      </c>
      <c r="AA80" s="78">
        <v>35867.958333333336</v>
      </c>
      <c r="AC80" s="12">
        <f t="shared" si="29"/>
        <v>71</v>
      </c>
      <c r="AD80" s="98">
        <v>70</v>
      </c>
    </row>
    <row r="81" spans="3:30">
      <c r="C81" s="76">
        <v>72</v>
      </c>
      <c r="D81" s="77">
        <v>35868</v>
      </c>
      <c r="E81" s="77">
        <v>35868.041666666664</v>
      </c>
      <c r="F81" s="77">
        <v>35868.083333333336</v>
      </c>
      <c r="G81" s="77">
        <v>35868.125</v>
      </c>
      <c r="H81" s="77">
        <v>35868.166666666664</v>
      </c>
      <c r="I81" s="77">
        <v>35868.208333333336</v>
      </c>
      <c r="J81" s="77">
        <v>35868.25</v>
      </c>
      <c r="K81" s="77">
        <v>35868.291666666664</v>
      </c>
      <c r="L81" s="77">
        <v>35868.333333333336</v>
      </c>
      <c r="M81" s="77">
        <v>35868.375</v>
      </c>
      <c r="N81" s="77">
        <v>35868.416666666664</v>
      </c>
      <c r="O81" s="77">
        <v>35868.458333333336</v>
      </c>
      <c r="P81" s="77">
        <v>35868.5</v>
      </c>
      <c r="Q81" s="77">
        <v>35868.541666666664</v>
      </c>
      <c r="R81" s="77">
        <v>35868.583333333336</v>
      </c>
      <c r="S81" s="77">
        <v>35868.625</v>
      </c>
      <c r="T81" s="77">
        <v>35868.666666666664</v>
      </c>
      <c r="U81" s="77">
        <v>35868.708333333336</v>
      </c>
      <c r="V81" s="77">
        <v>35868.75</v>
      </c>
      <c r="W81" s="77">
        <v>35868.791666666664</v>
      </c>
      <c r="X81" s="77">
        <v>35868.833333333336</v>
      </c>
      <c r="Y81" s="77">
        <v>35868.875</v>
      </c>
      <c r="Z81" s="77">
        <v>35868.916666666664</v>
      </c>
      <c r="AA81" s="78">
        <v>35868.958333333336</v>
      </c>
      <c r="AC81" s="12">
        <f t="shared" si="29"/>
        <v>72</v>
      </c>
      <c r="AD81" s="98">
        <v>70</v>
      </c>
    </row>
    <row r="82" spans="3:30">
      <c r="C82" s="76">
        <v>73</v>
      </c>
      <c r="D82" s="77">
        <v>35869</v>
      </c>
      <c r="E82" s="77">
        <v>35869.041666666664</v>
      </c>
      <c r="F82" s="77">
        <v>35869.083333333336</v>
      </c>
      <c r="G82" s="77">
        <v>35869.125</v>
      </c>
      <c r="H82" s="77">
        <v>35869.166666666664</v>
      </c>
      <c r="I82" s="77">
        <v>35869.208333333336</v>
      </c>
      <c r="J82" s="77">
        <v>35869.25</v>
      </c>
      <c r="K82" s="77">
        <v>35869.291666666664</v>
      </c>
      <c r="L82" s="77">
        <v>35869.333333333336</v>
      </c>
      <c r="M82" s="77">
        <v>35869.375</v>
      </c>
      <c r="N82" s="77">
        <v>35869.416666666664</v>
      </c>
      <c r="O82" s="77">
        <v>35869.458333333336</v>
      </c>
      <c r="P82" s="77">
        <v>35869.5</v>
      </c>
      <c r="Q82" s="77">
        <v>35869.541666666664</v>
      </c>
      <c r="R82" s="77">
        <v>35869.583333333336</v>
      </c>
      <c r="S82" s="77">
        <v>35869.625</v>
      </c>
      <c r="T82" s="77">
        <v>35869.666666666664</v>
      </c>
      <c r="U82" s="77">
        <v>35869.708333333336</v>
      </c>
      <c r="V82" s="77">
        <v>35869.75</v>
      </c>
      <c r="W82" s="77">
        <v>35869.791666666664</v>
      </c>
      <c r="X82" s="77">
        <v>35869.833333333336</v>
      </c>
      <c r="Y82" s="77">
        <v>35869.875</v>
      </c>
      <c r="Z82" s="77">
        <v>35869.916666666664</v>
      </c>
      <c r="AA82" s="78">
        <v>35869.958333333336</v>
      </c>
      <c r="AC82" s="12">
        <f t="shared" si="29"/>
        <v>73</v>
      </c>
      <c r="AD82" s="98">
        <v>70</v>
      </c>
    </row>
    <row r="83" spans="3:30">
      <c r="C83" s="76">
        <v>74</v>
      </c>
      <c r="D83" s="77">
        <v>35870</v>
      </c>
      <c r="E83" s="77">
        <v>35870.041666666664</v>
      </c>
      <c r="F83" s="77">
        <v>35870.083333333336</v>
      </c>
      <c r="G83" s="77">
        <v>35870.125</v>
      </c>
      <c r="H83" s="77">
        <v>35870.166666666664</v>
      </c>
      <c r="I83" s="77">
        <v>35870.208333333336</v>
      </c>
      <c r="J83" s="77">
        <v>35870.25</v>
      </c>
      <c r="K83" s="77">
        <v>35870.291666666664</v>
      </c>
      <c r="L83" s="77">
        <v>35870.333333333336</v>
      </c>
      <c r="M83" s="77">
        <v>35870.375</v>
      </c>
      <c r="N83" s="77">
        <v>35870.416666666664</v>
      </c>
      <c r="O83" s="77">
        <v>35870.458333333336</v>
      </c>
      <c r="P83" s="77">
        <v>35870.5</v>
      </c>
      <c r="Q83" s="77">
        <v>35870.541666666664</v>
      </c>
      <c r="R83" s="77">
        <v>35870.583333333336</v>
      </c>
      <c r="S83" s="77">
        <v>35870.625</v>
      </c>
      <c r="T83" s="77">
        <v>35870.666666666664</v>
      </c>
      <c r="U83" s="77">
        <v>35870.708333333336</v>
      </c>
      <c r="V83" s="77">
        <v>35870.75</v>
      </c>
      <c r="W83" s="77">
        <v>35870.791666666664</v>
      </c>
      <c r="X83" s="77">
        <v>35870.833333333336</v>
      </c>
      <c r="Y83" s="77">
        <v>35870.875</v>
      </c>
      <c r="Z83" s="77">
        <v>35870.916666666664</v>
      </c>
      <c r="AA83" s="78">
        <v>35870.958333333336</v>
      </c>
      <c r="AC83" s="12">
        <f t="shared" si="29"/>
        <v>74</v>
      </c>
      <c r="AD83" s="98">
        <v>70</v>
      </c>
    </row>
    <row r="84" spans="3:30">
      <c r="C84" s="76">
        <v>75</v>
      </c>
      <c r="D84" s="77">
        <v>35871</v>
      </c>
      <c r="E84" s="77">
        <v>35871.041666666664</v>
      </c>
      <c r="F84" s="77">
        <v>35871.083333333336</v>
      </c>
      <c r="G84" s="77">
        <v>35871.125</v>
      </c>
      <c r="H84" s="77">
        <v>35871.166666666664</v>
      </c>
      <c r="I84" s="77">
        <v>35871.208333333336</v>
      </c>
      <c r="J84" s="77">
        <v>35871.25</v>
      </c>
      <c r="K84" s="77">
        <v>35871.291666666664</v>
      </c>
      <c r="L84" s="77">
        <v>35871.333333333336</v>
      </c>
      <c r="M84" s="77">
        <v>35871.375</v>
      </c>
      <c r="N84" s="77">
        <v>35871.416666666664</v>
      </c>
      <c r="O84" s="77">
        <v>35871.458333333336</v>
      </c>
      <c r="P84" s="77">
        <v>35871.5</v>
      </c>
      <c r="Q84" s="77">
        <v>35871.541666666664</v>
      </c>
      <c r="R84" s="77">
        <v>35871.583333333336</v>
      </c>
      <c r="S84" s="77">
        <v>35871.625</v>
      </c>
      <c r="T84" s="77">
        <v>35871.666666666664</v>
      </c>
      <c r="U84" s="77">
        <v>35871.708333333336</v>
      </c>
      <c r="V84" s="77">
        <v>35871.75</v>
      </c>
      <c r="W84" s="77">
        <v>35871.791666666664</v>
      </c>
      <c r="X84" s="77">
        <v>35871.833333333336</v>
      </c>
      <c r="Y84" s="77">
        <v>35871.875</v>
      </c>
      <c r="Z84" s="77">
        <v>35871.916666666664</v>
      </c>
      <c r="AA84" s="78">
        <v>35871.958333333336</v>
      </c>
      <c r="AC84" s="12">
        <f t="shared" si="29"/>
        <v>75</v>
      </c>
      <c r="AD84" s="98">
        <v>70</v>
      </c>
    </row>
    <row r="85" spans="3:30">
      <c r="C85" s="76">
        <v>76</v>
      </c>
      <c r="D85" s="77">
        <v>35872</v>
      </c>
      <c r="E85" s="77">
        <v>35872.041666666664</v>
      </c>
      <c r="F85" s="77">
        <v>35872.083333333336</v>
      </c>
      <c r="G85" s="77">
        <v>35872.125</v>
      </c>
      <c r="H85" s="77">
        <v>35872.166666666664</v>
      </c>
      <c r="I85" s="77">
        <v>35872.208333333336</v>
      </c>
      <c r="J85" s="77">
        <v>35872.25</v>
      </c>
      <c r="K85" s="77">
        <v>35872.291666666664</v>
      </c>
      <c r="L85" s="77">
        <v>35872.333333333336</v>
      </c>
      <c r="M85" s="77">
        <v>35872.375</v>
      </c>
      <c r="N85" s="77">
        <v>35872.416666666664</v>
      </c>
      <c r="O85" s="77">
        <v>35872.458333333336</v>
      </c>
      <c r="P85" s="77">
        <v>35872.5</v>
      </c>
      <c r="Q85" s="77">
        <v>35872.541666666664</v>
      </c>
      <c r="R85" s="77">
        <v>35872.583333333336</v>
      </c>
      <c r="S85" s="77">
        <v>35872.625</v>
      </c>
      <c r="T85" s="77">
        <v>35872.666666666664</v>
      </c>
      <c r="U85" s="77">
        <v>35872.708333333336</v>
      </c>
      <c r="V85" s="77">
        <v>35872.75</v>
      </c>
      <c r="W85" s="77">
        <v>35872.791666666664</v>
      </c>
      <c r="X85" s="77">
        <v>35872.833333333336</v>
      </c>
      <c r="Y85" s="77">
        <v>35872.875</v>
      </c>
      <c r="Z85" s="77">
        <v>35872.916666666664</v>
      </c>
      <c r="AA85" s="78">
        <v>35872.958333333336</v>
      </c>
      <c r="AC85" s="12">
        <f t="shared" si="29"/>
        <v>76</v>
      </c>
      <c r="AD85" s="98">
        <v>70</v>
      </c>
    </row>
    <row r="86" spans="3:30">
      <c r="C86" s="76">
        <v>77</v>
      </c>
      <c r="D86" s="77">
        <v>35873</v>
      </c>
      <c r="E86" s="77">
        <v>35873.041666666664</v>
      </c>
      <c r="F86" s="77">
        <v>35873.083333333336</v>
      </c>
      <c r="G86" s="77">
        <v>35873.125</v>
      </c>
      <c r="H86" s="77">
        <v>35873.166666666664</v>
      </c>
      <c r="I86" s="77">
        <v>35873.208333333336</v>
      </c>
      <c r="J86" s="77">
        <v>35873.25</v>
      </c>
      <c r="K86" s="77">
        <v>35873.291666666664</v>
      </c>
      <c r="L86" s="77">
        <v>35873.333333333336</v>
      </c>
      <c r="M86" s="77">
        <v>35873.375</v>
      </c>
      <c r="N86" s="77">
        <v>35873.416666666664</v>
      </c>
      <c r="O86" s="77">
        <v>35873.458333333336</v>
      </c>
      <c r="P86" s="77">
        <v>35873.5</v>
      </c>
      <c r="Q86" s="77">
        <v>35873.541666666664</v>
      </c>
      <c r="R86" s="77">
        <v>35873.583333333336</v>
      </c>
      <c r="S86" s="77">
        <v>35873.625</v>
      </c>
      <c r="T86" s="77">
        <v>35873.666666666664</v>
      </c>
      <c r="U86" s="77">
        <v>35873.708333333336</v>
      </c>
      <c r="V86" s="77">
        <v>35873.75</v>
      </c>
      <c r="W86" s="77">
        <v>35873.791666666664</v>
      </c>
      <c r="X86" s="77">
        <v>35873.833333333336</v>
      </c>
      <c r="Y86" s="77">
        <v>35873.875</v>
      </c>
      <c r="Z86" s="77">
        <v>35873.916666666664</v>
      </c>
      <c r="AA86" s="78">
        <v>35873.958333333336</v>
      </c>
      <c r="AC86" s="12">
        <f t="shared" si="29"/>
        <v>77</v>
      </c>
      <c r="AD86" s="98">
        <v>70</v>
      </c>
    </row>
    <row r="87" spans="3:30">
      <c r="C87" s="76">
        <v>78</v>
      </c>
      <c r="D87" s="77">
        <v>35874</v>
      </c>
      <c r="E87" s="77">
        <v>35874.041666666664</v>
      </c>
      <c r="F87" s="77">
        <v>35874.083333333336</v>
      </c>
      <c r="G87" s="77">
        <v>35874.125</v>
      </c>
      <c r="H87" s="77">
        <v>35874.166666666664</v>
      </c>
      <c r="I87" s="77">
        <v>35874.208333333336</v>
      </c>
      <c r="J87" s="77">
        <v>35874.25</v>
      </c>
      <c r="K87" s="77">
        <v>35874.291666666664</v>
      </c>
      <c r="L87" s="77">
        <v>35874.333333333336</v>
      </c>
      <c r="M87" s="77">
        <v>35874.375</v>
      </c>
      <c r="N87" s="77">
        <v>35874.416666666664</v>
      </c>
      <c r="O87" s="77">
        <v>35874.458333333336</v>
      </c>
      <c r="P87" s="77">
        <v>35874.5</v>
      </c>
      <c r="Q87" s="77">
        <v>35874.541666666664</v>
      </c>
      <c r="R87" s="77">
        <v>35874.583333333336</v>
      </c>
      <c r="S87" s="77">
        <v>35874.625</v>
      </c>
      <c r="T87" s="77">
        <v>35874.666666666664</v>
      </c>
      <c r="U87" s="77">
        <v>35874.708333333336</v>
      </c>
      <c r="V87" s="77">
        <v>35874.75</v>
      </c>
      <c r="W87" s="77">
        <v>35874.791666666664</v>
      </c>
      <c r="X87" s="77">
        <v>35874.833333333336</v>
      </c>
      <c r="Y87" s="77">
        <v>35874.875</v>
      </c>
      <c r="Z87" s="77">
        <v>35874.916666666664</v>
      </c>
      <c r="AA87" s="78">
        <v>35874.958333333336</v>
      </c>
      <c r="AC87" s="12">
        <f t="shared" si="29"/>
        <v>78</v>
      </c>
      <c r="AD87" s="98">
        <v>70</v>
      </c>
    </row>
    <row r="88" spans="3:30">
      <c r="C88" s="76">
        <v>79</v>
      </c>
      <c r="D88" s="77">
        <v>35875</v>
      </c>
      <c r="E88" s="77">
        <v>35875.041666666664</v>
      </c>
      <c r="F88" s="77">
        <v>35875.083333333336</v>
      </c>
      <c r="G88" s="77">
        <v>35875.125</v>
      </c>
      <c r="H88" s="77">
        <v>35875.166666666664</v>
      </c>
      <c r="I88" s="77">
        <v>35875.208333333336</v>
      </c>
      <c r="J88" s="77">
        <v>35875.25</v>
      </c>
      <c r="K88" s="77">
        <v>35875.291666666664</v>
      </c>
      <c r="L88" s="77">
        <v>35875.333333333336</v>
      </c>
      <c r="M88" s="77">
        <v>35875.375</v>
      </c>
      <c r="N88" s="77">
        <v>35875.416666666664</v>
      </c>
      <c r="O88" s="77">
        <v>35875.458333333336</v>
      </c>
      <c r="P88" s="77">
        <v>35875.5</v>
      </c>
      <c r="Q88" s="77">
        <v>35875.541666666664</v>
      </c>
      <c r="R88" s="77">
        <v>35875.583333333336</v>
      </c>
      <c r="S88" s="77">
        <v>35875.625</v>
      </c>
      <c r="T88" s="77">
        <v>35875.666666666664</v>
      </c>
      <c r="U88" s="77">
        <v>35875.708333333336</v>
      </c>
      <c r="V88" s="77">
        <v>35875.75</v>
      </c>
      <c r="W88" s="77">
        <v>35875.791666666664</v>
      </c>
      <c r="X88" s="77">
        <v>35875.833333333336</v>
      </c>
      <c r="Y88" s="77">
        <v>35875.875</v>
      </c>
      <c r="Z88" s="77">
        <v>35875.916666666664</v>
      </c>
      <c r="AA88" s="78">
        <v>35875.958333333336</v>
      </c>
      <c r="AC88" s="12">
        <f t="shared" si="29"/>
        <v>79</v>
      </c>
      <c r="AD88" s="98">
        <v>70</v>
      </c>
    </row>
    <row r="89" spans="3:30">
      <c r="C89" s="76">
        <v>80</v>
      </c>
      <c r="D89" s="77">
        <v>35876</v>
      </c>
      <c r="E89" s="77">
        <v>35876.041666666664</v>
      </c>
      <c r="F89" s="77">
        <v>35876.083333333336</v>
      </c>
      <c r="G89" s="77">
        <v>35876.125</v>
      </c>
      <c r="H89" s="77">
        <v>35876.166666666664</v>
      </c>
      <c r="I89" s="77">
        <v>35876.208333333336</v>
      </c>
      <c r="J89" s="77">
        <v>35876.25</v>
      </c>
      <c r="K89" s="77">
        <v>35876.291666666664</v>
      </c>
      <c r="L89" s="77">
        <v>35876.333333333336</v>
      </c>
      <c r="M89" s="77">
        <v>35876.375</v>
      </c>
      <c r="N89" s="77">
        <v>35876.416666666664</v>
      </c>
      <c r="O89" s="77">
        <v>35876.458333333336</v>
      </c>
      <c r="P89" s="77">
        <v>35876.5</v>
      </c>
      <c r="Q89" s="77">
        <v>35876.541666666664</v>
      </c>
      <c r="R89" s="77">
        <v>35876.583333333336</v>
      </c>
      <c r="S89" s="77">
        <v>35876.625</v>
      </c>
      <c r="T89" s="77">
        <v>35876.666666666664</v>
      </c>
      <c r="U89" s="77">
        <v>35876.708333333336</v>
      </c>
      <c r="V89" s="77">
        <v>35876.75</v>
      </c>
      <c r="W89" s="77">
        <v>35876.791666666664</v>
      </c>
      <c r="X89" s="77">
        <v>35876.833333333336</v>
      </c>
      <c r="Y89" s="77">
        <v>35876.875</v>
      </c>
      <c r="Z89" s="77">
        <v>35876.916666666664</v>
      </c>
      <c r="AA89" s="78">
        <v>35876.958333333336</v>
      </c>
      <c r="AC89" s="12">
        <f t="shared" si="29"/>
        <v>80</v>
      </c>
      <c r="AD89" s="98">
        <v>70</v>
      </c>
    </row>
    <row r="90" spans="3:30">
      <c r="C90" s="76">
        <v>81</v>
      </c>
      <c r="D90" s="77">
        <v>35877</v>
      </c>
      <c r="E90" s="77">
        <v>35877.041666666664</v>
      </c>
      <c r="F90" s="77">
        <v>35877.083333333336</v>
      </c>
      <c r="G90" s="77">
        <v>35877.125</v>
      </c>
      <c r="H90" s="77">
        <v>35877.166666666664</v>
      </c>
      <c r="I90" s="77">
        <v>35877.208333333336</v>
      </c>
      <c r="J90" s="77">
        <v>35877.25</v>
      </c>
      <c r="K90" s="77">
        <v>35877.291666666664</v>
      </c>
      <c r="L90" s="77">
        <v>35877.333333333336</v>
      </c>
      <c r="M90" s="77">
        <v>35877.375</v>
      </c>
      <c r="N90" s="77">
        <v>35877.416666666664</v>
      </c>
      <c r="O90" s="77">
        <v>35877.458333333336</v>
      </c>
      <c r="P90" s="77">
        <v>35877.5</v>
      </c>
      <c r="Q90" s="77">
        <v>35877.541666666664</v>
      </c>
      <c r="R90" s="77">
        <v>35877.583333333336</v>
      </c>
      <c r="S90" s="77">
        <v>35877.625</v>
      </c>
      <c r="T90" s="77">
        <v>35877.666666666664</v>
      </c>
      <c r="U90" s="77">
        <v>35877.708333333336</v>
      </c>
      <c r="V90" s="77">
        <v>35877.75</v>
      </c>
      <c r="W90" s="77">
        <v>35877.791666666664</v>
      </c>
      <c r="X90" s="77">
        <v>35877.833333333336</v>
      </c>
      <c r="Y90" s="77">
        <v>35877.875</v>
      </c>
      <c r="Z90" s="77">
        <v>35877.916666666664</v>
      </c>
      <c r="AA90" s="78">
        <v>35877.958333333336</v>
      </c>
      <c r="AC90" s="12">
        <f t="shared" si="29"/>
        <v>81</v>
      </c>
      <c r="AD90" s="98">
        <v>70</v>
      </c>
    </row>
    <row r="91" spans="3:30">
      <c r="C91" s="76">
        <v>82</v>
      </c>
      <c r="D91" s="77">
        <v>35878</v>
      </c>
      <c r="E91" s="77">
        <v>35878.041666666664</v>
      </c>
      <c r="F91" s="77">
        <v>35878.083333333336</v>
      </c>
      <c r="G91" s="77">
        <v>35878.125</v>
      </c>
      <c r="H91" s="77">
        <v>35878.166666666664</v>
      </c>
      <c r="I91" s="77">
        <v>35878.208333333336</v>
      </c>
      <c r="J91" s="77">
        <v>35878.25</v>
      </c>
      <c r="K91" s="77">
        <v>35878.291666666664</v>
      </c>
      <c r="L91" s="77">
        <v>35878.333333333336</v>
      </c>
      <c r="M91" s="77">
        <v>35878.375</v>
      </c>
      <c r="N91" s="77">
        <v>35878.416666666664</v>
      </c>
      <c r="O91" s="77">
        <v>35878.458333333336</v>
      </c>
      <c r="P91" s="77">
        <v>35878.5</v>
      </c>
      <c r="Q91" s="77">
        <v>35878.541666666664</v>
      </c>
      <c r="R91" s="77">
        <v>35878.583333333336</v>
      </c>
      <c r="S91" s="77">
        <v>35878.625</v>
      </c>
      <c r="T91" s="77">
        <v>35878.666666666664</v>
      </c>
      <c r="U91" s="77">
        <v>35878.708333333336</v>
      </c>
      <c r="V91" s="77">
        <v>35878.75</v>
      </c>
      <c r="W91" s="77">
        <v>35878.791666666664</v>
      </c>
      <c r="X91" s="77">
        <v>35878.833333333336</v>
      </c>
      <c r="Y91" s="77">
        <v>35878.875</v>
      </c>
      <c r="Z91" s="77">
        <v>35878.916666666664</v>
      </c>
      <c r="AA91" s="78">
        <v>35878.958333333336</v>
      </c>
      <c r="AC91" s="12">
        <f t="shared" si="29"/>
        <v>82</v>
      </c>
      <c r="AD91" s="98">
        <v>70</v>
      </c>
    </row>
    <row r="92" spans="3:30">
      <c r="C92" s="76">
        <v>83</v>
      </c>
      <c r="D92" s="77">
        <v>35879</v>
      </c>
      <c r="E92" s="77">
        <v>35879.041666666664</v>
      </c>
      <c r="F92" s="77">
        <v>35879.083333333336</v>
      </c>
      <c r="G92" s="77">
        <v>35879.125</v>
      </c>
      <c r="H92" s="77">
        <v>35879.166666666664</v>
      </c>
      <c r="I92" s="77">
        <v>35879.208333333336</v>
      </c>
      <c r="J92" s="77">
        <v>35879.25</v>
      </c>
      <c r="K92" s="77">
        <v>35879.291666666664</v>
      </c>
      <c r="L92" s="77">
        <v>35879.333333333336</v>
      </c>
      <c r="M92" s="77">
        <v>35879.375</v>
      </c>
      <c r="N92" s="77">
        <v>35879.416666666664</v>
      </c>
      <c r="O92" s="77">
        <v>35879.458333333336</v>
      </c>
      <c r="P92" s="77">
        <v>35879.5</v>
      </c>
      <c r="Q92" s="77">
        <v>35879.541666666664</v>
      </c>
      <c r="R92" s="77">
        <v>35879.583333333336</v>
      </c>
      <c r="S92" s="77">
        <v>35879.625</v>
      </c>
      <c r="T92" s="77">
        <v>35879.666666666664</v>
      </c>
      <c r="U92" s="77">
        <v>35879.708333333336</v>
      </c>
      <c r="V92" s="77">
        <v>35879.75</v>
      </c>
      <c r="W92" s="77">
        <v>35879.791666666664</v>
      </c>
      <c r="X92" s="77">
        <v>35879.833333333336</v>
      </c>
      <c r="Y92" s="77">
        <v>35879.875</v>
      </c>
      <c r="Z92" s="77">
        <v>35879.916666666664</v>
      </c>
      <c r="AA92" s="78">
        <v>35879.958333333336</v>
      </c>
      <c r="AC92" s="12">
        <f t="shared" si="29"/>
        <v>83</v>
      </c>
      <c r="AD92" s="98">
        <v>70</v>
      </c>
    </row>
    <row r="93" spans="3:30">
      <c r="C93" s="76">
        <v>84</v>
      </c>
      <c r="D93" s="77">
        <v>35880</v>
      </c>
      <c r="E93" s="77">
        <v>35880.041666666664</v>
      </c>
      <c r="F93" s="77">
        <v>35880.083333333336</v>
      </c>
      <c r="G93" s="77">
        <v>35880.125</v>
      </c>
      <c r="H93" s="77">
        <v>35880.166666666664</v>
      </c>
      <c r="I93" s="77">
        <v>35880.208333333336</v>
      </c>
      <c r="J93" s="77">
        <v>35880.25</v>
      </c>
      <c r="K93" s="77">
        <v>35880.291666666664</v>
      </c>
      <c r="L93" s="77">
        <v>35880.333333333336</v>
      </c>
      <c r="M93" s="77">
        <v>35880.375</v>
      </c>
      <c r="N93" s="77">
        <v>35880.416666666664</v>
      </c>
      <c r="O93" s="77">
        <v>35880.458333333336</v>
      </c>
      <c r="P93" s="77">
        <v>35880.5</v>
      </c>
      <c r="Q93" s="77">
        <v>35880.541666666664</v>
      </c>
      <c r="R93" s="77">
        <v>35880.583333333336</v>
      </c>
      <c r="S93" s="77">
        <v>35880.625</v>
      </c>
      <c r="T93" s="77">
        <v>35880.666666666664</v>
      </c>
      <c r="U93" s="77">
        <v>35880.708333333336</v>
      </c>
      <c r="V93" s="77">
        <v>35880.75</v>
      </c>
      <c r="W93" s="77">
        <v>35880.791666666664</v>
      </c>
      <c r="X93" s="77">
        <v>35880.833333333336</v>
      </c>
      <c r="Y93" s="77">
        <v>35880.875</v>
      </c>
      <c r="Z93" s="77">
        <v>35880.916666666664</v>
      </c>
      <c r="AA93" s="78">
        <v>35880.958333333336</v>
      </c>
      <c r="AC93" s="12">
        <f t="shared" si="29"/>
        <v>84</v>
      </c>
      <c r="AD93" s="98">
        <v>70</v>
      </c>
    </row>
    <row r="94" spans="3:30">
      <c r="C94" s="76">
        <v>85</v>
      </c>
      <c r="D94" s="77">
        <v>35881</v>
      </c>
      <c r="E94" s="77">
        <v>35881.041666666664</v>
      </c>
      <c r="F94" s="77">
        <v>35881.083333333336</v>
      </c>
      <c r="G94" s="77">
        <v>35881.125</v>
      </c>
      <c r="H94" s="77">
        <v>35881.166666666664</v>
      </c>
      <c r="I94" s="77">
        <v>35881.208333333336</v>
      </c>
      <c r="J94" s="77">
        <v>35881.25</v>
      </c>
      <c r="K94" s="77">
        <v>35881.291666666664</v>
      </c>
      <c r="L94" s="77">
        <v>35881.333333333336</v>
      </c>
      <c r="M94" s="77">
        <v>35881.375</v>
      </c>
      <c r="N94" s="77">
        <v>35881.416666666664</v>
      </c>
      <c r="O94" s="77">
        <v>35881.458333333336</v>
      </c>
      <c r="P94" s="77">
        <v>35881.5</v>
      </c>
      <c r="Q94" s="77">
        <v>35881.541666666664</v>
      </c>
      <c r="R94" s="77">
        <v>35881.583333333336</v>
      </c>
      <c r="S94" s="77">
        <v>35881.625</v>
      </c>
      <c r="T94" s="77">
        <v>35881.666666666664</v>
      </c>
      <c r="U94" s="77">
        <v>35881.708333333336</v>
      </c>
      <c r="V94" s="77">
        <v>35881.75</v>
      </c>
      <c r="W94" s="77">
        <v>35881.791666666664</v>
      </c>
      <c r="X94" s="77">
        <v>35881.833333333336</v>
      </c>
      <c r="Y94" s="77">
        <v>35881.875</v>
      </c>
      <c r="Z94" s="77">
        <v>35881.916666666664</v>
      </c>
      <c r="AA94" s="78">
        <v>35881.958333333336</v>
      </c>
      <c r="AC94" s="12">
        <f t="shared" si="29"/>
        <v>85</v>
      </c>
      <c r="AD94" s="98">
        <v>70</v>
      </c>
    </row>
    <row r="95" spans="3:30">
      <c r="C95" s="76">
        <v>86</v>
      </c>
      <c r="D95" s="77">
        <v>35882</v>
      </c>
      <c r="E95" s="77">
        <v>35882.041666666664</v>
      </c>
      <c r="F95" s="77">
        <v>35882.083333333336</v>
      </c>
      <c r="G95" s="77">
        <v>35882.125</v>
      </c>
      <c r="H95" s="77">
        <v>35882.166666666664</v>
      </c>
      <c r="I95" s="77">
        <v>35882.208333333336</v>
      </c>
      <c r="J95" s="77">
        <v>35882.25</v>
      </c>
      <c r="K95" s="77">
        <v>35882.291666666664</v>
      </c>
      <c r="L95" s="77">
        <v>35882.333333333336</v>
      </c>
      <c r="M95" s="77">
        <v>35882.375</v>
      </c>
      <c r="N95" s="77">
        <v>35882.416666666664</v>
      </c>
      <c r="O95" s="77">
        <v>35882.458333333336</v>
      </c>
      <c r="P95" s="77">
        <v>35882.5</v>
      </c>
      <c r="Q95" s="77">
        <v>35882.541666666664</v>
      </c>
      <c r="R95" s="77">
        <v>35882.583333333336</v>
      </c>
      <c r="S95" s="77">
        <v>35882.625</v>
      </c>
      <c r="T95" s="77">
        <v>35882.666666666664</v>
      </c>
      <c r="U95" s="77">
        <v>35882.708333333336</v>
      </c>
      <c r="V95" s="77">
        <v>35882.75</v>
      </c>
      <c r="W95" s="77">
        <v>35882.791666666664</v>
      </c>
      <c r="X95" s="77">
        <v>35882.833333333336</v>
      </c>
      <c r="Y95" s="77">
        <v>35882.875</v>
      </c>
      <c r="Z95" s="77">
        <v>35882.916666666664</v>
      </c>
      <c r="AA95" s="78">
        <v>35882.958333333336</v>
      </c>
      <c r="AC95" s="12">
        <f t="shared" si="29"/>
        <v>86</v>
      </c>
      <c r="AD95" s="98">
        <v>70</v>
      </c>
    </row>
    <row r="96" spans="3:30">
      <c r="C96" s="76">
        <v>87</v>
      </c>
      <c r="D96" s="77">
        <v>35883</v>
      </c>
      <c r="E96" s="77">
        <v>35883.041666666664</v>
      </c>
      <c r="F96" s="77">
        <v>35883.083333333336</v>
      </c>
      <c r="G96" s="77">
        <v>35883.125</v>
      </c>
      <c r="H96" s="77">
        <v>35883.166666666664</v>
      </c>
      <c r="I96" s="77">
        <v>35883.208333333336</v>
      </c>
      <c r="J96" s="77">
        <v>35883.25</v>
      </c>
      <c r="K96" s="77">
        <v>35883.291666666664</v>
      </c>
      <c r="L96" s="77">
        <v>35883.333333333336</v>
      </c>
      <c r="M96" s="77">
        <v>35883.375</v>
      </c>
      <c r="N96" s="77">
        <v>35883.416666666664</v>
      </c>
      <c r="O96" s="77">
        <v>35883.458333333336</v>
      </c>
      <c r="P96" s="77">
        <v>35883.5</v>
      </c>
      <c r="Q96" s="77">
        <v>35883.541666666664</v>
      </c>
      <c r="R96" s="77">
        <v>35883.583333333336</v>
      </c>
      <c r="S96" s="77">
        <v>35883.625</v>
      </c>
      <c r="T96" s="77">
        <v>35883.666666666664</v>
      </c>
      <c r="U96" s="77">
        <v>35883.708333333336</v>
      </c>
      <c r="V96" s="77">
        <v>35883.75</v>
      </c>
      <c r="W96" s="77">
        <v>35883.791666666664</v>
      </c>
      <c r="X96" s="77">
        <v>35883.833333333336</v>
      </c>
      <c r="Y96" s="77">
        <v>35883.875</v>
      </c>
      <c r="Z96" s="77">
        <v>35883.916666666664</v>
      </c>
      <c r="AA96" s="78">
        <v>35883.958333333336</v>
      </c>
      <c r="AC96" s="12">
        <f t="shared" si="29"/>
        <v>87</v>
      </c>
      <c r="AD96" s="98">
        <v>70</v>
      </c>
    </row>
    <row r="97" spans="3:30">
      <c r="C97" s="76">
        <v>88</v>
      </c>
      <c r="D97" s="77">
        <v>35884</v>
      </c>
      <c r="E97" s="77">
        <v>35884.041666666664</v>
      </c>
      <c r="F97" s="77">
        <v>35884.083333333336</v>
      </c>
      <c r="G97" s="77">
        <v>35884.125</v>
      </c>
      <c r="H97" s="77">
        <v>35884.166666666664</v>
      </c>
      <c r="I97" s="77">
        <v>35884.208333333336</v>
      </c>
      <c r="J97" s="77">
        <v>35884.25</v>
      </c>
      <c r="K97" s="77">
        <v>35884.291666666664</v>
      </c>
      <c r="L97" s="77">
        <v>35884.333333333336</v>
      </c>
      <c r="M97" s="77">
        <v>35884.375</v>
      </c>
      <c r="N97" s="77">
        <v>35884.416666666664</v>
      </c>
      <c r="O97" s="77">
        <v>35884.458333333336</v>
      </c>
      <c r="P97" s="77">
        <v>35884.5</v>
      </c>
      <c r="Q97" s="77">
        <v>35884.541666666664</v>
      </c>
      <c r="R97" s="77">
        <v>35884.583333333336</v>
      </c>
      <c r="S97" s="77">
        <v>35884.625</v>
      </c>
      <c r="T97" s="77">
        <v>35884.666666666664</v>
      </c>
      <c r="U97" s="77">
        <v>35884.708333333336</v>
      </c>
      <c r="V97" s="77">
        <v>35884.75</v>
      </c>
      <c r="W97" s="77">
        <v>35884.791666666664</v>
      </c>
      <c r="X97" s="77">
        <v>35884.833333333336</v>
      </c>
      <c r="Y97" s="77">
        <v>35884.875</v>
      </c>
      <c r="Z97" s="77">
        <v>35884.916666666664</v>
      </c>
      <c r="AA97" s="78">
        <v>35884.958333333336</v>
      </c>
      <c r="AC97" s="12">
        <f t="shared" si="29"/>
        <v>88</v>
      </c>
      <c r="AD97" s="98">
        <v>70</v>
      </c>
    </row>
    <row r="98" spans="3:30">
      <c r="C98" s="76">
        <v>89</v>
      </c>
      <c r="D98" s="77">
        <v>35885</v>
      </c>
      <c r="E98" s="77">
        <v>35885.041666666664</v>
      </c>
      <c r="F98" s="77">
        <v>35885.083333333336</v>
      </c>
      <c r="G98" s="77">
        <v>35885.125</v>
      </c>
      <c r="H98" s="77">
        <v>35885.166666666664</v>
      </c>
      <c r="I98" s="77">
        <v>35885.208333333336</v>
      </c>
      <c r="J98" s="77">
        <v>35885.25</v>
      </c>
      <c r="K98" s="77">
        <v>35885.291666666664</v>
      </c>
      <c r="L98" s="77">
        <v>35885.333333333336</v>
      </c>
      <c r="M98" s="77">
        <v>35885.375</v>
      </c>
      <c r="N98" s="77">
        <v>35885.416666666664</v>
      </c>
      <c r="O98" s="77">
        <v>35885.458333333336</v>
      </c>
      <c r="P98" s="77">
        <v>35885.5</v>
      </c>
      <c r="Q98" s="77">
        <v>35885.541666666664</v>
      </c>
      <c r="R98" s="77">
        <v>35885.583333333336</v>
      </c>
      <c r="S98" s="77">
        <v>35885.625</v>
      </c>
      <c r="T98" s="77">
        <v>35885.666666666664</v>
      </c>
      <c r="U98" s="77">
        <v>35885.708333333336</v>
      </c>
      <c r="V98" s="77">
        <v>35885.75</v>
      </c>
      <c r="W98" s="77">
        <v>35885.791666666664</v>
      </c>
      <c r="X98" s="77">
        <v>35885.833333333336</v>
      </c>
      <c r="Y98" s="77">
        <v>35885.875</v>
      </c>
      <c r="Z98" s="77">
        <v>35885.916666666664</v>
      </c>
      <c r="AA98" s="78">
        <v>35885.958333333336</v>
      </c>
      <c r="AC98" s="12">
        <f t="shared" si="29"/>
        <v>89</v>
      </c>
      <c r="AD98" s="98">
        <v>70</v>
      </c>
    </row>
    <row r="99" spans="3:30">
      <c r="C99" s="76">
        <v>90</v>
      </c>
      <c r="D99" s="77">
        <v>35886</v>
      </c>
      <c r="E99" s="77">
        <v>35886.041666666664</v>
      </c>
      <c r="F99" s="77">
        <v>35886.083333333336</v>
      </c>
      <c r="G99" s="77">
        <v>35886.125</v>
      </c>
      <c r="H99" s="77">
        <v>35886.166666666664</v>
      </c>
      <c r="I99" s="77">
        <v>35886.208333333336</v>
      </c>
      <c r="J99" s="77">
        <v>35886.25</v>
      </c>
      <c r="K99" s="77">
        <v>35886.291666666664</v>
      </c>
      <c r="L99" s="77">
        <v>35886.333333333336</v>
      </c>
      <c r="M99" s="77">
        <v>35886.375</v>
      </c>
      <c r="N99" s="77">
        <v>35886.416666666664</v>
      </c>
      <c r="O99" s="77">
        <v>35886.458333333336</v>
      </c>
      <c r="P99" s="77">
        <v>35886.5</v>
      </c>
      <c r="Q99" s="77">
        <v>35886.541666666664</v>
      </c>
      <c r="R99" s="77">
        <v>35886.583333333336</v>
      </c>
      <c r="S99" s="77">
        <v>35886.625</v>
      </c>
      <c r="T99" s="77">
        <v>35886.666666666664</v>
      </c>
      <c r="U99" s="77">
        <v>35886.708333333336</v>
      </c>
      <c r="V99" s="77">
        <v>35886.75</v>
      </c>
      <c r="W99" s="77">
        <v>35886.791666666664</v>
      </c>
      <c r="X99" s="77">
        <v>35886.833333333336</v>
      </c>
      <c r="Y99" s="77">
        <v>35886.875</v>
      </c>
      <c r="Z99" s="77">
        <v>35886.916666666664</v>
      </c>
      <c r="AA99" s="78">
        <v>35886.958333333336</v>
      </c>
      <c r="AC99" s="12">
        <f t="shared" si="29"/>
        <v>90</v>
      </c>
      <c r="AD99" s="98">
        <v>100</v>
      </c>
    </row>
    <row r="100" spans="3:30">
      <c r="C100" s="76">
        <v>91</v>
      </c>
      <c r="D100" s="77">
        <v>35887</v>
      </c>
      <c r="E100" s="77">
        <v>35887.041666666664</v>
      </c>
      <c r="F100" s="77">
        <v>35887.083333333336</v>
      </c>
      <c r="G100" s="77">
        <v>35887.125</v>
      </c>
      <c r="H100" s="77">
        <v>35887.166666666664</v>
      </c>
      <c r="I100" s="77">
        <v>35887.208333333336</v>
      </c>
      <c r="J100" s="77">
        <v>35887.25</v>
      </c>
      <c r="K100" s="77">
        <v>35887.291666666664</v>
      </c>
      <c r="L100" s="77">
        <v>35887.333333333336</v>
      </c>
      <c r="M100" s="77">
        <v>35887.375</v>
      </c>
      <c r="N100" s="77">
        <v>35887.416666666664</v>
      </c>
      <c r="O100" s="77">
        <v>35887.458333333336</v>
      </c>
      <c r="P100" s="77">
        <v>35887.5</v>
      </c>
      <c r="Q100" s="77">
        <v>35887.541666666664</v>
      </c>
      <c r="R100" s="77">
        <v>35887.583333333336</v>
      </c>
      <c r="S100" s="77">
        <v>35887.625</v>
      </c>
      <c r="T100" s="77">
        <v>35887.666666666664</v>
      </c>
      <c r="U100" s="77">
        <v>35887.708333333336</v>
      </c>
      <c r="V100" s="77">
        <v>35887.75</v>
      </c>
      <c r="W100" s="77">
        <v>35887.791666666664</v>
      </c>
      <c r="X100" s="77">
        <v>35887.833333333336</v>
      </c>
      <c r="Y100" s="77">
        <v>35887.875</v>
      </c>
      <c r="Z100" s="77">
        <v>35887.916666666664</v>
      </c>
      <c r="AA100" s="78">
        <v>35887.958333333336</v>
      </c>
      <c r="AC100" s="12">
        <f t="shared" si="29"/>
        <v>91</v>
      </c>
      <c r="AD100" s="98">
        <v>100</v>
      </c>
    </row>
    <row r="101" spans="3:30">
      <c r="C101" s="76">
        <v>92</v>
      </c>
      <c r="D101" s="77">
        <v>35888</v>
      </c>
      <c r="E101" s="77">
        <v>35888.041666666664</v>
      </c>
      <c r="F101" s="77">
        <v>35888.083333333336</v>
      </c>
      <c r="G101" s="77">
        <v>35888.125</v>
      </c>
      <c r="H101" s="77">
        <v>35888.166666666664</v>
      </c>
      <c r="I101" s="77">
        <v>35888.208333333336</v>
      </c>
      <c r="J101" s="77">
        <v>35888.25</v>
      </c>
      <c r="K101" s="77">
        <v>35888.291666666664</v>
      </c>
      <c r="L101" s="77">
        <v>35888.333333333336</v>
      </c>
      <c r="M101" s="77">
        <v>35888.375</v>
      </c>
      <c r="N101" s="77">
        <v>35888.416666666664</v>
      </c>
      <c r="O101" s="77">
        <v>35888.458333333336</v>
      </c>
      <c r="P101" s="77">
        <v>35888.5</v>
      </c>
      <c r="Q101" s="77">
        <v>35888.541666666664</v>
      </c>
      <c r="R101" s="77">
        <v>35888.583333333336</v>
      </c>
      <c r="S101" s="77">
        <v>35888.625</v>
      </c>
      <c r="T101" s="77">
        <v>35888.666666666664</v>
      </c>
      <c r="U101" s="77">
        <v>35888.708333333336</v>
      </c>
      <c r="V101" s="77">
        <v>35888.75</v>
      </c>
      <c r="W101" s="77">
        <v>35888.791666666664</v>
      </c>
      <c r="X101" s="77">
        <v>35888.833333333336</v>
      </c>
      <c r="Y101" s="77">
        <v>35888.875</v>
      </c>
      <c r="Z101" s="77">
        <v>35888.916666666664</v>
      </c>
      <c r="AA101" s="78">
        <v>35888.958333333336</v>
      </c>
      <c r="AC101" s="12">
        <f t="shared" si="29"/>
        <v>92</v>
      </c>
      <c r="AD101" s="98">
        <v>100</v>
      </c>
    </row>
    <row r="102" spans="3:30">
      <c r="C102" s="76">
        <v>93</v>
      </c>
      <c r="D102" s="77">
        <v>35889</v>
      </c>
      <c r="E102" s="77">
        <v>35889.041666666664</v>
      </c>
      <c r="F102" s="77">
        <v>35889.083333333336</v>
      </c>
      <c r="G102" s="77">
        <v>35889.125</v>
      </c>
      <c r="H102" s="77">
        <v>35889.166666666664</v>
      </c>
      <c r="I102" s="77">
        <v>35889.208333333336</v>
      </c>
      <c r="J102" s="77">
        <v>35889.25</v>
      </c>
      <c r="K102" s="77">
        <v>35889.291666666664</v>
      </c>
      <c r="L102" s="77">
        <v>35889.333333333336</v>
      </c>
      <c r="M102" s="77">
        <v>35889.375</v>
      </c>
      <c r="N102" s="77">
        <v>35889.416666666664</v>
      </c>
      <c r="O102" s="77">
        <v>35889.458333333336</v>
      </c>
      <c r="P102" s="77">
        <v>35889.5</v>
      </c>
      <c r="Q102" s="77">
        <v>35889.541666666664</v>
      </c>
      <c r="R102" s="77">
        <v>35889.583333333336</v>
      </c>
      <c r="S102" s="77">
        <v>35889.625</v>
      </c>
      <c r="T102" s="77">
        <v>35889.666666666664</v>
      </c>
      <c r="U102" s="77">
        <v>35889.708333333336</v>
      </c>
      <c r="V102" s="77">
        <v>35889.75</v>
      </c>
      <c r="W102" s="77">
        <v>35889.791666666664</v>
      </c>
      <c r="X102" s="77">
        <v>35889.833333333336</v>
      </c>
      <c r="Y102" s="77">
        <v>35889.875</v>
      </c>
      <c r="Z102" s="77">
        <v>35889.916666666664</v>
      </c>
      <c r="AA102" s="78">
        <v>35889.958333333336</v>
      </c>
      <c r="AC102" s="12">
        <f t="shared" si="29"/>
        <v>93</v>
      </c>
      <c r="AD102" s="98">
        <v>100</v>
      </c>
    </row>
    <row r="103" spans="3:30">
      <c r="C103" s="76">
        <v>94</v>
      </c>
      <c r="D103" s="77">
        <v>35890</v>
      </c>
      <c r="E103" s="77">
        <v>35890.041666666664</v>
      </c>
      <c r="F103" s="77">
        <v>35890.083333333336</v>
      </c>
      <c r="G103" s="77">
        <v>35890.125</v>
      </c>
      <c r="H103" s="77">
        <v>35890.166666666664</v>
      </c>
      <c r="I103" s="77">
        <v>35890.208333333336</v>
      </c>
      <c r="J103" s="77">
        <v>35890.25</v>
      </c>
      <c r="K103" s="77">
        <v>35890.291666666664</v>
      </c>
      <c r="L103" s="77">
        <v>35890.333333333336</v>
      </c>
      <c r="M103" s="77">
        <v>35890.375</v>
      </c>
      <c r="N103" s="77">
        <v>35890.416666666664</v>
      </c>
      <c r="O103" s="77">
        <v>35890.458333333336</v>
      </c>
      <c r="P103" s="77">
        <v>35890.5</v>
      </c>
      <c r="Q103" s="77">
        <v>35890.541666666664</v>
      </c>
      <c r="R103" s="77">
        <v>35890.583333333336</v>
      </c>
      <c r="S103" s="77">
        <v>35890.625</v>
      </c>
      <c r="T103" s="77">
        <v>35890.666666666664</v>
      </c>
      <c r="U103" s="77">
        <v>35890.708333333336</v>
      </c>
      <c r="V103" s="77">
        <v>35890.75</v>
      </c>
      <c r="W103" s="77">
        <v>35890.791666666664</v>
      </c>
      <c r="X103" s="77">
        <v>35890.833333333336</v>
      </c>
      <c r="Y103" s="77">
        <v>35890.875</v>
      </c>
      <c r="Z103" s="77">
        <v>35890.916666666664</v>
      </c>
      <c r="AA103" s="78">
        <v>35890.958333333336</v>
      </c>
      <c r="AC103" s="12">
        <f t="shared" si="29"/>
        <v>94</v>
      </c>
      <c r="AD103" s="98">
        <v>100</v>
      </c>
    </row>
    <row r="104" spans="3:30">
      <c r="C104" s="76">
        <v>95</v>
      </c>
      <c r="D104" s="77">
        <v>35891</v>
      </c>
      <c r="E104" s="77">
        <v>35891.041666666664</v>
      </c>
      <c r="F104" s="77">
        <v>35891.083333333336</v>
      </c>
      <c r="G104" s="77">
        <v>35891.125</v>
      </c>
      <c r="H104" s="77">
        <v>35891.166666666664</v>
      </c>
      <c r="I104" s="77">
        <v>35891.208333333336</v>
      </c>
      <c r="J104" s="77">
        <v>35891.25</v>
      </c>
      <c r="K104" s="77">
        <v>35891.291666666664</v>
      </c>
      <c r="L104" s="77">
        <v>35891.333333333336</v>
      </c>
      <c r="M104" s="77">
        <v>35891.375</v>
      </c>
      <c r="N104" s="77">
        <v>35891.416666666664</v>
      </c>
      <c r="O104" s="77">
        <v>35891.458333333336</v>
      </c>
      <c r="P104" s="77">
        <v>35891.5</v>
      </c>
      <c r="Q104" s="77">
        <v>35891.541666666664</v>
      </c>
      <c r="R104" s="77">
        <v>35891.583333333336</v>
      </c>
      <c r="S104" s="77">
        <v>35891.625</v>
      </c>
      <c r="T104" s="77">
        <v>35891.666666666664</v>
      </c>
      <c r="U104" s="77">
        <v>35891.708333333336</v>
      </c>
      <c r="V104" s="77">
        <v>35891.75</v>
      </c>
      <c r="W104" s="77">
        <v>35891.791666666664</v>
      </c>
      <c r="X104" s="77">
        <v>35891.833333333336</v>
      </c>
      <c r="Y104" s="77">
        <v>35891.875</v>
      </c>
      <c r="Z104" s="77">
        <v>35891.916666666664</v>
      </c>
      <c r="AA104" s="78">
        <v>35891.958333333336</v>
      </c>
      <c r="AC104" s="12">
        <f t="shared" si="29"/>
        <v>95</v>
      </c>
      <c r="AD104" s="98">
        <v>100</v>
      </c>
    </row>
    <row r="105" spans="3:30">
      <c r="C105" s="76">
        <v>96</v>
      </c>
      <c r="D105" s="77">
        <v>35892</v>
      </c>
      <c r="E105" s="77">
        <v>35892.041666666664</v>
      </c>
      <c r="F105" s="77">
        <v>35892.083333333336</v>
      </c>
      <c r="G105" s="77">
        <v>35892.125</v>
      </c>
      <c r="H105" s="77">
        <v>35892.166666666664</v>
      </c>
      <c r="I105" s="77">
        <v>35892.208333333336</v>
      </c>
      <c r="J105" s="77">
        <v>35892.25</v>
      </c>
      <c r="K105" s="77">
        <v>35892.291666666664</v>
      </c>
      <c r="L105" s="77">
        <v>35892.333333333336</v>
      </c>
      <c r="M105" s="77">
        <v>35892.375</v>
      </c>
      <c r="N105" s="77">
        <v>35892.416666666664</v>
      </c>
      <c r="O105" s="77">
        <v>35892.458333333336</v>
      </c>
      <c r="P105" s="77">
        <v>35892.5</v>
      </c>
      <c r="Q105" s="77">
        <v>35892.541666666664</v>
      </c>
      <c r="R105" s="77">
        <v>35892.583333333336</v>
      </c>
      <c r="S105" s="77">
        <v>35892.625</v>
      </c>
      <c r="T105" s="77">
        <v>35892.666666666664</v>
      </c>
      <c r="U105" s="77">
        <v>35892.708333333336</v>
      </c>
      <c r="V105" s="77">
        <v>35892.75</v>
      </c>
      <c r="W105" s="77">
        <v>35892.791666666664</v>
      </c>
      <c r="X105" s="77">
        <v>35892.833333333336</v>
      </c>
      <c r="Y105" s="77">
        <v>35892.875</v>
      </c>
      <c r="Z105" s="77">
        <v>35892.916666666664</v>
      </c>
      <c r="AA105" s="78">
        <v>35892.958333333336</v>
      </c>
      <c r="AC105" s="12">
        <f t="shared" si="29"/>
        <v>96</v>
      </c>
      <c r="AD105" s="98">
        <v>100</v>
      </c>
    </row>
    <row r="106" spans="3:30">
      <c r="C106" s="76">
        <v>97</v>
      </c>
      <c r="D106" s="77">
        <v>35893</v>
      </c>
      <c r="E106" s="77">
        <v>35893.041666666664</v>
      </c>
      <c r="F106" s="77">
        <v>35893.083333333336</v>
      </c>
      <c r="G106" s="77">
        <v>35893.125</v>
      </c>
      <c r="H106" s="77">
        <v>35893.166666666664</v>
      </c>
      <c r="I106" s="77">
        <v>35893.208333333336</v>
      </c>
      <c r="J106" s="77">
        <v>35893.25</v>
      </c>
      <c r="K106" s="77">
        <v>35893.291666666664</v>
      </c>
      <c r="L106" s="77">
        <v>35893.333333333336</v>
      </c>
      <c r="M106" s="77">
        <v>35893.375</v>
      </c>
      <c r="N106" s="77">
        <v>35893.416666666664</v>
      </c>
      <c r="O106" s="77">
        <v>35893.458333333336</v>
      </c>
      <c r="P106" s="77">
        <v>35893.5</v>
      </c>
      <c r="Q106" s="77">
        <v>35893.541666666664</v>
      </c>
      <c r="R106" s="77">
        <v>35893.583333333336</v>
      </c>
      <c r="S106" s="77">
        <v>35893.625</v>
      </c>
      <c r="T106" s="77">
        <v>35893.666666666664</v>
      </c>
      <c r="U106" s="77">
        <v>35893.708333333336</v>
      </c>
      <c r="V106" s="77">
        <v>35893.75</v>
      </c>
      <c r="W106" s="77">
        <v>35893.791666666664</v>
      </c>
      <c r="X106" s="77">
        <v>35893.833333333336</v>
      </c>
      <c r="Y106" s="77">
        <v>35893.875</v>
      </c>
      <c r="Z106" s="77">
        <v>35893.916666666664</v>
      </c>
      <c r="AA106" s="78">
        <v>35893.958333333336</v>
      </c>
      <c r="AC106" s="12">
        <f t="shared" si="29"/>
        <v>97</v>
      </c>
      <c r="AD106" s="98">
        <v>100</v>
      </c>
    </row>
    <row r="107" spans="3:30">
      <c r="C107" s="76">
        <v>98</v>
      </c>
      <c r="D107" s="77">
        <v>35894</v>
      </c>
      <c r="E107" s="77">
        <v>35894.041666666664</v>
      </c>
      <c r="F107" s="77">
        <v>35894.083333333336</v>
      </c>
      <c r="G107" s="77">
        <v>35894.125</v>
      </c>
      <c r="H107" s="77">
        <v>35894.166666666664</v>
      </c>
      <c r="I107" s="77">
        <v>35894.208333333336</v>
      </c>
      <c r="J107" s="77">
        <v>35894.25</v>
      </c>
      <c r="K107" s="77">
        <v>35894.291666666664</v>
      </c>
      <c r="L107" s="77">
        <v>35894.333333333336</v>
      </c>
      <c r="M107" s="77">
        <v>35894.375</v>
      </c>
      <c r="N107" s="77">
        <v>35894.416666666664</v>
      </c>
      <c r="O107" s="77">
        <v>35894.458333333336</v>
      </c>
      <c r="P107" s="77">
        <v>35894.5</v>
      </c>
      <c r="Q107" s="77">
        <v>35894.541666666664</v>
      </c>
      <c r="R107" s="77">
        <v>35894.583333333336</v>
      </c>
      <c r="S107" s="77">
        <v>35894.625</v>
      </c>
      <c r="T107" s="77">
        <v>35894.666666666664</v>
      </c>
      <c r="U107" s="77">
        <v>35894.708333333336</v>
      </c>
      <c r="V107" s="77">
        <v>35894.75</v>
      </c>
      <c r="W107" s="77">
        <v>35894.791666666664</v>
      </c>
      <c r="X107" s="77">
        <v>35894.833333333336</v>
      </c>
      <c r="Y107" s="77">
        <v>35894.875</v>
      </c>
      <c r="Z107" s="77">
        <v>35894.916666666664</v>
      </c>
      <c r="AA107" s="78">
        <v>35894.958333333336</v>
      </c>
      <c r="AC107" s="12">
        <f t="shared" si="29"/>
        <v>98</v>
      </c>
      <c r="AD107" s="98">
        <v>100</v>
      </c>
    </row>
    <row r="108" spans="3:30">
      <c r="C108" s="76">
        <v>99</v>
      </c>
      <c r="D108" s="77">
        <v>35895</v>
      </c>
      <c r="E108" s="77">
        <v>35895.041666666664</v>
      </c>
      <c r="F108" s="77">
        <v>35895.083333333336</v>
      </c>
      <c r="G108" s="77">
        <v>35895.125</v>
      </c>
      <c r="H108" s="77">
        <v>35895.166666666664</v>
      </c>
      <c r="I108" s="77">
        <v>35895.208333333336</v>
      </c>
      <c r="J108" s="77">
        <v>35895.25</v>
      </c>
      <c r="K108" s="77">
        <v>35895.291666666664</v>
      </c>
      <c r="L108" s="77">
        <v>35895.333333333336</v>
      </c>
      <c r="M108" s="77">
        <v>35895.375</v>
      </c>
      <c r="N108" s="77">
        <v>35895.416666666664</v>
      </c>
      <c r="O108" s="77">
        <v>35895.458333333336</v>
      </c>
      <c r="P108" s="77">
        <v>35895.5</v>
      </c>
      <c r="Q108" s="77">
        <v>35895.541666666664</v>
      </c>
      <c r="R108" s="77">
        <v>35895.583333333336</v>
      </c>
      <c r="S108" s="77">
        <v>35895.625</v>
      </c>
      <c r="T108" s="77">
        <v>35895.666666666664</v>
      </c>
      <c r="U108" s="77">
        <v>35895.708333333336</v>
      </c>
      <c r="V108" s="77">
        <v>35895.75</v>
      </c>
      <c r="W108" s="77">
        <v>35895.791666666664</v>
      </c>
      <c r="X108" s="77">
        <v>35895.833333333336</v>
      </c>
      <c r="Y108" s="77">
        <v>35895.875</v>
      </c>
      <c r="Z108" s="77">
        <v>35895.916666666664</v>
      </c>
      <c r="AA108" s="78">
        <v>35895.958333333336</v>
      </c>
      <c r="AC108" s="12">
        <f t="shared" si="29"/>
        <v>99</v>
      </c>
      <c r="AD108" s="98">
        <v>100</v>
      </c>
    </row>
    <row r="109" spans="3:30">
      <c r="C109" s="76">
        <v>100</v>
      </c>
      <c r="D109" s="77">
        <v>35896</v>
      </c>
      <c r="E109" s="77">
        <v>35896.041666666664</v>
      </c>
      <c r="F109" s="77">
        <v>35896.083333333336</v>
      </c>
      <c r="G109" s="77">
        <v>35896.125</v>
      </c>
      <c r="H109" s="77">
        <v>35896.166666666664</v>
      </c>
      <c r="I109" s="77">
        <v>35896.208333333336</v>
      </c>
      <c r="J109" s="77">
        <v>35896.25</v>
      </c>
      <c r="K109" s="77">
        <v>35896.291666666664</v>
      </c>
      <c r="L109" s="77">
        <v>35896.333333333336</v>
      </c>
      <c r="M109" s="77">
        <v>35896.375</v>
      </c>
      <c r="N109" s="77">
        <v>35896.416666666664</v>
      </c>
      <c r="O109" s="77">
        <v>35896.458333333336</v>
      </c>
      <c r="P109" s="77">
        <v>35896.5</v>
      </c>
      <c r="Q109" s="77">
        <v>35896.541666666664</v>
      </c>
      <c r="R109" s="77">
        <v>35896.583333333336</v>
      </c>
      <c r="S109" s="77">
        <v>35896.625</v>
      </c>
      <c r="T109" s="77">
        <v>35896.666666666664</v>
      </c>
      <c r="U109" s="77">
        <v>35896.708333333336</v>
      </c>
      <c r="V109" s="77">
        <v>35896.75</v>
      </c>
      <c r="W109" s="77">
        <v>35896.791666666664</v>
      </c>
      <c r="X109" s="77">
        <v>35896.833333333336</v>
      </c>
      <c r="Y109" s="77">
        <v>35896.875</v>
      </c>
      <c r="Z109" s="77">
        <v>35896.916666666664</v>
      </c>
      <c r="AA109" s="78">
        <v>35896.958333333336</v>
      </c>
      <c r="AC109" s="12">
        <f t="shared" si="29"/>
        <v>100</v>
      </c>
      <c r="AD109" s="98">
        <v>100</v>
      </c>
    </row>
    <row r="110" spans="3:30">
      <c r="C110" s="76">
        <v>101</v>
      </c>
      <c r="D110" s="77">
        <v>35897</v>
      </c>
      <c r="E110" s="77">
        <v>35897.041666666664</v>
      </c>
      <c r="F110" s="77">
        <v>35897.083333333336</v>
      </c>
      <c r="G110" s="77">
        <v>35897.125</v>
      </c>
      <c r="H110" s="77">
        <v>35897.166666666664</v>
      </c>
      <c r="I110" s="77">
        <v>35897.208333333336</v>
      </c>
      <c r="J110" s="77">
        <v>35897.25</v>
      </c>
      <c r="K110" s="77">
        <v>35897.291666666664</v>
      </c>
      <c r="L110" s="77">
        <v>35897.333333333336</v>
      </c>
      <c r="M110" s="77">
        <v>35897.375</v>
      </c>
      <c r="N110" s="77">
        <v>35897.416666666664</v>
      </c>
      <c r="O110" s="77">
        <v>35897.458333333336</v>
      </c>
      <c r="P110" s="77">
        <v>35897.5</v>
      </c>
      <c r="Q110" s="77">
        <v>35897.541666666664</v>
      </c>
      <c r="R110" s="77">
        <v>35897.583333333336</v>
      </c>
      <c r="S110" s="77">
        <v>35897.625</v>
      </c>
      <c r="T110" s="77">
        <v>35897.666666666664</v>
      </c>
      <c r="U110" s="77">
        <v>35897.708333333336</v>
      </c>
      <c r="V110" s="77">
        <v>35897.75</v>
      </c>
      <c r="W110" s="77">
        <v>35897.791666666664</v>
      </c>
      <c r="X110" s="77">
        <v>35897.833333333336</v>
      </c>
      <c r="Y110" s="77">
        <v>35897.875</v>
      </c>
      <c r="Z110" s="77">
        <v>35897.916666666664</v>
      </c>
      <c r="AA110" s="78">
        <v>35897.958333333336</v>
      </c>
      <c r="AC110" s="12">
        <f t="shared" si="29"/>
        <v>101</v>
      </c>
      <c r="AD110" s="98">
        <v>100</v>
      </c>
    </row>
    <row r="111" spans="3:30">
      <c r="C111" s="76">
        <v>102</v>
      </c>
      <c r="D111" s="77">
        <v>35898</v>
      </c>
      <c r="E111" s="77">
        <v>35898.041666666664</v>
      </c>
      <c r="F111" s="77">
        <v>35898.083333333336</v>
      </c>
      <c r="G111" s="77">
        <v>35898.125</v>
      </c>
      <c r="H111" s="77">
        <v>35898.166666666664</v>
      </c>
      <c r="I111" s="77">
        <v>35898.208333333336</v>
      </c>
      <c r="J111" s="77">
        <v>35898.25</v>
      </c>
      <c r="K111" s="77">
        <v>35898.291666666664</v>
      </c>
      <c r="L111" s="77">
        <v>35898.333333333336</v>
      </c>
      <c r="M111" s="77">
        <v>35898.375</v>
      </c>
      <c r="N111" s="77">
        <v>35898.416666666664</v>
      </c>
      <c r="O111" s="77">
        <v>35898.458333333336</v>
      </c>
      <c r="P111" s="77">
        <v>35898.5</v>
      </c>
      <c r="Q111" s="77">
        <v>35898.541666666664</v>
      </c>
      <c r="R111" s="77">
        <v>35898.583333333336</v>
      </c>
      <c r="S111" s="77">
        <v>35898.625</v>
      </c>
      <c r="T111" s="77">
        <v>35898.666666666664</v>
      </c>
      <c r="U111" s="77">
        <v>35898.708333333336</v>
      </c>
      <c r="V111" s="77">
        <v>35898.75</v>
      </c>
      <c r="W111" s="77">
        <v>35898.791666666664</v>
      </c>
      <c r="X111" s="77">
        <v>35898.833333333336</v>
      </c>
      <c r="Y111" s="77">
        <v>35898.875</v>
      </c>
      <c r="Z111" s="77">
        <v>35898.916666666664</v>
      </c>
      <c r="AA111" s="78">
        <v>35898.958333333336</v>
      </c>
      <c r="AC111" s="12">
        <f t="shared" si="29"/>
        <v>102</v>
      </c>
      <c r="AD111" s="98">
        <v>100</v>
      </c>
    </row>
    <row r="112" spans="3:30">
      <c r="C112" s="76">
        <v>103</v>
      </c>
      <c r="D112" s="77">
        <v>35899</v>
      </c>
      <c r="E112" s="77">
        <v>35899.041666666664</v>
      </c>
      <c r="F112" s="77">
        <v>35899.083333333336</v>
      </c>
      <c r="G112" s="77">
        <v>35899.125</v>
      </c>
      <c r="H112" s="77">
        <v>35899.166666666664</v>
      </c>
      <c r="I112" s="77">
        <v>35899.208333333336</v>
      </c>
      <c r="J112" s="77">
        <v>35899.25</v>
      </c>
      <c r="K112" s="77">
        <v>35899.291666666664</v>
      </c>
      <c r="L112" s="77">
        <v>35899.333333333336</v>
      </c>
      <c r="M112" s="77">
        <v>35899.375</v>
      </c>
      <c r="N112" s="77">
        <v>35899.416666666664</v>
      </c>
      <c r="O112" s="77">
        <v>35899.458333333336</v>
      </c>
      <c r="P112" s="77">
        <v>35899.5</v>
      </c>
      <c r="Q112" s="77">
        <v>35899.541666666664</v>
      </c>
      <c r="R112" s="77">
        <v>35899.583333333336</v>
      </c>
      <c r="S112" s="77">
        <v>35899.625</v>
      </c>
      <c r="T112" s="77">
        <v>35899.666666666664</v>
      </c>
      <c r="U112" s="77">
        <v>35899.708333333336</v>
      </c>
      <c r="V112" s="77">
        <v>35899.75</v>
      </c>
      <c r="W112" s="77">
        <v>35899.791666666664</v>
      </c>
      <c r="X112" s="77">
        <v>35899.833333333336</v>
      </c>
      <c r="Y112" s="77">
        <v>35899.875</v>
      </c>
      <c r="Z112" s="77">
        <v>35899.916666666664</v>
      </c>
      <c r="AA112" s="78">
        <v>35899.958333333336</v>
      </c>
      <c r="AC112" s="12">
        <f t="shared" si="29"/>
        <v>103</v>
      </c>
      <c r="AD112" s="98">
        <v>100</v>
      </c>
    </row>
    <row r="113" spans="3:30">
      <c r="C113" s="76">
        <v>104</v>
      </c>
      <c r="D113" s="77">
        <v>35900</v>
      </c>
      <c r="E113" s="77">
        <v>35900.041666666664</v>
      </c>
      <c r="F113" s="77">
        <v>35900.083333333336</v>
      </c>
      <c r="G113" s="77">
        <v>35900.125</v>
      </c>
      <c r="H113" s="77">
        <v>35900.166666666664</v>
      </c>
      <c r="I113" s="77">
        <v>35900.208333333336</v>
      </c>
      <c r="J113" s="77">
        <v>35900.25</v>
      </c>
      <c r="K113" s="77">
        <v>35900.291666666664</v>
      </c>
      <c r="L113" s="77">
        <v>35900.333333333336</v>
      </c>
      <c r="M113" s="77">
        <v>35900.375</v>
      </c>
      <c r="N113" s="77">
        <v>35900.416666666664</v>
      </c>
      <c r="O113" s="77">
        <v>35900.458333333336</v>
      </c>
      <c r="P113" s="77">
        <v>35900.5</v>
      </c>
      <c r="Q113" s="77">
        <v>35900.541666666664</v>
      </c>
      <c r="R113" s="77">
        <v>35900.583333333336</v>
      </c>
      <c r="S113" s="77">
        <v>35900.625</v>
      </c>
      <c r="T113" s="77">
        <v>35900.666666666664</v>
      </c>
      <c r="U113" s="77">
        <v>35900.708333333336</v>
      </c>
      <c r="V113" s="77">
        <v>35900.75</v>
      </c>
      <c r="W113" s="77">
        <v>35900.791666666664</v>
      </c>
      <c r="X113" s="77">
        <v>35900.833333333336</v>
      </c>
      <c r="Y113" s="77">
        <v>35900.875</v>
      </c>
      <c r="Z113" s="77">
        <v>35900.916666666664</v>
      </c>
      <c r="AA113" s="78">
        <v>35900.958333333336</v>
      </c>
      <c r="AC113" s="12">
        <f t="shared" si="29"/>
        <v>104</v>
      </c>
      <c r="AD113" s="98">
        <v>100</v>
      </c>
    </row>
    <row r="114" spans="3:30">
      <c r="C114" s="76">
        <v>105</v>
      </c>
      <c r="D114" s="77">
        <v>35901</v>
      </c>
      <c r="E114" s="77">
        <v>35901.041666666664</v>
      </c>
      <c r="F114" s="77">
        <v>35901.083333333336</v>
      </c>
      <c r="G114" s="77">
        <v>35901.125</v>
      </c>
      <c r="H114" s="77">
        <v>35901.166666666664</v>
      </c>
      <c r="I114" s="77">
        <v>35901.208333333336</v>
      </c>
      <c r="J114" s="77">
        <v>35901.25</v>
      </c>
      <c r="K114" s="77">
        <v>35901.291666666664</v>
      </c>
      <c r="L114" s="77">
        <v>35901.333333333336</v>
      </c>
      <c r="M114" s="77">
        <v>35901.375</v>
      </c>
      <c r="N114" s="77">
        <v>35901.416666666664</v>
      </c>
      <c r="O114" s="77">
        <v>35901.458333333336</v>
      </c>
      <c r="P114" s="77">
        <v>35901.5</v>
      </c>
      <c r="Q114" s="77">
        <v>35901.541666666664</v>
      </c>
      <c r="R114" s="77">
        <v>35901.583333333336</v>
      </c>
      <c r="S114" s="77">
        <v>35901.625</v>
      </c>
      <c r="T114" s="77">
        <v>35901.666666666664</v>
      </c>
      <c r="U114" s="77">
        <v>35901.708333333336</v>
      </c>
      <c r="V114" s="77">
        <v>35901.75</v>
      </c>
      <c r="W114" s="77">
        <v>35901.791666666664</v>
      </c>
      <c r="X114" s="77">
        <v>35901.833333333336</v>
      </c>
      <c r="Y114" s="77">
        <v>35901.875</v>
      </c>
      <c r="Z114" s="77">
        <v>35901.916666666664</v>
      </c>
      <c r="AA114" s="78">
        <v>35901.958333333336</v>
      </c>
      <c r="AC114" s="12">
        <f t="shared" si="29"/>
        <v>105</v>
      </c>
      <c r="AD114" s="98">
        <v>100</v>
      </c>
    </row>
    <row r="115" spans="3:30">
      <c r="C115" s="76">
        <v>106</v>
      </c>
      <c r="D115" s="77">
        <v>35902</v>
      </c>
      <c r="E115" s="77">
        <v>35902.041666666664</v>
      </c>
      <c r="F115" s="77">
        <v>35902.083333333336</v>
      </c>
      <c r="G115" s="77">
        <v>35902.125</v>
      </c>
      <c r="H115" s="77">
        <v>35902.166666666664</v>
      </c>
      <c r="I115" s="77">
        <v>35902.208333333336</v>
      </c>
      <c r="J115" s="77">
        <v>35902.25</v>
      </c>
      <c r="K115" s="77">
        <v>35902.291666666664</v>
      </c>
      <c r="L115" s="77">
        <v>35902.333333333336</v>
      </c>
      <c r="M115" s="77">
        <v>35902.375</v>
      </c>
      <c r="N115" s="77">
        <v>35902.416666666664</v>
      </c>
      <c r="O115" s="77">
        <v>35902.458333333336</v>
      </c>
      <c r="P115" s="77">
        <v>35902.5</v>
      </c>
      <c r="Q115" s="77">
        <v>35902.541666666664</v>
      </c>
      <c r="R115" s="77">
        <v>35902.583333333336</v>
      </c>
      <c r="S115" s="77">
        <v>35902.625</v>
      </c>
      <c r="T115" s="77">
        <v>35902.666666666664</v>
      </c>
      <c r="U115" s="77">
        <v>35902.708333333336</v>
      </c>
      <c r="V115" s="77">
        <v>35902.75</v>
      </c>
      <c r="W115" s="77">
        <v>35902.791666666664</v>
      </c>
      <c r="X115" s="77">
        <v>35902.833333333336</v>
      </c>
      <c r="Y115" s="77">
        <v>35902.875</v>
      </c>
      <c r="Z115" s="77">
        <v>35902.916666666664</v>
      </c>
      <c r="AA115" s="78">
        <v>35902.958333333336</v>
      </c>
      <c r="AC115" s="12">
        <f t="shared" si="29"/>
        <v>106</v>
      </c>
      <c r="AD115" s="98">
        <v>100</v>
      </c>
    </row>
    <row r="116" spans="3:30">
      <c r="C116" s="76">
        <v>107</v>
      </c>
      <c r="D116" s="77">
        <v>35903</v>
      </c>
      <c r="E116" s="77">
        <v>35903.041666666664</v>
      </c>
      <c r="F116" s="77">
        <v>35903.083333333336</v>
      </c>
      <c r="G116" s="77">
        <v>35903.125</v>
      </c>
      <c r="H116" s="77">
        <v>35903.166666666664</v>
      </c>
      <c r="I116" s="77">
        <v>35903.208333333336</v>
      </c>
      <c r="J116" s="77">
        <v>35903.25</v>
      </c>
      <c r="K116" s="77">
        <v>35903.291666666664</v>
      </c>
      <c r="L116" s="77">
        <v>35903.333333333336</v>
      </c>
      <c r="M116" s="77">
        <v>35903.375</v>
      </c>
      <c r="N116" s="77">
        <v>35903.416666666664</v>
      </c>
      <c r="O116" s="77">
        <v>35903.458333333336</v>
      </c>
      <c r="P116" s="77">
        <v>35903.5</v>
      </c>
      <c r="Q116" s="77">
        <v>35903.541666666664</v>
      </c>
      <c r="R116" s="77">
        <v>35903.583333333336</v>
      </c>
      <c r="S116" s="77">
        <v>35903.625</v>
      </c>
      <c r="T116" s="77">
        <v>35903.666666666664</v>
      </c>
      <c r="U116" s="77">
        <v>35903.708333333336</v>
      </c>
      <c r="V116" s="77">
        <v>35903.75</v>
      </c>
      <c r="W116" s="77">
        <v>35903.791666666664</v>
      </c>
      <c r="X116" s="77">
        <v>35903.833333333336</v>
      </c>
      <c r="Y116" s="77">
        <v>35903.875</v>
      </c>
      <c r="Z116" s="77">
        <v>35903.916666666664</v>
      </c>
      <c r="AA116" s="78">
        <v>35903.958333333336</v>
      </c>
      <c r="AC116" s="12">
        <f t="shared" si="29"/>
        <v>107</v>
      </c>
      <c r="AD116" s="98">
        <v>100</v>
      </c>
    </row>
    <row r="117" spans="3:30">
      <c r="C117" s="76">
        <v>108</v>
      </c>
      <c r="D117" s="77">
        <v>35904</v>
      </c>
      <c r="E117" s="77">
        <v>35904.041666666664</v>
      </c>
      <c r="F117" s="77">
        <v>35904.083333333336</v>
      </c>
      <c r="G117" s="77">
        <v>35904.125</v>
      </c>
      <c r="H117" s="77">
        <v>35904.166666666664</v>
      </c>
      <c r="I117" s="77">
        <v>35904.208333333336</v>
      </c>
      <c r="J117" s="77">
        <v>35904.25</v>
      </c>
      <c r="K117" s="77">
        <v>35904.291666666664</v>
      </c>
      <c r="L117" s="77">
        <v>35904.333333333336</v>
      </c>
      <c r="M117" s="77">
        <v>35904.375</v>
      </c>
      <c r="N117" s="77">
        <v>35904.416666666664</v>
      </c>
      <c r="O117" s="77">
        <v>35904.458333333336</v>
      </c>
      <c r="P117" s="77">
        <v>35904.5</v>
      </c>
      <c r="Q117" s="77">
        <v>35904.541666666664</v>
      </c>
      <c r="R117" s="77">
        <v>35904.583333333336</v>
      </c>
      <c r="S117" s="77">
        <v>35904.625</v>
      </c>
      <c r="T117" s="77">
        <v>35904.666666666664</v>
      </c>
      <c r="U117" s="77">
        <v>35904.708333333336</v>
      </c>
      <c r="V117" s="77">
        <v>35904.75</v>
      </c>
      <c r="W117" s="77">
        <v>35904.791666666664</v>
      </c>
      <c r="X117" s="77">
        <v>35904.833333333336</v>
      </c>
      <c r="Y117" s="77">
        <v>35904.875</v>
      </c>
      <c r="Z117" s="77">
        <v>35904.916666666664</v>
      </c>
      <c r="AA117" s="78">
        <v>35904.958333333336</v>
      </c>
      <c r="AC117" s="12">
        <f t="shared" si="29"/>
        <v>108</v>
      </c>
      <c r="AD117" s="98">
        <v>100</v>
      </c>
    </row>
    <row r="118" spans="3:30">
      <c r="C118" s="76">
        <v>109</v>
      </c>
      <c r="D118" s="77">
        <v>35905</v>
      </c>
      <c r="E118" s="77">
        <v>35905.041666666664</v>
      </c>
      <c r="F118" s="77">
        <v>35905.083333333336</v>
      </c>
      <c r="G118" s="77">
        <v>35905.125</v>
      </c>
      <c r="H118" s="77">
        <v>35905.166666666664</v>
      </c>
      <c r="I118" s="77">
        <v>35905.208333333336</v>
      </c>
      <c r="J118" s="77">
        <v>35905.25</v>
      </c>
      <c r="K118" s="77">
        <v>35905.291666666664</v>
      </c>
      <c r="L118" s="77">
        <v>35905.333333333336</v>
      </c>
      <c r="M118" s="77">
        <v>35905.375</v>
      </c>
      <c r="N118" s="77">
        <v>35905.416666666664</v>
      </c>
      <c r="O118" s="77">
        <v>35905.458333333336</v>
      </c>
      <c r="P118" s="77">
        <v>35905.5</v>
      </c>
      <c r="Q118" s="77">
        <v>35905.541666666664</v>
      </c>
      <c r="R118" s="77">
        <v>35905.583333333336</v>
      </c>
      <c r="S118" s="77">
        <v>35905.625</v>
      </c>
      <c r="T118" s="77">
        <v>35905.666666666664</v>
      </c>
      <c r="U118" s="77">
        <v>35905.708333333336</v>
      </c>
      <c r="V118" s="77">
        <v>35905.75</v>
      </c>
      <c r="W118" s="77">
        <v>35905.791666666664</v>
      </c>
      <c r="X118" s="77">
        <v>35905.833333333336</v>
      </c>
      <c r="Y118" s="77">
        <v>35905.875</v>
      </c>
      <c r="Z118" s="77">
        <v>35905.916666666664</v>
      </c>
      <c r="AA118" s="78">
        <v>35905.958333333336</v>
      </c>
      <c r="AC118" s="12">
        <f t="shared" si="29"/>
        <v>109</v>
      </c>
      <c r="AD118" s="98">
        <v>100</v>
      </c>
    </row>
    <row r="119" spans="3:30">
      <c r="C119" s="76">
        <v>110</v>
      </c>
      <c r="D119" s="77">
        <v>35906</v>
      </c>
      <c r="E119" s="77">
        <v>35906.041666666664</v>
      </c>
      <c r="F119" s="77">
        <v>35906.083333333336</v>
      </c>
      <c r="G119" s="77">
        <v>35906.125</v>
      </c>
      <c r="H119" s="77">
        <v>35906.166666666664</v>
      </c>
      <c r="I119" s="77">
        <v>35906.208333333336</v>
      </c>
      <c r="J119" s="77">
        <v>35906.25</v>
      </c>
      <c r="K119" s="77">
        <v>35906.291666666664</v>
      </c>
      <c r="L119" s="77">
        <v>35906.333333333336</v>
      </c>
      <c r="M119" s="77">
        <v>35906.375</v>
      </c>
      <c r="N119" s="77">
        <v>35906.416666666664</v>
      </c>
      <c r="O119" s="77">
        <v>35906.458333333336</v>
      </c>
      <c r="P119" s="77">
        <v>35906.5</v>
      </c>
      <c r="Q119" s="77">
        <v>35906.541666666664</v>
      </c>
      <c r="R119" s="77">
        <v>35906.583333333336</v>
      </c>
      <c r="S119" s="77">
        <v>35906.625</v>
      </c>
      <c r="T119" s="77">
        <v>35906.666666666664</v>
      </c>
      <c r="U119" s="77">
        <v>35906.708333333336</v>
      </c>
      <c r="V119" s="77">
        <v>35906.75</v>
      </c>
      <c r="W119" s="77">
        <v>35906.791666666664</v>
      </c>
      <c r="X119" s="77">
        <v>35906.833333333336</v>
      </c>
      <c r="Y119" s="77">
        <v>35906.875</v>
      </c>
      <c r="Z119" s="77">
        <v>35906.916666666664</v>
      </c>
      <c r="AA119" s="78">
        <v>35906.958333333336</v>
      </c>
      <c r="AC119" s="12">
        <f t="shared" si="29"/>
        <v>110</v>
      </c>
      <c r="AD119" s="98">
        <v>100</v>
      </c>
    </row>
    <row r="120" spans="3:30">
      <c r="C120" s="76">
        <v>111</v>
      </c>
      <c r="D120" s="77">
        <v>35907</v>
      </c>
      <c r="E120" s="77">
        <v>35907.041666666664</v>
      </c>
      <c r="F120" s="77">
        <v>35907.083333333336</v>
      </c>
      <c r="G120" s="77">
        <v>35907.125</v>
      </c>
      <c r="H120" s="77">
        <v>35907.166666666664</v>
      </c>
      <c r="I120" s="77">
        <v>35907.208333333336</v>
      </c>
      <c r="J120" s="77">
        <v>35907.25</v>
      </c>
      <c r="K120" s="77">
        <v>35907.291666666664</v>
      </c>
      <c r="L120" s="77">
        <v>35907.333333333336</v>
      </c>
      <c r="M120" s="77">
        <v>35907.375</v>
      </c>
      <c r="N120" s="77">
        <v>35907.416666666664</v>
      </c>
      <c r="O120" s="77">
        <v>35907.458333333336</v>
      </c>
      <c r="P120" s="77">
        <v>35907.5</v>
      </c>
      <c r="Q120" s="77">
        <v>35907.541666666664</v>
      </c>
      <c r="R120" s="77">
        <v>35907.583333333336</v>
      </c>
      <c r="S120" s="77">
        <v>35907.625</v>
      </c>
      <c r="T120" s="77">
        <v>35907.666666666664</v>
      </c>
      <c r="U120" s="77">
        <v>35907.708333333336</v>
      </c>
      <c r="V120" s="77">
        <v>35907.75</v>
      </c>
      <c r="W120" s="77">
        <v>35907.791666666664</v>
      </c>
      <c r="X120" s="77">
        <v>35907.833333333336</v>
      </c>
      <c r="Y120" s="77">
        <v>35907.875</v>
      </c>
      <c r="Z120" s="77">
        <v>35907.916666666664</v>
      </c>
      <c r="AA120" s="78">
        <v>35907.958333333336</v>
      </c>
      <c r="AC120" s="12">
        <f t="shared" si="29"/>
        <v>111</v>
      </c>
      <c r="AD120" s="98">
        <v>100</v>
      </c>
    </row>
    <row r="121" spans="3:30">
      <c r="C121" s="76">
        <v>112</v>
      </c>
      <c r="D121" s="77">
        <v>35908</v>
      </c>
      <c r="E121" s="77">
        <v>35908.041666666664</v>
      </c>
      <c r="F121" s="77">
        <v>35908.083333333336</v>
      </c>
      <c r="G121" s="77">
        <v>35908.125</v>
      </c>
      <c r="H121" s="77">
        <v>35908.166666666664</v>
      </c>
      <c r="I121" s="77">
        <v>35908.208333333336</v>
      </c>
      <c r="J121" s="77">
        <v>35908.25</v>
      </c>
      <c r="K121" s="77">
        <v>35908.291666666664</v>
      </c>
      <c r="L121" s="77">
        <v>35908.333333333336</v>
      </c>
      <c r="M121" s="77">
        <v>35908.375</v>
      </c>
      <c r="N121" s="77">
        <v>35908.416666666664</v>
      </c>
      <c r="O121" s="77">
        <v>35908.458333333336</v>
      </c>
      <c r="P121" s="77">
        <v>35908.5</v>
      </c>
      <c r="Q121" s="77">
        <v>35908.541666666664</v>
      </c>
      <c r="R121" s="77">
        <v>35908.583333333336</v>
      </c>
      <c r="S121" s="77">
        <v>35908.625</v>
      </c>
      <c r="T121" s="77">
        <v>35908.666666666664</v>
      </c>
      <c r="U121" s="77">
        <v>35908.708333333336</v>
      </c>
      <c r="V121" s="77">
        <v>35908.75</v>
      </c>
      <c r="W121" s="77">
        <v>35908.791666666664</v>
      </c>
      <c r="X121" s="77">
        <v>35908.833333333336</v>
      </c>
      <c r="Y121" s="77">
        <v>35908.875</v>
      </c>
      <c r="Z121" s="77">
        <v>35908.916666666664</v>
      </c>
      <c r="AA121" s="78">
        <v>35908.958333333336</v>
      </c>
      <c r="AC121" s="12">
        <f t="shared" si="29"/>
        <v>112</v>
      </c>
      <c r="AD121" s="98">
        <v>100</v>
      </c>
    </row>
    <row r="122" spans="3:30">
      <c r="C122" s="76">
        <v>113</v>
      </c>
      <c r="D122" s="77">
        <v>35909</v>
      </c>
      <c r="E122" s="77">
        <v>35909.041666666664</v>
      </c>
      <c r="F122" s="77">
        <v>35909.083333333336</v>
      </c>
      <c r="G122" s="77">
        <v>35909.125</v>
      </c>
      <c r="H122" s="77">
        <v>35909.166666666664</v>
      </c>
      <c r="I122" s="77">
        <v>35909.208333333336</v>
      </c>
      <c r="J122" s="77">
        <v>35909.25</v>
      </c>
      <c r="K122" s="77">
        <v>35909.291666666664</v>
      </c>
      <c r="L122" s="77">
        <v>35909.333333333336</v>
      </c>
      <c r="M122" s="77">
        <v>35909.375</v>
      </c>
      <c r="N122" s="77">
        <v>35909.416666666664</v>
      </c>
      <c r="O122" s="77">
        <v>35909.458333333336</v>
      </c>
      <c r="P122" s="77">
        <v>35909.5</v>
      </c>
      <c r="Q122" s="77">
        <v>35909.541666666664</v>
      </c>
      <c r="R122" s="77">
        <v>35909.583333333336</v>
      </c>
      <c r="S122" s="77">
        <v>35909.625</v>
      </c>
      <c r="T122" s="77">
        <v>35909.666666666664</v>
      </c>
      <c r="U122" s="77">
        <v>35909.708333333336</v>
      </c>
      <c r="V122" s="77">
        <v>35909.75</v>
      </c>
      <c r="W122" s="77">
        <v>35909.791666666664</v>
      </c>
      <c r="X122" s="77">
        <v>35909.833333333336</v>
      </c>
      <c r="Y122" s="77">
        <v>35909.875</v>
      </c>
      <c r="Z122" s="77">
        <v>35909.916666666664</v>
      </c>
      <c r="AA122" s="78">
        <v>35909.958333333336</v>
      </c>
      <c r="AC122" s="12">
        <f t="shared" si="29"/>
        <v>113</v>
      </c>
      <c r="AD122" s="98">
        <v>100</v>
      </c>
    </row>
    <row r="123" spans="3:30">
      <c r="C123" s="76">
        <v>114</v>
      </c>
      <c r="D123" s="77">
        <v>35910</v>
      </c>
      <c r="E123" s="77">
        <v>35910.041666666664</v>
      </c>
      <c r="F123" s="77">
        <v>35910.083333333336</v>
      </c>
      <c r="G123" s="77">
        <v>35910.125</v>
      </c>
      <c r="H123" s="77">
        <v>35910.166666666664</v>
      </c>
      <c r="I123" s="77">
        <v>35910.208333333336</v>
      </c>
      <c r="J123" s="77">
        <v>35910.25</v>
      </c>
      <c r="K123" s="77">
        <v>35910.291666666664</v>
      </c>
      <c r="L123" s="77">
        <v>35910.333333333336</v>
      </c>
      <c r="M123" s="77">
        <v>35910.375</v>
      </c>
      <c r="N123" s="77">
        <v>35910.416666666664</v>
      </c>
      <c r="O123" s="77">
        <v>35910.458333333336</v>
      </c>
      <c r="P123" s="77">
        <v>35910.5</v>
      </c>
      <c r="Q123" s="77">
        <v>35910.541666666664</v>
      </c>
      <c r="R123" s="77">
        <v>35910.583333333336</v>
      </c>
      <c r="S123" s="77">
        <v>35910.625</v>
      </c>
      <c r="T123" s="77">
        <v>35910.666666666664</v>
      </c>
      <c r="U123" s="77">
        <v>35910.708333333336</v>
      </c>
      <c r="V123" s="77">
        <v>35910.75</v>
      </c>
      <c r="W123" s="77">
        <v>35910.791666666664</v>
      </c>
      <c r="X123" s="77">
        <v>35910.833333333336</v>
      </c>
      <c r="Y123" s="77">
        <v>35910.875</v>
      </c>
      <c r="Z123" s="77">
        <v>35910.916666666664</v>
      </c>
      <c r="AA123" s="78">
        <v>35910.958333333336</v>
      </c>
      <c r="AC123" s="12">
        <f t="shared" si="29"/>
        <v>114</v>
      </c>
      <c r="AD123" s="98">
        <v>100</v>
      </c>
    </row>
    <row r="124" spans="3:30">
      <c r="C124" s="76">
        <v>115</v>
      </c>
      <c r="D124" s="77">
        <v>35911</v>
      </c>
      <c r="E124" s="77">
        <v>35911.041666666664</v>
      </c>
      <c r="F124" s="77">
        <v>35911.083333333336</v>
      </c>
      <c r="G124" s="77">
        <v>35911.125</v>
      </c>
      <c r="H124" s="77">
        <v>35911.166666666664</v>
      </c>
      <c r="I124" s="77">
        <v>35911.208333333336</v>
      </c>
      <c r="J124" s="77">
        <v>35911.25</v>
      </c>
      <c r="K124" s="77">
        <v>35911.291666666664</v>
      </c>
      <c r="L124" s="77">
        <v>35911.333333333336</v>
      </c>
      <c r="M124" s="77">
        <v>35911.375</v>
      </c>
      <c r="N124" s="77">
        <v>35911.416666666664</v>
      </c>
      <c r="O124" s="77">
        <v>35911.458333333336</v>
      </c>
      <c r="P124" s="77">
        <v>35911.5</v>
      </c>
      <c r="Q124" s="77">
        <v>35911.541666666664</v>
      </c>
      <c r="R124" s="77">
        <v>35911.583333333336</v>
      </c>
      <c r="S124" s="77">
        <v>35911.625</v>
      </c>
      <c r="T124" s="77">
        <v>35911.666666666664</v>
      </c>
      <c r="U124" s="77">
        <v>35911.708333333336</v>
      </c>
      <c r="V124" s="77">
        <v>35911.75</v>
      </c>
      <c r="W124" s="77">
        <v>35911.791666666664</v>
      </c>
      <c r="X124" s="77">
        <v>35911.833333333336</v>
      </c>
      <c r="Y124" s="77">
        <v>35911.875</v>
      </c>
      <c r="Z124" s="77">
        <v>35911.916666666664</v>
      </c>
      <c r="AA124" s="78">
        <v>35911.958333333336</v>
      </c>
      <c r="AC124" s="12">
        <f t="shared" si="29"/>
        <v>115</v>
      </c>
      <c r="AD124" s="98">
        <v>100</v>
      </c>
    </row>
    <row r="125" spans="3:30">
      <c r="C125" s="76">
        <v>116</v>
      </c>
      <c r="D125" s="77">
        <v>35912</v>
      </c>
      <c r="E125" s="77">
        <v>35912.041666666664</v>
      </c>
      <c r="F125" s="77">
        <v>35912.083333333336</v>
      </c>
      <c r="G125" s="77">
        <v>35912.125</v>
      </c>
      <c r="H125" s="77">
        <v>35912.166666666664</v>
      </c>
      <c r="I125" s="77">
        <v>35912.208333333336</v>
      </c>
      <c r="J125" s="77">
        <v>35912.25</v>
      </c>
      <c r="K125" s="77">
        <v>35912.291666666664</v>
      </c>
      <c r="L125" s="77">
        <v>35912.333333333336</v>
      </c>
      <c r="M125" s="77">
        <v>35912.375</v>
      </c>
      <c r="N125" s="77">
        <v>35912.416666666664</v>
      </c>
      <c r="O125" s="77">
        <v>35912.458333333336</v>
      </c>
      <c r="P125" s="77">
        <v>35912.5</v>
      </c>
      <c r="Q125" s="77">
        <v>35912.541666666664</v>
      </c>
      <c r="R125" s="77">
        <v>35912.583333333336</v>
      </c>
      <c r="S125" s="77">
        <v>35912.625</v>
      </c>
      <c r="T125" s="77">
        <v>35912.666666666664</v>
      </c>
      <c r="U125" s="77">
        <v>35912.708333333336</v>
      </c>
      <c r="V125" s="77">
        <v>35912.75</v>
      </c>
      <c r="W125" s="77">
        <v>35912.791666666664</v>
      </c>
      <c r="X125" s="77">
        <v>35912.833333333336</v>
      </c>
      <c r="Y125" s="77">
        <v>35912.875</v>
      </c>
      <c r="Z125" s="77">
        <v>35912.916666666664</v>
      </c>
      <c r="AA125" s="78">
        <v>35912.958333333336</v>
      </c>
      <c r="AC125" s="12">
        <f t="shared" si="29"/>
        <v>116</v>
      </c>
      <c r="AD125" s="98">
        <v>100</v>
      </c>
    </row>
    <row r="126" spans="3:30">
      <c r="C126" s="76">
        <v>117</v>
      </c>
      <c r="D126" s="77">
        <v>35913</v>
      </c>
      <c r="E126" s="77">
        <v>35913.041666666664</v>
      </c>
      <c r="F126" s="77">
        <v>35913.083333333336</v>
      </c>
      <c r="G126" s="77">
        <v>35913.125</v>
      </c>
      <c r="H126" s="77">
        <v>35913.166666666664</v>
      </c>
      <c r="I126" s="77">
        <v>35913.208333333336</v>
      </c>
      <c r="J126" s="77">
        <v>35913.25</v>
      </c>
      <c r="K126" s="77">
        <v>35913.291666666664</v>
      </c>
      <c r="L126" s="77">
        <v>35913.333333333336</v>
      </c>
      <c r="M126" s="77">
        <v>35913.375</v>
      </c>
      <c r="N126" s="77">
        <v>35913.416666666664</v>
      </c>
      <c r="O126" s="77">
        <v>35913.458333333336</v>
      </c>
      <c r="P126" s="77">
        <v>35913.5</v>
      </c>
      <c r="Q126" s="77">
        <v>35913.541666666664</v>
      </c>
      <c r="R126" s="77">
        <v>35913.583333333336</v>
      </c>
      <c r="S126" s="77">
        <v>35913.625</v>
      </c>
      <c r="T126" s="77">
        <v>35913.666666666664</v>
      </c>
      <c r="U126" s="77">
        <v>35913.708333333336</v>
      </c>
      <c r="V126" s="77">
        <v>35913.75</v>
      </c>
      <c r="W126" s="77">
        <v>35913.791666666664</v>
      </c>
      <c r="X126" s="77">
        <v>35913.833333333336</v>
      </c>
      <c r="Y126" s="77">
        <v>35913.875</v>
      </c>
      <c r="Z126" s="77">
        <v>35913.916666666664</v>
      </c>
      <c r="AA126" s="78">
        <v>35913.958333333336</v>
      </c>
      <c r="AC126" s="12">
        <f t="shared" si="29"/>
        <v>117</v>
      </c>
      <c r="AD126" s="98">
        <v>100</v>
      </c>
    </row>
    <row r="127" spans="3:30">
      <c r="C127" s="76">
        <v>118</v>
      </c>
      <c r="D127" s="77">
        <v>35914</v>
      </c>
      <c r="E127" s="77">
        <v>35914.041666666664</v>
      </c>
      <c r="F127" s="77">
        <v>35914.083333333336</v>
      </c>
      <c r="G127" s="77">
        <v>35914.125</v>
      </c>
      <c r="H127" s="77">
        <v>35914.166666666664</v>
      </c>
      <c r="I127" s="77">
        <v>35914.208333333336</v>
      </c>
      <c r="J127" s="77">
        <v>35914.25</v>
      </c>
      <c r="K127" s="77">
        <v>35914.291666666664</v>
      </c>
      <c r="L127" s="77">
        <v>35914.333333333336</v>
      </c>
      <c r="M127" s="77">
        <v>35914.375</v>
      </c>
      <c r="N127" s="77">
        <v>35914.416666666664</v>
      </c>
      <c r="O127" s="77">
        <v>35914.458333333336</v>
      </c>
      <c r="P127" s="77">
        <v>35914.5</v>
      </c>
      <c r="Q127" s="77">
        <v>35914.541666666664</v>
      </c>
      <c r="R127" s="77">
        <v>35914.583333333336</v>
      </c>
      <c r="S127" s="77">
        <v>35914.625</v>
      </c>
      <c r="T127" s="77">
        <v>35914.666666666664</v>
      </c>
      <c r="U127" s="77">
        <v>35914.708333333336</v>
      </c>
      <c r="V127" s="77">
        <v>35914.75</v>
      </c>
      <c r="W127" s="77">
        <v>35914.791666666664</v>
      </c>
      <c r="X127" s="77">
        <v>35914.833333333336</v>
      </c>
      <c r="Y127" s="77">
        <v>35914.875</v>
      </c>
      <c r="Z127" s="77">
        <v>35914.916666666664</v>
      </c>
      <c r="AA127" s="78">
        <v>35914.958333333336</v>
      </c>
      <c r="AC127" s="12">
        <f t="shared" si="29"/>
        <v>118</v>
      </c>
      <c r="AD127" s="98">
        <v>100</v>
      </c>
    </row>
    <row r="128" spans="3:30">
      <c r="C128" s="76">
        <v>119</v>
      </c>
      <c r="D128" s="77">
        <v>35915</v>
      </c>
      <c r="E128" s="77">
        <v>35915.041666666664</v>
      </c>
      <c r="F128" s="77">
        <v>35915.083333333336</v>
      </c>
      <c r="G128" s="77">
        <v>35915.125</v>
      </c>
      <c r="H128" s="77">
        <v>35915.166666666664</v>
      </c>
      <c r="I128" s="77">
        <v>35915.208333333336</v>
      </c>
      <c r="J128" s="77">
        <v>35915.25</v>
      </c>
      <c r="K128" s="77">
        <v>35915.291666666664</v>
      </c>
      <c r="L128" s="77">
        <v>35915.333333333336</v>
      </c>
      <c r="M128" s="77">
        <v>35915.375</v>
      </c>
      <c r="N128" s="77">
        <v>35915.416666666664</v>
      </c>
      <c r="O128" s="77">
        <v>35915.458333333336</v>
      </c>
      <c r="P128" s="77">
        <v>35915.5</v>
      </c>
      <c r="Q128" s="77">
        <v>35915.541666666664</v>
      </c>
      <c r="R128" s="77">
        <v>35915.583333333336</v>
      </c>
      <c r="S128" s="77">
        <v>35915.625</v>
      </c>
      <c r="T128" s="77">
        <v>35915.666666666664</v>
      </c>
      <c r="U128" s="77">
        <v>35915.708333333336</v>
      </c>
      <c r="V128" s="77">
        <v>35915.75</v>
      </c>
      <c r="W128" s="77">
        <v>35915.791666666664</v>
      </c>
      <c r="X128" s="77">
        <v>35915.833333333336</v>
      </c>
      <c r="Y128" s="77">
        <v>35915.875</v>
      </c>
      <c r="Z128" s="77">
        <v>35915.916666666664</v>
      </c>
      <c r="AA128" s="78">
        <v>35915.958333333336</v>
      </c>
      <c r="AC128" s="12">
        <f t="shared" si="29"/>
        <v>119</v>
      </c>
      <c r="AD128" s="98">
        <v>100</v>
      </c>
    </row>
    <row r="129" spans="3:30">
      <c r="C129" s="76">
        <v>120</v>
      </c>
      <c r="D129" s="77">
        <v>35916</v>
      </c>
      <c r="E129" s="77">
        <v>35916.041666666664</v>
      </c>
      <c r="F129" s="77">
        <v>35916.083333333336</v>
      </c>
      <c r="G129" s="77">
        <v>35916.125</v>
      </c>
      <c r="H129" s="77">
        <v>35916.166666666664</v>
      </c>
      <c r="I129" s="77">
        <v>35916.208333333336</v>
      </c>
      <c r="J129" s="77">
        <v>35916.25</v>
      </c>
      <c r="K129" s="77">
        <v>35916.291666666664</v>
      </c>
      <c r="L129" s="77">
        <v>35916.333333333336</v>
      </c>
      <c r="M129" s="77">
        <v>35916.375</v>
      </c>
      <c r="N129" s="77">
        <v>35916.416666666664</v>
      </c>
      <c r="O129" s="77">
        <v>35916.458333333336</v>
      </c>
      <c r="P129" s="77">
        <v>35916.5</v>
      </c>
      <c r="Q129" s="77">
        <v>35916.541666666664</v>
      </c>
      <c r="R129" s="77">
        <v>35916.583333333336</v>
      </c>
      <c r="S129" s="77">
        <v>35916.625</v>
      </c>
      <c r="T129" s="77">
        <v>35916.666666666664</v>
      </c>
      <c r="U129" s="77">
        <v>35916.708333333336</v>
      </c>
      <c r="V129" s="77">
        <v>35916.75</v>
      </c>
      <c r="W129" s="77">
        <v>35916.791666666664</v>
      </c>
      <c r="X129" s="77">
        <v>35916.833333333336</v>
      </c>
      <c r="Y129" s="77">
        <v>35916.875</v>
      </c>
      <c r="Z129" s="77">
        <v>35916.916666666664</v>
      </c>
      <c r="AA129" s="78">
        <v>35916.958333333336</v>
      </c>
      <c r="AC129" s="12">
        <f t="shared" si="29"/>
        <v>120</v>
      </c>
      <c r="AD129" s="98">
        <v>130</v>
      </c>
    </row>
    <row r="130" spans="3:30">
      <c r="C130" s="76">
        <v>121</v>
      </c>
      <c r="D130" s="77">
        <v>35917</v>
      </c>
      <c r="E130" s="77">
        <v>35917.041666666664</v>
      </c>
      <c r="F130" s="77">
        <v>35917.083333333336</v>
      </c>
      <c r="G130" s="77">
        <v>35917.125</v>
      </c>
      <c r="H130" s="77">
        <v>35917.166666666664</v>
      </c>
      <c r="I130" s="77">
        <v>35917.208333333336</v>
      </c>
      <c r="J130" s="77">
        <v>35917.25</v>
      </c>
      <c r="K130" s="77">
        <v>35917.291666666664</v>
      </c>
      <c r="L130" s="77">
        <v>35917.333333333336</v>
      </c>
      <c r="M130" s="77">
        <v>35917.375</v>
      </c>
      <c r="N130" s="77">
        <v>35917.416666666664</v>
      </c>
      <c r="O130" s="77">
        <v>35917.458333333336</v>
      </c>
      <c r="P130" s="77">
        <v>35917.5</v>
      </c>
      <c r="Q130" s="77">
        <v>35917.541666666664</v>
      </c>
      <c r="R130" s="77">
        <v>35917.583333333336</v>
      </c>
      <c r="S130" s="77">
        <v>35917.625</v>
      </c>
      <c r="T130" s="77">
        <v>35917.666666666664</v>
      </c>
      <c r="U130" s="77">
        <v>35917.708333333336</v>
      </c>
      <c r="V130" s="77">
        <v>35917.75</v>
      </c>
      <c r="W130" s="77">
        <v>35917.791666666664</v>
      </c>
      <c r="X130" s="77">
        <v>35917.833333333336</v>
      </c>
      <c r="Y130" s="77">
        <v>35917.875</v>
      </c>
      <c r="Z130" s="77">
        <v>35917.916666666664</v>
      </c>
      <c r="AA130" s="78">
        <v>35917.958333333336</v>
      </c>
      <c r="AC130" s="12">
        <f t="shared" si="29"/>
        <v>121</v>
      </c>
      <c r="AD130" s="98">
        <v>130</v>
      </c>
    </row>
    <row r="131" spans="3:30">
      <c r="C131" s="76">
        <v>122</v>
      </c>
      <c r="D131" s="77">
        <v>35918</v>
      </c>
      <c r="E131" s="77">
        <v>35918.041666666664</v>
      </c>
      <c r="F131" s="77">
        <v>35918.083333333336</v>
      </c>
      <c r="G131" s="77">
        <v>35918.125</v>
      </c>
      <c r="H131" s="77">
        <v>35918.166666666664</v>
      </c>
      <c r="I131" s="77">
        <v>35918.208333333336</v>
      </c>
      <c r="J131" s="77">
        <v>35918.25</v>
      </c>
      <c r="K131" s="77">
        <v>35918.291666666664</v>
      </c>
      <c r="L131" s="77">
        <v>35918.333333333336</v>
      </c>
      <c r="M131" s="77">
        <v>35918.375</v>
      </c>
      <c r="N131" s="77">
        <v>35918.416666666664</v>
      </c>
      <c r="O131" s="77">
        <v>35918.458333333336</v>
      </c>
      <c r="P131" s="77">
        <v>35918.5</v>
      </c>
      <c r="Q131" s="77">
        <v>35918.541666666664</v>
      </c>
      <c r="R131" s="77">
        <v>35918.583333333336</v>
      </c>
      <c r="S131" s="77">
        <v>35918.625</v>
      </c>
      <c r="T131" s="77">
        <v>35918.666666666664</v>
      </c>
      <c r="U131" s="77">
        <v>35918.708333333336</v>
      </c>
      <c r="V131" s="77">
        <v>35918.75</v>
      </c>
      <c r="W131" s="77">
        <v>35918.791666666664</v>
      </c>
      <c r="X131" s="77">
        <v>35918.833333333336</v>
      </c>
      <c r="Y131" s="77">
        <v>35918.875</v>
      </c>
      <c r="Z131" s="77">
        <v>35918.916666666664</v>
      </c>
      <c r="AA131" s="78">
        <v>35918.958333333336</v>
      </c>
      <c r="AC131" s="12">
        <f t="shared" si="29"/>
        <v>122</v>
      </c>
      <c r="AD131" s="98">
        <v>130</v>
      </c>
    </row>
    <row r="132" spans="3:30">
      <c r="C132" s="76">
        <v>123</v>
      </c>
      <c r="D132" s="77">
        <v>35919</v>
      </c>
      <c r="E132" s="77">
        <v>35919.041666666664</v>
      </c>
      <c r="F132" s="77">
        <v>35919.083333333336</v>
      </c>
      <c r="G132" s="77">
        <v>35919.125</v>
      </c>
      <c r="H132" s="77">
        <v>35919.166666666664</v>
      </c>
      <c r="I132" s="77">
        <v>35919.208333333336</v>
      </c>
      <c r="J132" s="77">
        <v>35919.25</v>
      </c>
      <c r="K132" s="77">
        <v>35919.291666666664</v>
      </c>
      <c r="L132" s="77">
        <v>35919.333333333336</v>
      </c>
      <c r="M132" s="77">
        <v>35919.375</v>
      </c>
      <c r="N132" s="77">
        <v>35919.416666666664</v>
      </c>
      <c r="O132" s="77">
        <v>35919.458333333336</v>
      </c>
      <c r="P132" s="77">
        <v>35919.5</v>
      </c>
      <c r="Q132" s="77">
        <v>35919.541666666664</v>
      </c>
      <c r="R132" s="77">
        <v>35919.583333333336</v>
      </c>
      <c r="S132" s="77">
        <v>35919.625</v>
      </c>
      <c r="T132" s="77">
        <v>35919.666666666664</v>
      </c>
      <c r="U132" s="77">
        <v>35919.708333333336</v>
      </c>
      <c r="V132" s="77">
        <v>35919.75</v>
      </c>
      <c r="W132" s="77">
        <v>35919.791666666664</v>
      </c>
      <c r="X132" s="77">
        <v>35919.833333333336</v>
      </c>
      <c r="Y132" s="77">
        <v>35919.875</v>
      </c>
      <c r="Z132" s="77">
        <v>35919.916666666664</v>
      </c>
      <c r="AA132" s="78">
        <v>35919.958333333336</v>
      </c>
      <c r="AC132" s="12">
        <f t="shared" si="29"/>
        <v>123</v>
      </c>
      <c r="AD132" s="98">
        <v>130</v>
      </c>
    </row>
    <row r="133" spans="3:30">
      <c r="C133" s="76">
        <v>124</v>
      </c>
      <c r="D133" s="77">
        <v>35920</v>
      </c>
      <c r="E133" s="77">
        <v>35920.041666666664</v>
      </c>
      <c r="F133" s="77">
        <v>35920.083333333336</v>
      </c>
      <c r="G133" s="77">
        <v>35920.125</v>
      </c>
      <c r="H133" s="77">
        <v>35920.166666666664</v>
      </c>
      <c r="I133" s="77">
        <v>35920.208333333336</v>
      </c>
      <c r="J133" s="77">
        <v>35920.25</v>
      </c>
      <c r="K133" s="77">
        <v>35920.291666666664</v>
      </c>
      <c r="L133" s="77">
        <v>35920.333333333336</v>
      </c>
      <c r="M133" s="77">
        <v>35920.375</v>
      </c>
      <c r="N133" s="77">
        <v>35920.416666666664</v>
      </c>
      <c r="O133" s="77">
        <v>35920.458333333336</v>
      </c>
      <c r="P133" s="77">
        <v>35920.5</v>
      </c>
      <c r="Q133" s="77">
        <v>35920.541666666664</v>
      </c>
      <c r="R133" s="77">
        <v>35920.583333333336</v>
      </c>
      <c r="S133" s="77">
        <v>35920.625</v>
      </c>
      <c r="T133" s="77">
        <v>35920.666666666664</v>
      </c>
      <c r="U133" s="77">
        <v>35920.708333333336</v>
      </c>
      <c r="V133" s="77">
        <v>35920.75</v>
      </c>
      <c r="W133" s="77">
        <v>35920.791666666664</v>
      </c>
      <c r="X133" s="77">
        <v>35920.833333333336</v>
      </c>
      <c r="Y133" s="77">
        <v>35920.875</v>
      </c>
      <c r="Z133" s="77">
        <v>35920.916666666664</v>
      </c>
      <c r="AA133" s="78">
        <v>35920.958333333336</v>
      </c>
      <c r="AC133" s="12">
        <f t="shared" si="29"/>
        <v>124</v>
      </c>
      <c r="AD133" s="98">
        <v>130</v>
      </c>
    </row>
    <row r="134" spans="3:30">
      <c r="C134" s="76">
        <v>125</v>
      </c>
      <c r="D134" s="77">
        <v>35921</v>
      </c>
      <c r="E134" s="77">
        <v>35921.041666666664</v>
      </c>
      <c r="F134" s="77">
        <v>35921.083333333336</v>
      </c>
      <c r="G134" s="77">
        <v>35921.125</v>
      </c>
      <c r="H134" s="77">
        <v>35921.166666666664</v>
      </c>
      <c r="I134" s="77">
        <v>35921.208333333336</v>
      </c>
      <c r="J134" s="77">
        <v>35921.25</v>
      </c>
      <c r="K134" s="77">
        <v>35921.291666666664</v>
      </c>
      <c r="L134" s="77">
        <v>35921.333333333336</v>
      </c>
      <c r="M134" s="77">
        <v>35921.375</v>
      </c>
      <c r="N134" s="77">
        <v>35921.416666666664</v>
      </c>
      <c r="O134" s="77">
        <v>35921.458333333336</v>
      </c>
      <c r="P134" s="77">
        <v>35921.5</v>
      </c>
      <c r="Q134" s="77">
        <v>35921.541666666664</v>
      </c>
      <c r="R134" s="77">
        <v>35921.583333333336</v>
      </c>
      <c r="S134" s="77">
        <v>35921.625</v>
      </c>
      <c r="T134" s="77">
        <v>35921.666666666664</v>
      </c>
      <c r="U134" s="77">
        <v>35921.708333333336</v>
      </c>
      <c r="V134" s="77">
        <v>35921.75</v>
      </c>
      <c r="W134" s="77">
        <v>35921.791666666664</v>
      </c>
      <c r="X134" s="77">
        <v>35921.833333333336</v>
      </c>
      <c r="Y134" s="77">
        <v>35921.875</v>
      </c>
      <c r="Z134" s="77">
        <v>35921.916666666664</v>
      </c>
      <c r="AA134" s="78">
        <v>35921.958333333336</v>
      </c>
      <c r="AC134" s="12">
        <f t="shared" si="29"/>
        <v>125</v>
      </c>
      <c r="AD134" s="98">
        <v>130</v>
      </c>
    </row>
    <row r="135" spans="3:30">
      <c r="C135" s="76">
        <v>126</v>
      </c>
      <c r="D135" s="77">
        <v>35922</v>
      </c>
      <c r="E135" s="77">
        <v>35922.041666666664</v>
      </c>
      <c r="F135" s="77">
        <v>35922.083333333336</v>
      </c>
      <c r="G135" s="77">
        <v>35922.125</v>
      </c>
      <c r="H135" s="77">
        <v>35922.166666666664</v>
      </c>
      <c r="I135" s="77">
        <v>35922.208333333336</v>
      </c>
      <c r="J135" s="77">
        <v>35922.25</v>
      </c>
      <c r="K135" s="77">
        <v>35922.291666666664</v>
      </c>
      <c r="L135" s="77">
        <v>35922.333333333336</v>
      </c>
      <c r="M135" s="77">
        <v>35922.375</v>
      </c>
      <c r="N135" s="77">
        <v>35922.416666666664</v>
      </c>
      <c r="O135" s="77">
        <v>35922.458333333336</v>
      </c>
      <c r="P135" s="77">
        <v>35922.5</v>
      </c>
      <c r="Q135" s="77">
        <v>35922.541666666664</v>
      </c>
      <c r="R135" s="77">
        <v>35922.583333333336</v>
      </c>
      <c r="S135" s="77">
        <v>35922.625</v>
      </c>
      <c r="T135" s="77">
        <v>35922.666666666664</v>
      </c>
      <c r="U135" s="77">
        <v>35922.708333333336</v>
      </c>
      <c r="V135" s="77">
        <v>35922.75</v>
      </c>
      <c r="W135" s="77">
        <v>35922.791666666664</v>
      </c>
      <c r="X135" s="77">
        <v>35922.833333333336</v>
      </c>
      <c r="Y135" s="77">
        <v>35922.875</v>
      </c>
      <c r="Z135" s="77">
        <v>35922.916666666664</v>
      </c>
      <c r="AA135" s="78">
        <v>35922.958333333336</v>
      </c>
      <c r="AC135" s="12">
        <f t="shared" si="29"/>
        <v>126</v>
      </c>
      <c r="AD135" s="98">
        <v>130</v>
      </c>
    </row>
    <row r="136" spans="3:30">
      <c r="C136" s="76">
        <v>127</v>
      </c>
      <c r="D136" s="77">
        <v>35923</v>
      </c>
      <c r="E136" s="77">
        <v>35923.041666666664</v>
      </c>
      <c r="F136" s="77">
        <v>35923.083333333336</v>
      </c>
      <c r="G136" s="77">
        <v>35923.125</v>
      </c>
      <c r="H136" s="77">
        <v>35923.166666666664</v>
      </c>
      <c r="I136" s="77">
        <v>35923.208333333336</v>
      </c>
      <c r="J136" s="77">
        <v>35923.25</v>
      </c>
      <c r="K136" s="77">
        <v>35923.291666666664</v>
      </c>
      <c r="L136" s="77">
        <v>35923.333333333336</v>
      </c>
      <c r="M136" s="77">
        <v>35923.375</v>
      </c>
      <c r="N136" s="77">
        <v>35923.416666666664</v>
      </c>
      <c r="O136" s="77">
        <v>35923.458333333336</v>
      </c>
      <c r="P136" s="77">
        <v>35923.5</v>
      </c>
      <c r="Q136" s="77">
        <v>35923.541666666664</v>
      </c>
      <c r="R136" s="77">
        <v>35923.583333333336</v>
      </c>
      <c r="S136" s="77">
        <v>35923.625</v>
      </c>
      <c r="T136" s="77">
        <v>35923.666666666664</v>
      </c>
      <c r="U136" s="77">
        <v>35923.708333333336</v>
      </c>
      <c r="V136" s="77">
        <v>35923.75</v>
      </c>
      <c r="W136" s="77">
        <v>35923.791666666664</v>
      </c>
      <c r="X136" s="77">
        <v>35923.833333333336</v>
      </c>
      <c r="Y136" s="77">
        <v>35923.875</v>
      </c>
      <c r="Z136" s="77">
        <v>35923.916666666664</v>
      </c>
      <c r="AA136" s="78">
        <v>35923.958333333336</v>
      </c>
      <c r="AC136" s="12">
        <f t="shared" si="29"/>
        <v>127</v>
      </c>
      <c r="AD136" s="98">
        <v>130</v>
      </c>
    </row>
    <row r="137" spans="3:30">
      <c r="C137" s="76">
        <v>128</v>
      </c>
      <c r="D137" s="77">
        <v>35924</v>
      </c>
      <c r="E137" s="77">
        <v>35924.041666666664</v>
      </c>
      <c r="F137" s="77">
        <v>35924.083333333336</v>
      </c>
      <c r="G137" s="77">
        <v>35924.125</v>
      </c>
      <c r="H137" s="77">
        <v>35924.166666666664</v>
      </c>
      <c r="I137" s="77">
        <v>35924.208333333336</v>
      </c>
      <c r="J137" s="77">
        <v>35924.25</v>
      </c>
      <c r="K137" s="77">
        <v>35924.291666666664</v>
      </c>
      <c r="L137" s="77">
        <v>35924.333333333336</v>
      </c>
      <c r="M137" s="77">
        <v>35924.375</v>
      </c>
      <c r="N137" s="77">
        <v>35924.416666666664</v>
      </c>
      <c r="O137" s="77">
        <v>35924.458333333336</v>
      </c>
      <c r="P137" s="77">
        <v>35924.5</v>
      </c>
      <c r="Q137" s="77">
        <v>35924.541666666664</v>
      </c>
      <c r="R137" s="77">
        <v>35924.583333333336</v>
      </c>
      <c r="S137" s="77">
        <v>35924.625</v>
      </c>
      <c r="T137" s="77">
        <v>35924.666666666664</v>
      </c>
      <c r="U137" s="77">
        <v>35924.708333333336</v>
      </c>
      <c r="V137" s="77">
        <v>35924.75</v>
      </c>
      <c r="W137" s="77">
        <v>35924.791666666664</v>
      </c>
      <c r="X137" s="77">
        <v>35924.833333333336</v>
      </c>
      <c r="Y137" s="77">
        <v>35924.875</v>
      </c>
      <c r="Z137" s="77">
        <v>35924.916666666664</v>
      </c>
      <c r="AA137" s="78">
        <v>35924.958333333336</v>
      </c>
      <c r="AC137" s="12">
        <f t="shared" ref="AC137:AC200" si="30">C137</f>
        <v>128</v>
      </c>
      <c r="AD137" s="98">
        <v>130</v>
      </c>
    </row>
    <row r="138" spans="3:30">
      <c r="C138" s="76">
        <v>129</v>
      </c>
      <c r="D138" s="77">
        <v>35925</v>
      </c>
      <c r="E138" s="77">
        <v>35925.041666666664</v>
      </c>
      <c r="F138" s="77">
        <v>35925.083333333336</v>
      </c>
      <c r="G138" s="77">
        <v>35925.125</v>
      </c>
      <c r="H138" s="77">
        <v>35925.166666666664</v>
      </c>
      <c r="I138" s="77">
        <v>35925.208333333336</v>
      </c>
      <c r="J138" s="77">
        <v>35925.25</v>
      </c>
      <c r="K138" s="77">
        <v>35925.291666666664</v>
      </c>
      <c r="L138" s="77">
        <v>35925.333333333336</v>
      </c>
      <c r="M138" s="77">
        <v>35925.375</v>
      </c>
      <c r="N138" s="77">
        <v>35925.416666666664</v>
      </c>
      <c r="O138" s="77">
        <v>35925.458333333336</v>
      </c>
      <c r="P138" s="77">
        <v>35925.5</v>
      </c>
      <c r="Q138" s="77">
        <v>35925.541666666664</v>
      </c>
      <c r="R138" s="77">
        <v>35925.583333333336</v>
      </c>
      <c r="S138" s="77">
        <v>35925.625</v>
      </c>
      <c r="T138" s="77">
        <v>35925.666666666664</v>
      </c>
      <c r="U138" s="77">
        <v>35925.708333333336</v>
      </c>
      <c r="V138" s="77">
        <v>35925.75</v>
      </c>
      <c r="W138" s="77">
        <v>35925.791666666664</v>
      </c>
      <c r="X138" s="77">
        <v>35925.833333333336</v>
      </c>
      <c r="Y138" s="77">
        <v>35925.875</v>
      </c>
      <c r="Z138" s="77">
        <v>35925.916666666664</v>
      </c>
      <c r="AA138" s="78">
        <v>35925.958333333336</v>
      </c>
      <c r="AC138" s="12">
        <f t="shared" si="30"/>
        <v>129</v>
      </c>
      <c r="AD138" s="98">
        <v>130</v>
      </c>
    </row>
    <row r="139" spans="3:30">
      <c r="C139" s="76">
        <v>130</v>
      </c>
      <c r="D139" s="77">
        <v>35926</v>
      </c>
      <c r="E139" s="77">
        <v>35926.041666666664</v>
      </c>
      <c r="F139" s="77">
        <v>35926.083333333336</v>
      </c>
      <c r="G139" s="77">
        <v>35926.125</v>
      </c>
      <c r="H139" s="77">
        <v>35926.166666666664</v>
      </c>
      <c r="I139" s="77">
        <v>35926.208333333336</v>
      </c>
      <c r="J139" s="77">
        <v>35926.25</v>
      </c>
      <c r="K139" s="77">
        <v>35926.291666666664</v>
      </c>
      <c r="L139" s="77">
        <v>35926.333333333336</v>
      </c>
      <c r="M139" s="77">
        <v>35926.375</v>
      </c>
      <c r="N139" s="77">
        <v>35926.416666666664</v>
      </c>
      <c r="O139" s="77">
        <v>35926.458333333336</v>
      </c>
      <c r="P139" s="77">
        <v>35926.5</v>
      </c>
      <c r="Q139" s="77">
        <v>35926.541666666664</v>
      </c>
      <c r="R139" s="77">
        <v>35926.583333333336</v>
      </c>
      <c r="S139" s="77">
        <v>35926.625</v>
      </c>
      <c r="T139" s="77">
        <v>35926.666666666664</v>
      </c>
      <c r="U139" s="77">
        <v>35926.708333333336</v>
      </c>
      <c r="V139" s="77">
        <v>35926.75</v>
      </c>
      <c r="W139" s="77">
        <v>35926.791666666664</v>
      </c>
      <c r="X139" s="77">
        <v>35926.833333333336</v>
      </c>
      <c r="Y139" s="77">
        <v>35926.875</v>
      </c>
      <c r="Z139" s="77">
        <v>35926.916666666664</v>
      </c>
      <c r="AA139" s="78">
        <v>35926.958333333336</v>
      </c>
      <c r="AC139" s="12">
        <f t="shared" si="30"/>
        <v>130</v>
      </c>
      <c r="AD139" s="98">
        <v>130</v>
      </c>
    </row>
    <row r="140" spans="3:30">
      <c r="C140" s="76">
        <v>131</v>
      </c>
      <c r="D140" s="77">
        <v>35927</v>
      </c>
      <c r="E140" s="77">
        <v>35927.041666666664</v>
      </c>
      <c r="F140" s="77">
        <v>35927.083333333336</v>
      </c>
      <c r="G140" s="77">
        <v>35927.125</v>
      </c>
      <c r="H140" s="77">
        <v>35927.166666666664</v>
      </c>
      <c r="I140" s="77">
        <v>35927.208333333336</v>
      </c>
      <c r="J140" s="77">
        <v>35927.25</v>
      </c>
      <c r="K140" s="77">
        <v>35927.291666666664</v>
      </c>
      <c r="L140" s="77">
        <v>35927.333333333336</v>
      </c>
      <c r="M140" s="77">
        <v>35927.375</v>
      </c>
      <c r="N140" s="77">
        <v>35927.416666666664</v>
      </c>
      <c r="O140" s="77">
        <v>35927.458333333336</v>
      </c>
      <c r="P140" s="77">
        <v>35927.5</v>
      </c>
      <c r="Q140" s="77">
        <v>35927.541666666664</v>
      </c>
      <c r="R140" s="77">
        <v>35927.583333333336</v>
      </c>
      <c r="S140" s="77">
        <v>35927.625</v>
      </c>
      <c r="T140" s="77">
        <v>35927.666666666664</v>
      </c>
      <c r="U140" s="77">
        <v>35927.708333333336</v>
      </c>
      <c r="V140" s="77">
        <v>35927.75</v>
      </c>
      <c r="W140" s="77">
        <v>35927.791666666664</v>
      </c>
      <c r="X140" s="77">
        <v>35927.833333333336</v>
      </c>
      <c r="Y140" s="77">
        <v>35927.875</v>
      </c>
      <c r="Z140" s="77">
        <v>35927.916666666664</v>
      </c>
      <c r="AA140" s="78">
        <v>35927.958333333336</v>
      </c>
      <c r="AC140" s="12">
        <f t="shared" si="30"/>
        <v>131</v>
      </c>
      <c r="AD140" s="98">
        <v>130</v>
      </c>
    </row>
    <row r="141" spans="3:30">
      <c r="C141" s="76">
        <v>132</v>
      </c>
      <c r="D141" s="77">
        <v>35928</v>
      </c>
      <c r="E141" s="77">
        <v>35928.041666666664</v>
      </c>
      <c r="F141" s="77">
        <v>35928.083333333336</v>
      </c>
      <c r="G141" s="77">
        <v>35928.125</v>
      </c>
      <c r="H141" s="77">
        <v>35928.166666666664</v>
      </c>
      <c r="I141" s="77">
        <v>35928.208333333336</v>
      </c>
      <c r="J141" s="77">
        <v>35928.25</v>
      </c>
      <c r="K141" s="77">
        <v>35928.291666666664</v>
      </c>
      <c r="L141" s="77">
        <v>35928.333333333336</v>
      </c>
      <c r="M141" s="77">
        <v>35928.375</v>
      </c>
      <c r="N141" s="77">
        <v>35928.416666666664</v>
      </c>
      <c r="O141" s="77">
        <v>35928.458333333336</v>
      </c>
      <c r="P141" s="77">
        <v>35928.5</v>
      </c>
      <c r="Q141" s="77">
        <v>35928.541666666664</v>
      </c>
      <c r="R141" s="77">
        <v>35928.583333333336</v>
      </c>
      <c r="S141" s="77">
        <v>35928.625</v>
      </c>
      <c r="T141" s="77">
        <v>35928.666666666664</v>
      </c>
      <c r="U141" s="77">
        <v>35928.708333333336</v>
      </c>
      <c r="V141" s="77">
        <v>35928.75</v>
      </c>
      <c r="W141" s="77">
        <v>35928.791666666664</v>
      </c>
      <c r="X141" s="77">
        <v>35928.833333333336</v>
      </c>
      <c r="Y141" s="77">
        <v>35928.875</v>
      </c>
      <c r="Z141" s="77">
        <v>35928.916666666664</v>
      </c>
      <c r="AA141" s="78">
        <v>35928.958333333336</v>
      </c>
      <c r="AC141" s="12">
        <f t="shared" si="30"/>
        <v>132</v>
      </c>
      <c r="AD141" s="98">
        <v>130</v>
      </c>
    </row>
    <row r="142" spans="3:30">
      <c r="C142" s="76">
        <v>133</v>
      </c>
      <c r="D142" s="77">
        <v>35929</v>
      </c>
      <c r="E142" s="77">
        <v>35929.041666666664</v>
      </c>
      <c r="F142" s="77">
        <v>35929.083333333336</v>
      </c>
      <c r="G142" s="77">
        <v>35929.125</v>
      </c>
      <c r="H142" s="77">
        <v>35929.166666666664</v>
      </c>
      <c r="I142" s="77">
        <v>35929.208333333336</v>
      </c>
      <c r="J142" s="77">
        <v>35929.25</v>
      </c>
      <c r="K142" s="77">
        <v>35929.291666666664</v>
      </c>
      <c r="L142" s="77">
        <v>35929.333333333336</v>
      </c>
      <c r="M142" s="77">
        <v>35929.375</v>
      </c>
      <c r="N142" s="77">
        <v>35929.416666666664</v>
      </c>
      <c r="O142" s="77">
        <v>35929.458333333336</v>
      </c>
      <c r="P142" s="77">
        <v>35929.5</v>
      </c>
      <c r="Q142" s="77">
        <v>35929.541666666664</v>
      </c>
      <c r="R142" s="77">
        <v>35929.583333333336</v>
      </c>
      <c r="S142" s="77">
        <v>35929.625</v>
      </c>
      <c r="T142" s="77">
        <v>35929.666666666664</v>
      </c>
      <c r="U142" s="77">
        <v>35929.708333333336</v>
      </c>
      <c r="V142" s="77">
        <v>35929.75</v>
      </c>
      <c r="W142" s="77">
        <v>35929.791666666664</v>
      </c>
      <c r="X142" s="77">
        <v>35929.833333333336</v>
      </c>
      <c r="Y142" s="77">
        <v>35929.875</v>
      </c>
      <c r="Z142" s="77">
        <v>35929.916666666664</v>
      </c>
      <c r="AA142" s="78">
        <v>35929.958333333336</v>
      </c>
      <c r="AC142" s="12">
        <f t="shared" si="30"/>
        <v>133</v>
      </c>
      <c r="AD142" s="98">
        <v>130</v>
      </c>
    </row>
    <row r="143" spans="3:30">
      <c r="C143" s="76">
        <v>134</v>
      </c>
      <c r="D143" s="77">
        <v>35930</v>
      </c>
      <c r="E143" s="77">
        <v>35930.041666666664</v>
      </c>
      <c r="F143" s="77">
        <v>35930.083333333336</v>
      </c>
      <c r="G143" s="77">
        <v>35930.125</v>
      </c>
      <c r="H143" s="77">
        <v>35930.166666666664</v>
      </c>
      <c r="I143" s="77">
        <v>35930.208333333336</v>
      </c>
      <c r="J143" s="77">
        <v>35930.25</v>
      </c>
      <c r="K143" s="77">
        <v>35930.291666666664</v>
      </c>
      <c r="L143" s="77">
        <v>35930.333333333336</v>
      </c>
      <c r="M143" s="77">
        <v>35930.375</v>
      </c>
      <c r="N143" s="77">
        <v>35930.416666666664</v>
      </c>
      <c r="O143" s="77">
        <v>35930.458333333336</v>
      </c>
      <c r="P143" s="77">
        <v>35930.5</v>
      </c>
      <c r="Q143" s="77">
        <v>35930.541666666664</v>
      </c>
      <c r="R143" s="77">
        <v>35930.583333333336</v>
      </c>
      <c r="S143" s="77">
        <v>35930.625</v>
      </c>
      <c r="T143" s="77">
        <v>35930.666666666664</v>
      </c>
      <c r="U143" s="77">
        <v>35930.708333333336</v>
      </c>
      <c r="V143" s="77">
        <v>35930.75</v>
      </c>
      <c r="W143" s="77">
        <v>35930.791666666664</v>
      </c>
      <c r="X143" s="77">
        <v>35930.833333333336</v>
      </c>
      <c r="Y143" s="77">
        <v>35930.875</v>
      </c>
      <c r="Z143" s="77">
        <v>35930.916666666664</v>
      </c>
      <c r="AA143" s="78">
        <v>35930.958333333336</v>
      </c>
      <c r="AC143" s="12">
        <f t="shared" si="30"/>
        <v>134</v>
      </c>
      <c r="AD143" s="98">
        <v>130</v>
      </c>
    </row>
    <row r="144" spans="3:30">
      <c r="C144" s="76">
        <v>135</v>
      </c>
      <c r="D144" s="77">
        <v>35931</v>
      </c>
      <c r="E144" s="77">
        <v>35931.041666666664</v>
      </c>
      <c r="F144" s="77">
        <v>35931.083333333336</v>
      </c>
      <c r="G144" s="77">
        <v>35931.125</v>
      </c>
      <c r="H144" s="77">
        <v>35931.166666666664</v>
      </c>
      <c r="I144" s="77">
        <v>35931.208333333336</v>
      </c>
      <c r="J144" s="77">
        <v>35931.25</v>
      </c>
      <c r="K144" s="77">
        <v>35931.291666666664</v>
      </c>
      <c r="L144" s="77">
        <v>35931.333333333336</v>
      </c>
      <c r="M144" s="77">
        <v>35931.375</v>
      </c>
      <c r="N144" s="77">
        <v>35931.416666666664</v>
      </c>
      <c r="O144" s="77">
        <v>35931.458333333336</v>
      </c>
      <c r="P144" s="77">
        <v>35931.5</v>
      </c>
      <c r="Q144" s="77">
        <v>35931.541666666664</v>
      </c>
      <c r="R144" s="77">
        <v>35931.583333333336</v>
      </c>
      <c r="S144" s="77">
        <v>35931.625</v>
      </c>
      <c r="T144" s="77">
        <v>35931.666666666664</v>
      </c>
      <c r="U144" s="77">
        <v>35931.708333333336</v>
      </c>
      <c r="V144" s="77">
        <v>35931.75</v>
      </c>
      <c r="W144" s="77">
        <v>35931.791666666664</v>
      </c>
      <c r="X144" s="77">
        <v>35931.833333333336</v>
      </c>
      <c r="Y144" s="77">
        <v>35931.875</v>
      </c>
      <c r="Z144" s="77">
        <v>35931.916666666664</v>
      </c>
      <c r="AA144" s="78">
        <v>35931.958333333336</v>
      </c>
      <c r="AC144" s="12">
        <f t="shared" si="30"/>
        <v>135</v>
      </c>
      <c r="AD144" s="98">
        <v>130</v>
      </c>
    </row>
    <row r="145" spans="3:30">
      <c r="C145" s="76">
        <v>136</v>
      </c>
      <c r="D145" s="77">
        <v>35932</v>
      </c>
      <c r="E145" s="77">
        <v>35932.041666666664</v>
      </c>
      <c r="F145" s="77">
        <v>35932.083333333336</v>
      </c>
      <c r="G145" s="77">
        <v>35932.125</v>
      </c>
      <c r="H145" s="77">
        <v>35932.166666666664</v>
      </c>
      <c r="I145" s="77">
        <v>35932.208333333336</v>
      </c>
      <c r="J145" s="77">
        <v>35932.25</v>
      </c>
      <c r="K145" s="77">
        <v>35932.291666666664</v>
      </c>
      <c r="L145" s="77">
        <v>35932.333333333336</v>
      </c>
      <c r="M145" s="77">
        <v>35932.375</v>
      </c>
      <c r="N145" s="77">
        <v>35932.416666666664</v>
      </c>
      <c r="O145" s="77">
        <v>35932.458333333336</v>
      </c>
      <c r="P145" s="77">
        <v>35932.5</v>
      </c>
      <c r="Q145" s="77">
        <v>35932.541666666664</v>
      </c>
      <c r="R145" s="77">
        <v>35932.583333333336</v>
      </c>
      <c r="S145" s="77">
        <v>35932.625</v>
      </c>
      <c r="T145" s="77">
        <v>35932.666666666664</v>
      </c>
      <c r="U145" s="77">
        <v>35932.708333333336</v>
      </c>
      <c r="V145" s="77">
        <v>35932.75</v>
      </c>
      <c r="W145" s="77">
        <v>35932.791666666664</v>
      </c>
      <c r="X145" s="77">
        <v>35932.833333333336</v>
      </c>
      <c r="Y145" s="77">
        <v>35932.875</v>
      </c>
      <c r="Z145" s="77">
        <v>35932.916666666664</v>
      </c>
      <c r="AA145" s="78">
        <v>35932.958333333336</v>
      </c>
      <c r="AC145" s="12">
        <f t="shared" si="30"/>
        <v>136</v>
      </c>
      <c r="AD145" s="98">
        <v>130</v>
      </c>
    </row>
    <row r="146" spans="3:30">
      <c r="C146" s="76">
        <v>137</v>
      </c>
      <c r="D146" s="77">
        <v>35933</v>
      </c>
      <c r="E146" s="77">
        <v>35933.041666666664</v>
      </c>
      <c r="F146" s="77">
        <v>35933.083333333336</v>
      </c>
      <c r="G146" s="77">
        <v>35933.125</v>
      </c>
      <c r="H146" s="77">
        <v>35933.166666666664</v>
      </c>
      <c r="I146" s="77">
        <v>35933.208333333336</v>
      </c>
      <c r="J146" s="77">
        <v>35933.25</v>
      </c>
      <c r="K146" s="77">
        <v>35933.291666666664</v>
      </c>
      <c r="L146" s="77">
        <v>35933.333333333336</v>
      </c>
      <c r="M146" s="77">
        <v>35933.375</v>
      </c>
      <c r="N146" s="77">
        <v>35933.416666666664</v>
      </c>
      <c r="O146" s="77">
        <v>35933.458333333336</v>
      </c>
      <c r="P146" s="77">
        <v>35933.5</v>
      </c>
      <c r="Q146" s="77">
        <v>35933.541666666664</v>
      </c>
      <c r="R146" s="77">
        <v>35933.583333333336</v>
      </c>
      <c r="S146" s="77">
        <v>35933.625</v>
      </c>
      <c r="T146" s="77">
        <v>35933.666666666664</v>
      </c>
      <c r="U146" s="77">
        <v>35933.708333333336</v>
      </c>
      <c r="V146" s="77">
        <v>35933.75</v>
      </c>
      <c r="W146" s="77">
        <v>35933.791666666664</v>
      </c>
      <c r="X146" s="77">
        <v>35933.833333333336</v>
      </c>
      <c r="Y146" s="77">
        <v>35933.875</v>
      </c>
      <c r="Z146" s="77">
        <v>35933.916666666664</v>
      </c>
      <c r="AA146" s="78">
        <v>35933.958333333336</v>
      </c>
      <c r="AC146" s="12">
        <f t="shared" si="30"/>
        <v>137</v>
      </c>
      <c r="AD146" s="98">
        <v>130</v>
      </c>
    </row>
    <row r="147" spans="3:30">
      <c r="C147" s="76">
        <v>138</v>
      </c>
      <c r="D147" s="77">
        <v>35934</v>
      </c>
      <c r="E147" s="77">
        <v>35934.041666666664</v>
      </c>
      <c r="F147" s="77">
        <v>35934.083333333336</v>
      </c>
      <c r="G147" s="77">
        <v>35934.125</v>
      </c>
      <c r="H147" s="77">
        <v>35934.166666666664</v>
      </c>
      <c r="I147" s="77">
        <v>35934.208333333336</v>
      </c>
      <c r="J147" s="77">
        <v>35934.25</v>
      </c>
      <c r="K147" s="77">
        <v>35934.291666666664</v>
      </c>
      <c r="L147" s="77">
        <v>35934.333333333336</v>
      </c>
      <c r="M147" s="77">
        <v>35934.375</v>
      </c>
      <c r="N147" s="77">
        <v>35934.416666666664</v>
      </c>
      <c r="O147" s="77">
        <v>35934.458333333336</v>
      </c>
      <c r="P147" s="77">
        <v>35934.5</v>
      </c>
      <c r="Q147" s="77">
        <v>35934.541666666664</v>
      </c>
      <c r="R147" s="77">
        <v>35934.583333333336</v>
      </c>
      <c r="S147" s="77">
        <v>35934.625</v>
      </c>
      <c r="T147" s="77">
        <v>35934.666666666664</v>
      </c>
      <c r="U147" s="77">
        <v>35934.708333333336</v>
      </c>
      <c r="V147" s="77">
        <v>35934.75</v>
      </c>
      <c r="W147" s="77">
        <v>35934.791666666664</v>
      </c>
      <c r="X147" s="77">
        <v>35934.833333333336</v>
      </c>
      <c r="Y147" s="77">
        <v>35934.875</v>
      </c>
      <c r="Z147" s="77">
        <v>35934.916666666664</v>
      </c>
      <c r="AA147" s="78">
        <v>35934.958333333336</v>
      </c>
      <c r="AC147" s="12">
        <f t="shared" si="30"/>
        <v>138</v>
      </c>
      <c r="AD147" s="98">
        <v>130</v>
      </c>
    </row>
    <row r="148" spans="3:30">
      <c r="C148" s="76">
        <v>139</v>
      </c>
      <c r="D148" s="77">
        <v>35935</v>
      </c>
      <c r="E148" s="77">
        <v>35935.041666666664</v>
      </c>
      <c r="F148" s="77">
        <v>35935.083333333336</v>
      </c>
      <c r="G148" s="77">
        <v>35935.125</v>
      </c>
      <c r="H148" s="77">
        <v>35935.166666666664</v>
      </c>
      <c r="I148" s="77">
        <v>35935.208333333336</v>
      </c>
      <c r="J148" s="77">
        <v>35935.25</v>
      </c>
      <c r="K148" s="77">
        <v>35935.291666666664</v>
      </c>
      <c r="L148" s="77">
        <v>35935.333333333336</v>
      </c>
      <c r="M148" s="77">
        <v>35935.375</v>
      </c>
      <c r="N148" s="77">
        <v>35935.416666666664</v>
      </c>
      <c r="O148" s="77">
        <v>35935.458333333336</v>
      </c>
      <c r="P148" s="77">
        <v>35935.5</v>
      </c>
      <c r="Q148" s="77">
        <v>35935.541666666664</v>
      </c>
      <c r="R148" s="77">
        <v>35935.583333333336</v>
      </c>
      <c r="S148" s="77">
        <v>35935.625</v>
      </c>
      <c r="T148" s="77">
        <v>35935.666666666664</v>
      </c>
      <c r="U148" s="77">
        <v>35935.708333333336</v>
      </c>
      <c r="V148" s="77">
        <v>35935.75</v>
      </c>
      <c r="W148" s="77">
        <v>35935.791666666664</v>
      </c>
      <c r="X148" s="77">
        <v>35935.833333333336</v>
      </c>
      <c r="Y148" s="77">
        <v>35935.875</v>
      </c>
      <c r="Z148" s="77">
        <v>35935.916666666664</v>
      </c>
      <c r="AA148" s="78">
        <v>35935.958333333336</v>
      </c>
      <c r="AC148" s="12">
        <f t="shared" si="30"/>
        <v>139</v>
      </c>
      <c r="AD148" s="98">
        <v>130</v>
      </c>
    </row>
    <row r="149" spans="3:30">
      <c r="C149" s="76">
        <v>140</v>
      </c>
      <c r="D149" s="77">
        <v>35936</v>
      </c>
      <c r="E149" s="77">
        <v>35936.041666666664</v>
      </c>
      <c r="F149" s="77">
        <v>35936.083333333336</v>
      </c>
      <c r="G149" s="77">
        <v>35936.125</v>
      </c>
      <c r="H149" s="77">
        <v>35936.166666666664</v>
      </c>
      <c r="I149" s="77">
        <v>35936.208333333336</v>
      </c>
      <c r="J149" s="77">
        <v>35936.25</v>
      </c>
      <c r="K149" s="77">
        <v>35936.291666666664</v>
      </c>
      <c r="L149" s="77">
        <v>35936.333333333336</v>
      </c>
      <c r="M149" s="77">
        <v>35936.375</v>
      </c>
      <c r="N149" s="77">
        <v>35936.416666666664</v>
      </c>
      <c r="O149" s="77">
        <v>35936.458333333336</v>
      </c>
      <c r="P149" s="77">
        <v>35936.5</v>
      </c>
      <c r="Q149" s="77">
        <v>35936.541666666664</v>
      </c>
      <c r="R149" s="77">
        <v>35936.583333333336</v>
      </c>
      <c r="S149" s="77">
        <v>35936.625</v>
      </c>
      <c r="T149" s="77">
        <v>35936.666666666664</v>
      </c>
      <c r="U149" s="77">
        <v>35936.708333333336</v>
      </c>
      <c r="V149" s="77">
        <v>35936.75</v>
      </c>
      <c r="W149" s="77">
        <v>35936.791666666664</v>
      </c>
      <c r="X149" s="77">
        <v>35936.833333333336</v>
      </c>
      <c r="Y149" s="77">
        <v>35936.875</v>
      </c>
      <c r="Z149" s="77">
        <v>35936.916666666664</v>
      </c>
      <c r="AA149" s="78">
        <v>35936.958333333336</v>
      </c>
      <c r="AC149" s="12">
        <f t="shared" si="30"/>
        <v>140</v>
      </c>
      <c r="AD149" s="98">
        <v>130</v>
      </c>
    </row>
    <row r="150" spans="3:30">
      <c r="C150" s="76">
        <v>141</v>
      </c>
      <c r="D150" s="77">
        <v>35937</v>
      </c>
      <c r="E150" s="77">
        <v>35937.041666666664</v>
      </c>
      <c r="F150" s="77">
        <v>35937.083333333336</v>
      </c>
      <c r="G150" s="77">
        <v>35937.125</v>
      </c>
      <c r="H150" s="77">
        <v>35937.166666666664</v>
      </c>
      <c r="I150" s="77">
        <v>35937.208333333336</v>
      </c>
      <c r="J150" s="77">
        <v>35937.25</v>
      </c>
      <c r="K150" s="77">
        <v>35937.291666666664</v>
      </c>
      <c r="L150" s="77">
        <v>35937.333333333336</v>
      </c>
      <c r="M150" s="77">
        <v>35937.375</v>
      </c>
      <c r="N150" s="77">
        <v>35937.416666666664</v>
      </c>
      <c r="O150" s="77">
        <v>35937.458333333336</v>
      </c>
      <c r="P150" s="77">
        <v>35937.5</v>
      </c>
      <c r="Q150" s="77">
        <v>35937.541666666664</v>
      </c>
      <c r="R150" s="77">
        <v>35937.583333333336</v>
      </c>
      <c r="S150" s="77">
        <v>35937.625</v>
      </c>
      <c r="T150" s="77">
        <v>35937.666666666664</v>
      </c>
      <c r="U150" s="77">
        <v>35937.708333333336</v>
      </c>
      <c r="V150" s="77">
        <v>35937.75</v>
      </c>
      <c r="W150" s="77">
        <v>35937.791666666664</v>
      </c>
      <c r="X150" s="77">
        <v>35937.833333333336</v>
      </c>
      <c r="Y150" s="77">
        <v>35937.875</v>
      </c>
      <c r="Z150" s="77">
        <v>35937.916666666664</v>
      </c>
      <c r="AA150" s="78">
        <v>35937.958333333336</v>
      </c>
      <c r="AC150" s="12">
        <f t="shared" si="30"/>
        <v>141</v>
      </c>
      <c r="AD150" s="98">
        <v>130</v>
      </c>
    </row>
    <row r="151" spans="3:30">
      <c r="C151" s="76">
        <v>142</v>
      </c>
      <c r="D151" s="77">
        <v>35938</v>
      </c>
      <c r="E151" s="77">
        <v>35938.041666666664</v>
      </c>
      <c r="F151" s="77">
        <v>35938.083333333336</v>
      </c>
      <c r="G151" s="77">
        <v>35938.125</v>
      </c>
      <c r="H151" s="77">
        <v>35938.166666666664</v>
      </c>
      <c r="I151" s="77">
        <v>35938.208333333336</v>
      </c>
      <c r="J151" s="77">
        <v>35938.25</v>
      </c>
      <c r="K151" s="77">
        <v>35938.291666666664</v>
      </c>
      <c r="L151" s="77">
        <v>35938.333333333336</v>
      </c>
      <c r="M151" s="77">
        <v>35938.375</v>
      </c>
      <c r="N151" s="77">
        <v>35938.416666666664</v>
      </c>
      <c r="O151" s="77">
        <v>35938.458333333336</v>
      </c>
      <c r="P151" s="77">
        <v>35938.5</v>
      </c>
      <c r="Q151" s="77">
        <v>35938.541666666664</v>
      </c>
      <c r="R151" s="77">
        <v>35938.583333333336</v>
      </c>
      <c r="S151" s="77">
        <v>35938.625</v>
      </c>
      <c r="T151" s="77">
        <v>35938.666666666664</v>
      </c>
      <c r="U151" s="77">
        <v>35938.708333333336</v>
      </c>
      <c r="V151" s="77">
        <v>35938.75</v>
      </c>
      <c r="W151" s="77">
        <v>35938.791666666664</v>
      </c>
      <c r="X151" s="77">
        <v>35938.833333333336</v>
      </c>
      <c r="Y151" s="77">
        <v>35938.875</v>
      </c>
      <c r="Z151" s="77">
        <v>35938.916666666664</v>
      </c>
      <c r="AA151" s="78">
        <v>35938.958333333336</v>
      </c>
      <c r="AC151" s="12">
        <f t="shared" si="30"/>
        <v>142</v>
      </c>
      <c r="AD151" s="98">
        <v>130</v>
      </c>
    </row>
    <row r="152" spans="3:30">
      <c r="C152" s="76">
        <v>143</v>
      </c>
      <c r="D152" s="77">
        <v>35939</v>
      </c>
      <c r="E152" s="77">
        <v>35939.041666666664</v>
      </c>
      <c r="F152" s="77">
        <v>35939.083333333336</v>
      </c>
      <c r="G152" s="77">
        <v>35939.125</v>
      </c>
      <c r="H152" s="77">
        <v>35939.166666666664</v>
      </c>
      <c r="I152" s="77">
        <v>35939.208333333336</v>
      </c>
      <c r="J152" s="77">
        <v>35939.25</v>
      </c>
      <c r="K152" s="77">
        <v>35939.291666666664</v>
      </c>
      <c r="L152" s="77">
        <v>35939.333333333336</v>
      </c>
      <c r="M152" s="77">
        <v>35939.375</v>
      </c>
      <c r="N152" s="77">
        <v>35939.416666666664</v>
      </c>
      <c r="O152" s="77">
        <v>35939.458333333336</v>
      </c>
      <c r="P152" s="77">
        <v>35939.5</v>
      </c>
      <c r="Q152" s="77">
        <v>35939.541666666664</v>
      </c>
      <c r="R152" s="77">
        <v>35939.583333333336</v>
      </c>
      <c r="S152" s="77">
        <v>35939.625</v>
      </c>
      <c r="T152" s="77">
        <v>35939.666666666664</v>
      </c>
      <c r="U152" s="77">
        <v>35939.708333333336</v>
      </c>
      <c r="V152" s="77">
        <v>35939.75</v>
      </c>
      <c r="W152" s="77">
        <v>35939.791666666664</v>
      </c>
      <c r="X152" s="77">
        <v>35939.833333333336</v>
      </c>
      <c r="Y152" s="77">
        <v>35939.875</v>
      </c>
      <c r="Z152" s="77">
        <v>35939.916666666664</v>
      </c>
      <c r="AA152" s="78">
        <v>35939.958333333336</v>
      </c>
      <c r="AC152" s="12">
        <f t="shared" si="30"/>
        <v>143</v>
      </c>
      <c r="AD152" s="98">
        <v>130</v>
      </c>
    </row>
    <row r="153" spans="3:30">
      <c r="C153" s="76">
        <v>144</v>
      </c>
      <c r="D153" s="77">
        <v>35940</v>
      </c>
      <c r="E153" s="77">
        <v>35940.041666666664</v>
      </c>
      <c r="F153" s="77">
        <v>35940.083333333336</v>
      </c>
      <c r="G153" s="77">
        <v>35940.125</v>
      </c>
      <c r="H153" s="77">
        <v>35940.166666666664</v>
      </c>
      <c r="I153" s="77">
        <v>35940.208333333336</v>
      </c>
      <c r="J153" s="77">
        <v>35940.25</v>
      </c>
      <c r="K153" s="77">
        <v>35940.291666666664</v>
      </c>
      <c r="L153" s="77">
        <v>35940.333333333336</v>
      </c>
      <c r="M153" s="77">
        <v>35940.375</v>
      </c>
      <c r="N153" s="77">
        <v>35940.416666666664</v>
      </c>
      <c r="O153" s="77">
        <v>35940.458333333336</v>
      </c>
      <c r="P153" s="77">
        <v>35940.5</v>
      </c>
      <c r="Q153" s="77">
        <v>35940.541666666664</v>
      </c>
      <c r="R153" s="77">
        <v>35940.583333333336</v>
      </c>
      <c r="S153" s="77">
        <v>35940.625</v>
      </c>
      <c r="T153" s="77">
        <v>35940.666666666664</v>
      </c>
      <c r="U153" s="77">
        <v>35940.708333333336</v>
      </c>
      <c r="V153" s="77">
        <v>35940.75</v>
      </c>
      <c r="W153" s="77">
        <v>35940.791666666664</v>
      </c>
      <c r="X153" s="77">
        <v>35940.833333333336</v>
      </c>
      <c r="Y153" s="77">
        <v>35940.875</v>
      </c>
      <c r="Z153" s="77">
        <v>35940.916666666664</v>
      </c>
      <c r="AA153" s="78">
        <v>35940.958333333336</v>
      </c>
      <c r="AC153" s="12">
        <f t="shared" si="30"/>
        <v>144</v>
      </c>
      <c r="AD153" s="98">
        <v>130</v>
      </c>
    </row>
    <row r="154" spans="3:30">
      <c r="C154" s="76">
        <v>145</v>
      </c>
      <c r="D154" s="77">
        <v>35941</v>
      </c>
      <c r="E154" s="77">
        <v>35941.041666666664</v>
      </c>
      <c r="F154" s="77">
        <v>35941.083333333336</v>
      </c>
      <c r="G154" s="77">
        <v>35941.125</v>
      </c>
      <c r="H154" s="77">
        <v>35941.166666666664</v>
      </c>
      <c r="I154" s="77">
        <v>35941.208333333336</v>
      </c>
      <c r="J154" s="77">
        <v>35941.25</v>
      </c>
      <c r="K154" s="77">
        <v>35941.291666666664</v>
      </c>
      <c r="L154" s="77">
        <v>35941.333333333336</v>
      </c>
      <c r="M154" s="77">
        <v>35941.375</v>
      </c>
      <c r="N154" s="77">
        <v>35941.416666666664</v>
      </c>
      <c r="O154" s="77">
        <v>35941.458333333336</v>
      </c>
      <c r="P154" s="77">
        <v>35941.5</v>
      </c>
      <c r="Q154" s="77">
        <v>35941.541666666664</v>
      </c>
      <c r="R154" s="77">
        <v>35941.583333333336</v>
      </c>
      <c r="S154" s="77">
        <v>35941.625</v>
      </c>
      <c r="T154" s="77">
        <v>35941.666666666664</v>
      </c>
      <c r="U154" s="77">
        <v>35941.708333333336</v>
      </c>
      <c r="V154" s="77">
        <v>35941.75</v>
      </c>
      <c r="W154" s="77">
        <v>35941.791666666664</v>
      </c>
      <c r="X154" s="77">
        <v>35941.833333333336</v>
      </c>
      <c r="Y154" s="77">
        <v>35941.875</v>
      </c>
      <c r="Z154" s="77">
        <v>35941.916666666664</v>
      </c>
      <c r="AA154" s="78">
        <v>35941.958333333336</v>
      </c>
      <c r="AC154" s="12">
        <f t="shared" si="30"/>
        <v>145</v>
      </c>
      <c r="AD154" s="98">
        <v>130</v>
      </c>
    </row>
    <row r="155" spans="3:30">
      <c r="C155" s="76">
        <v>146</v>
      </c>
      <c r="D155" s="77">
        <v>35942</v>
      </c>
      <c r="E155" s="77">
        <v>35942.041666666664</v>
      </c>
      <c r="F155" s="77">
        <v>35942.083333333336</v>
      </c>
      <c r="G155" s="77">
        <v>35942.125</v>
      </c>
      <c r="H155" s="77">
        <v>35942.166666666664</v>
      </c>
      <c r="I155" s="77">
        <v>35942.208333333336</v>
      </c>
      <c r="J155" s="77">
        <v>35942.25</v>
      </c>
      <c r="K155" s="77">
        <v>35942.291666666664</v>
      </c>
      <c r="L155" s="77">
        <v>35942.333333333336</v>
      </c>
      <c r="M155" s="77">
        <v>35942.375</v>
      </c>
      <c r="N155" s="77">
        <v>35942.416666666664</v>
      </c>
      <c r="O155" s="77">
        <v>35942.458333333336</v>
      </c>
      <c r="P155" s="77">
        <v>35942.5</v>
      </c>
      <c r="Q155" s="77">
        <v>35942.541666666664</v>
      </c>
      <c r="R155" s="77">
        <v>35942.583333333336</v>
      </c>
      <c r="S155" s="77">
        <v>35942.625</v>
      </c>
      <c r="T155" s="77">
        <v>35942.666666666664</v>
      </c>
      <c r="U155" s="77">
        <v>35942.708333333336</v>
      </c>
      <c r="V155" s="77">
        <v>35942.75</v>
      </c>
      <c r="W155" s="77">
        <v>35942.791666666664</v>
      </c>
      <c r="X155" s="77">
        <v>35942.833333333336</v>
      </c>
      <c r="Y155" s="77">
        <v>35942.875</v>
      </c>
      <c r="Z155" s="77">
        <v>35942.916666666664</v>
      </c>
      <c r="AA155" s="78">
        <v>35942.958333333336</v>
      </c>
      <c r="AC155" s="12">
        <f t="shared" si="30"/>
        <v>146</v>
      </c>
      <c r="AD155" s="98">
        <v>130</v>
      </c>
    </row>
    <row r="156" spans="3:30">
      <c r="C156" s="76">
        <v>147</v>
      </c>
      <c r="D156" s="77">
        <v>35943</v>
      </c>
      <c r="E156" s="77">
        <v>35943.041666666664</v>
      </c>
      <c r="F156" s="77">
        <v>35943.083333333336</v>
      </c>
      <c r="G156" s="77">
        <v>35943.125</v>
      </c>
      <c r="H156" s="77">
        <v>35943.166666666664</v>
      </c>
      <c r="I156" s="77">
        <v>35943.208333333336</v>
      </c>
      <c r="J156" s="77">
        <v>35943.25</v>
      </c>
      <c r="K156" s="77">
        <v>35943.291666666664</v>
      </c>
      <c r="L156" s="77">
        <v>35943.333333333336</v>
      </c>
      <c r="M156" s="77">
        <v>35943.375</v>
      </c>
      <c r="N156" s="77">
        <v>35943.416666666664</v>
      </c>
      <c r="O156" s="77">
        <v>35943.458333333336</v>
      </c>
      <c r="P156" s="77">
        <v>35943.5</v>
      </c>
      <c r="Q156" s="77">
        <v>35943.541666666664</v>
      </c>
      <c r="R156" s="77">
        <v>35943.583333333336</v>
      </c>
      <c r="S156" s="77">
        <v>35943.625</v>
      </c>
      <c r="T156" s="77">
        <v>35943.666666666664</v>
      </c>
      <c r="U156" s="77">
        <v>35943.708333333336</v>
      </c>
      <c r="V156" s="77">
        <v>35943.75</v>
      </c>
      <c r="W156" s="77">
        <v>35943.791666666664</v>
      </c>
      <c r="X156" s="77">
        <v>35943.833333333336</v>
      </c>
      <c r="Y156" s="77">
        <v>35943.875</v>
      </c>
      <c r="Z156" s="77">
        <v>35943.916666666664</v>
      </c>
      <c r="AA156" s="78">
        <v>35943.958333333336</v>
      </c>
      <c r="AC156" s="12">
        <f t="shared" si="30"/>
        <v>147</v>
      </c>
      <c r="AD156" s="98">
        <v>130</v>
      </c>
    </row>
    <row r="157" spans="3:30">
      <c r="C157" s="76">
        <v>148</v>
      </c>
      <c r="D157" s="77">
        <v>35944</v>
      </c>
      <c r="E157" s="77">
        <v>35944.041666666664</v>
      </c>
      <c r="F157" s="77">
        <v>35944.083333333336</v>
      </c>
      <c r="G157" s="77">
        <v>35944.125</v>
      </c>
      <c r="H157" s="77">
        <v>35944.166666666664</v>
      </c>
      <c r="I157" s="77">
        <v>35944.208333333336</v>
      </c>
      <c r="J157" s="77">
        <v>35944.25</v>
      </c>
      <c r="K157" s="77">
        <v>35944.291666666664</v>
      </c>
      <c r="L157" s="77">
        <v>35944.333333333336</v>
      </c>
      <c r="M157" s="77">
        <v>35944.375</v>
      </c>
      <c r="N157" s="77">
        <v>35944.416666666664</v>
      </c>
      <c r="O157" s="77">
        <v>35944.458333333336</v>
      </c>
      <c r="P157" s="77">
        <v>35944.5</v>
      </c>
      <c r="Q157" s="77">
        <v>35944.541666666664</v>
      </c>
      <c r="R157" s="77">
        <v>35944.583333333336</v>
      </c>
      <c r="S157" s="77">
        <v>35944.625</v>
      </c>
      <c r="T157" s="77">
        <v>35944.666666666664</v>
      </c>
      <c r="U157" s="77">
        <v>35944.708333333336</v>
      </c>
      <c r="V157" s="77">
        <v>35944.75</v>
      </c>
      <c r="W157" s="77">
        <v>35944.791666666664</v>
      </c>
      <c r="X157" s="77">
        <v>35944.833333333336</v>
      </c>
      <c r="Y157" s="77">
        <v>35944.875</v>
      </c>
      <c r="Z157" s="77">
        <v>35944.916666666664</v>
      </c>
      <c r="AA157" s="78">
        <v>35944.958333333336</v>
      </c>
      <c r="AC157" s="12">
        <f t="shared" si="30"/>
        <v>148</v>
      </c>
      <c r="AD157" s="98">
        <v>130</v>
      </c>
    </row>
    <row r="158" spans="3:30">
      <c r="C158" s="76">
        <v>149</v>
      </c>
      <c r="D158" s="77">
        <v>35945</v>
      </c>
      <c r="E158" s="77">
        <v>35945.041666666664</v>
      </c>
      <c r="F158" s="77">
        <v>35945.083333333336</v>
      </c>
      <c r="G158" s="77">
        <v>35945.125</v>
      </c>
      <c r="H158" s="77">
        <v>35945.166666666664</v>
      </c>
      <c r="I158" s="77">
        <v>35945.208333333336</v>
      </c>
      <c r="J158" s="77">
        <v>35945.25</v>
      </c>
      <c r="K158" s="77">
        <v>35945.291666666664</v>
      </c>
      <c r="L158" s="77">
        <v>35945.333333333336</v>
      </c>
      <c r="M158" s="77">
        <v>35945.375</v>
      </c>
      <c r="N158" s="77">
        <v>35945.416666666664</v>
      </c>
      <c r="O158" s="77">
        <v>35945.458333333336</v>
      </c>
      <c r="P158" s="77">
        <v>35945.5</v>
      </c>
      <c r="Q158" s="77">
        <v>35945.541666666664</v>
      </c>
      <c r="R158" s="77">
        <v>35945.583333333336</v>
      </c>
      <c r="S158" s="77">
        <v>35945.625</v>
      </c>
      <c r="T158" s="77">
        <v>35945.666666666664</v>
      </c>
      <c r="U158" s="77">
        <v>35945.708333333336</v>
      </c>
      <c r="V158" s="77">
        <v>35945.75</v>
      </c>
      <c r="W158" s="77">
        <v>35945.791666666664</v>
      </c>
      <c r="X158" s="77">
        <v>35945.833333333336</v>
      </c>
      <c r="Y158" s="77">
        <v>35945.875</v>
      </c>
      <c r="Z158" s="77">
        <v>35945.916666666664</v>
      </c>
      <c r="AA158" s="78">
        <v>35945.958333333336</v>
      </c>
      <c r="AC158" s="12">
        <f t="shared" si="30"/>
        <v>149</v>
      </c>
      <c r="AD158" s="98">
        <v>130</v>
      </c>
    </row>
    <row r="159" spans="3:30">
      <c r="C159" s="76">
        <v>150</v>
      </c>
      <c r="D159" s="77">
        <v>35946</v>
      </c>
      <c r="E159" s="77">
        <v>35946.041666666664</v>
      </c>
      <c r="F159" s="77">
        <v>35946.083333333336</v>
      </c>
      <c r="G159" s="77">
        <v>35946.125</v>
      </c>
      <c r="H159" s="77">
        <v>35946.166666666664</v>
      </c>
      <c r="I159" s="77">
        <v>35946.208333333336</v>
      </c>
      <c r="J159" s="77">
        <v>35946.25</v>
      </c>
      <c r="K159" s="77">
        <v>35946.291666666664</v>
      </c>
      <c r="L159" s="77">
        <v>35946.333333333336</v>
      </c>
      <c r="M159" s="77">
        <v>35946.375</v>
      </c>
      <c r="N159" s="77">
        <v>35946.416666666664</v>
      </c>
      <c r="O159" s="77">
        <v>35946.458333333336</v>
      </c>
      <c r="P159" s="77">
        <v>35946.5</v>
      </c>
      <c r="Q159" s="77">
        <v>35946.541666666664</v>
      </c>
      <c r="R159" s="77">
        <v>35946.583333333336</v>
      </c>
      <c r="S159" s="77">
        <v>35946.625</v>
      </c>
      <c r="T159" s="77">
        <v>35946.666666666664</v>
      </c>
      <c r="U159" s="77">
        <v>35946.708333333336</v>
      </c>
      <c r="V159" s="77">
        <v>35946.75</v>
      </c>
      <c r="W159" s="77">
        <v>35946.791666666664</v>
      </c>
      <c r="X159" s="77">
        <v>35946.833333333336</v>
      </c>
      <c r="Y159" s="77">
        <v>35946.875</v>
      </c>
      <c r="Z159" s="77">
        <v>35946.916666666664</v>
      </c>
      <c r="AA159" s="78">
        <v>35946.958333333336</v>
      </c>
      <c r="AC159" s="12">
        <f t="shared" si="30"/>
        <v>150</v>
      </c>
      <c r="AD159" s="98">
        <v>130</v>
      </c>
    </row>
    <row r="160" spans="3:30">
      <c r="C160" s="76">
        <v>151</v>
      </c>
      <c r="D160" s="77">
        <v>35947</v>
      </c>
      <c r="E160" s="77">
        <v>35947.041666666664</v>
      </c>
      <c r="F160" s="77">
        <v>35947.083333333336</v>
      </c>
      <c r="G160" s="77">
        <v>35947.125</v>
      </c>
      <c r="H160" s="77">
        <v>35947.166666666664</v>
      </c>
      <c r="I160" s="77">
        <v>35947.208333333336</v>
      </c>
      <c r="J160" s="77">
        <v>35947.25</v>
      </c>
      <c r="K160" s="77">
        <v>35947.291666666664</v>
      </c>
      <c r="L160" s="77">
        <v>35947.333333333336</v>
      </c>
      <c r="M160" s="77">
        <v>35947.375</v>
      </c>
      <c r="N160" s="77">
        <v>35947.416666666664</v>
      </c>
      <c r="O160" s="77">
        <v>35947.458333333336</v>
      </c>
      <c r="P160" s="77">
        <v>35947.5</v>
      </c>
      <c r="Q160" s="77">
        <v>35947.541666666664</v>
      </c>
      <c r="R160" s="77">
        <v>35947.583333333336</v>
      </c>
      <c r="S160" s="77">
        <v>35947.625</v>
      </c>
      <c r="T160" s="77">
        <v>35947.666666666664</v>
      </c>
      <c r="U160" s="77">
        <v>35947.708333333336</v>
      </c>
      <c r="V160" s="77">
        <v>35947.75</v>
      </c>
      <c r="W160" s="77">
        <v>35947.791666666664</v>
      </c>
      <c r="X160" s="77">
        <v>35947.833333333336</v>
      </c>
      <c r="Y160" s="77">
        <v>35947.875</v>
      </c>
      <c r="Z160" s="77">
        <v>35947.916666666664</v>
      </c>
      <c r="AA160" s="78">
        <v>35947.958333333336</v>
      </c>
      <c r="AC160" s="12">
        <f t="shared" si="30"/>
        <v>151</v>
      </c>
      <c r="AD160" s="98">
        <v>160</v>
      </c>
    </row>
    <row r="161" spans="3:30">
      <c r="C161" s="76">
        <v>152</v>
      </c>
      <c r="D161" s="77">
        <v>35948</v>
      </c>
      <c r="E161" s="77">
        <v>35948.041666666664</v>
      </c>
      <c r="F161" s="77">
        <v>35948.083333333336</v>
      </c>
      <c r="G161" s="77">
        <v>35948.125</v>
      </c>
      <c r="H161" s="77">
        <v>35948.166666666664</v>
      </c>
      <c r="I161" s="77">
        <v>35948.208333333336</v>
      </c>
      <c r="J161" s="77">
        <v>35948.25</v>
      </c>
      <c r="K161" s="77">
        <v>35948.291666666664</v>
      </c>
      <c r="L161" s="77">
        <v>35948.333333333336</v>
      </c>
      <c r="M161" s="77">
        <v>35948.375</v>
      </c>
      <c r="N161" s="77">
        <v>35948.416666666664</v>
      </c>
      <c r="O161" s="77">
        <v>35948.458333333336</v>
      </c>
      <c r="P161" s="77">
        <v>35948.5</v>
      </c>
      <c r="Q161" s="77">
        <v>35948.541666666664</v>
      </c>
      <c r="R161" s="77">
        <v>35948.583333333336</v>
      </c>
      <c r="S161" s="77">
        <v>35948.625</v>
      </c>
      <c r="T161" s="77">
        <v>35948.666666666664</v>
      </c>
      <c r="U161" s="77">
        <v>35948.708333333336</v>
      </c>
      <c r="V161" s="77">
        <v>35948.75</v>
      </c>
      <c r="W161" s="77">
        <v>35948.791666666664</v>
      </c>
      <c r="X161" s="77">
        <v>35948.833333333336</v>
      </c>
      <c r="Y161" s="77">
        <v>35948.875</v>
      </c>
      <c r="Z161" s="77">
        <v>35948.916666666664</v>
      </c>
      <c r="AA161" s="78">
        <v>35948.958333333336</v>
      </c>
      <c r="AC161" s="12">
        <f t="shared" si="30"/>
        <v>152</v>
      </c>
      <c r="AD161" s="98">
        <v>160</v>
      </c>
    </row>
    <row r="162" spans="3:30">
      <c r="C162" s="76">
        <v>153</v>
      </c>
      <c r="D162" s="77">
        <v>35949</v>
      </c>
      <c r="E162" s="77">
        <v>35949.041666666664</v>
      </c>
      <c r="F162" s="77">
        <v>35949.083333333336</v>
      </c>
      <c r="G162" s="77">
        <v>35949.125</v>
      </c>
      <c r="H162" s="77">
        <v>35949.166666666664</v>
      </c>
      <c r="I162" s="77">
        <v>35949.208333333336</v>
      </c>
      <c r="J162" s="77">
        <v>35949.25</v>
      </c>
      <c r="K162" s="77">
        <v>35949.291666666664</v>
      </c>
      <c r="L162" s="77">
        <v>35949.333333333336</v>
      </c>
      <c r="M162" s="77">
        <v>35949.375</v>
      </c>
      <c r="N162" s="77">
        <v>35949.416666666664</v>
      </c>
      <c r="O162" s="77">
        <v>35949.458333333336</v>
      </c>
      <c r="P162" s="77">
        <v>35949.5</v>
      </c>
      <c r="Q162" s="77">
        <v>35949.541666666664</v>
      </c>
      <c r="R162" s="77">
        <v>35949.583333333336</v>
      </c>
      <c r="S162" s="77">
        <v>35949.625</v>
      </c>
      <c r="T162" s="77">
        <v>35949.666666666664</v>
      </c>
      <c r="U162" s="77">
        <v>35949.708333333336</v>
      </c>
      <c r="V162" s="77">
        <v>35949.75</v>
      </c>
      <c r="W162" s="77">
        <v>35949.791666666664</v>
      </c>
      <c r="X162" s="77">
        <v>35949.833333333336</v>
      </c>
      <c r="Y162" s="77">
        <v>35949.875</v>
      </c>
      <c r="Z162" s="77">
        <v>35949.916666666664</v>
      </c>
      <c r="AA162" s="78">
        <v>35949.958333333336</v>
      </c>
      <c r="AC162" s="12">
        <f t="shared" si="30"/>
        <v>153</v>
      </c>
      <c r="AD162" s="98">
        <v>160</v>
      </c>
    </row>
    <row r="163" spans="3:30">
      <c r="C163" s="76">
        <v>154</v>
      </c>
      <c r="D163" s="77">
        <v>35950</v>
      </c>
      <c r="E163" s="77">
        <v>35950.041666666664</v>
      </c>
      <c r="F163" s="77">
        <v>35950.083333333336</v>
      </c>
      <c r="G163" s="77">
        <v>35950.125</v>
      </c>
      <c r="H163" s="77">
        <v>35950.166666666664</v>
      </c>
      <c r="I163" s="77">
        <v>35950.208333333336</v>
      </c>
      <c r="J163" s="77">
        <v>35950.25</v>
      </c>
      <c r="K163" s="77">
        <v>35950.291666666664</v>
      </c>
      <c r="L163" s="77">
        <v>35950.333333333336</v>
      </c>
      <c r="M163" s="77">
        <v>35950.375</v>
      </c>
      <c r="N163" s="77">
        <v>35950.416666666664</v>
      </c>
      <c r="O163" s="77">
        <v>35950.458333333336</v>
      </c>
      <c r="P163" s="77">
        <v>35950.5</v>
      </c>
      <c r="Q163" s="77">
        <v>35950.541666666664</v>
      </c>
      <c r="R163" s="77">
        <v>35950.583333333336</v>
      </c>
      <c r="S163" s="77">
        <v>35950.625</v>
      </c>
      <c r="T163" s="77">
        <v>35950.666666666664</v>
      </c>
      <c r="U163" s="77">
        <v>35950.708333333336</v>
      </c>
      <c r="V163" s="77">
        <v>35950.75</v>
      </c>
      <c r="W163" s="77">
        <v>35950.791666666664</v>
      </c>
      <c r="X163" s="77">
        <v>35950.833333333336</v>
      </c>
      <c r="Y163" s="77">
        <v>35950.875</v>
      </c>
      <c r="Z163" s="77">
        <v>35950.916666666664</v>
      </c>
      <c r="AA163" s="78">
        <v>35950.958333333336</v>
      </c>
      <c r="AC163" s="12">
        <f t="shared" si="30"/>
        <v>154</v>
      </c>
      <c r="AD163" s="98">
        <v>160</v>
      </c>
    </row>
    <row r="164" spans="3:30">
      <c r="C164" s="76">
        <v>155</v>
      </c>
      <c r="D164" s="77">
        <v>35951</v>
      </c>
      <c r="E164" s="77">
        <v>35951.041666666664</v>
      </c>
      <c r="F164" s="77">
        <v>35951.083333333336</v>
      </c>
      <c r="G164" s="77">
        <v>35951.125</v>
      </c>
      <c r="H164" s="77">
        <v>35951.166666666664</v>
      </c>
      <c r="I164" s="77">
        <v>35951.208333333336</v>
      </c>
      <c r="J164" s="77">
        <v>35951.25</v>
      </c>
      <c r="K164" s="77">
        <v>35951.291666666664</v>
      </c>
      <c r="L164" s="77">
        <v>35951.333333333336</v>
      </c>
      <c r="M164" s="77">
        <v>35951.375</v>
      </c>
      <c r="N164" s="77">
        <v>35951.416666666664</v>
      </c>
      <c r="O164" s="77">
        <v>35951.458333333336</v>
      </c>
      <c r="P164" s="77">
        <v>35951.5</v>
      </c>
      <c r="Q164" s="77">
        <v>35951.541666666664</v>
      </c>
      <c r="R164" s="77">
        <v>35951.583333333336</v>
      </c>
      <c r="S164" s="77">
        <v>35951.625</v>
      </c>
      <c r="T164" s="77">
        <v>35951.666666666664</v>
      </c>
      <c r="U164" s="77">
        <v>35951.708333333336</v>
      </c>
      <c r="V164" s="77">
        <v>35951.75</v>
      </c>
      <c r="W164" s="77">
        <v>35951.791666666664</v>
      </c>
      <c r="X164" s="77">
        <v>35951.833333333336</v>
      </c>
      <c r="Y164" s="77">
        <v>35951.875</v>
      </c>
      <c r="Z164" s="77">
        <v>35951.916666666664</v>
      </c>
      <c r="AA164" s="78">
        <v>35951.958333333336</v>
      </c>
      <c r="AC164" s="12">
        <f t="shared" si="30"/>
        <v>155</v>
      </c>
      <c r="AD164" s="98">
        <v>160</v>
      </c>
    </row>
    <row r="165" spans="3:30">
      <c r="C165" s="76">
        <v>156</v>
      </c>
      <c r="D165" s="77">
        <v>35952</v>
      </c>
      <c r="E165" s="77">
        <v>35952.041666666664</v>
      </c>
      <c r="F165" s="77">
        <v>35952.083333333336</v>
      </c>
      <c r="G165" s="77">
        <v>35952.125</v>
      </c>
      <c r="H165" s="77">
        <v>35952.166666666664</v>
      </c>
      <c r="I165" s="77">
        <v>35952.208333333336</v>
      </c>
      <c r="J165" s="77">
        <v>35952.25</v>
      </c>
      <c r="K165" s="77">
        <v>35952.291666666664</v>
      </c>
      <c r="L165" s="77">
        <v>35952.333333333336</v>
      </c>
      <c r="M165" s="77">
        <v>35952.375</v>
      </c>
      <c r="N165" s="77">
        <v>35952.416666666664</v>
      </c>
      <c r="O165" s="77">
        <v>35952.458333333336</v>
      </c>
      <c r="P165" s="77">
        <v>35952.5</v>
      </c>
      <c r="Q165" s="77">
        <v>35952.541666666664</v>
      </c>
      <c r="R165" s="77">
        <v>35952.583333333336</v>
      </c>
      <c r="S165" s="77">
        <v>35952.625</v>
      </c>
      <c r="T165" s="77">
        <v>35952.666666666664</v>
      </c>
      <c r="U165" s="77">
        <v>35952.708333333336</v>
      </c>
      <c r="V165" s="77">
        <v>35952.75</v>
      </c>
      <c r="W165" s="77">
        <v>35952.791666666664</v>
      </c>
      <c r="X165" s="77">
        <v>35952.833333333336</v>
      </c>
      <c r="Y165" s="77">
        <v>35952.875</v>
      </c>
      <c r="Z165" s="77">
        <v>35952.916666666664</v>
      </c>
      <c r="AA165" s="78">
        <v>35952.958333333336</v>
      </c>
      <c r="AC165" s="12">
        <f t="shared" si="30"/>
        <v>156</v>
      </c>
      <c r="AD165" s="98">
        <v>160</v>
      </c>
    </row>
    <row r="166" spans="3:30">
      <c r="C166" s="76">
        <v>157</v>
      </c>
      <c r="D166" s="77">
        <v>35953</v>
      </c>
      <c r="E166" s="77">
        <v>35953.041666666664</v>
      </c>
      <c r="F166" s="77">
        <v>35953.083333333336</v>
      </c>
      <c r="G166" s="77">
        <v>35953.125</v>
      </c>
      <c r="H166" s="77">
        <v>35953.166666666664</v>
      </c>
      <c r="I166" s="77">
        <v>35953.208333333336</v>
      </c>
      <c r="J166" s="77">
        <v>35953.25</v>
      </c>
      <c r="K166" s="77">
        <v>35953.291666666664</v>
      </c>
      <c r="L166" s="77">
        <v>35953.333333333336</v>
      </c>
      <c r="M166" s="77">
        <v>35953.375</v>
      </c>
      <c r="N166" s="77">
        <v>35953.416666666664</v>
      </c>
      <c r="O166" s="77">
        <v>35953.458333333336</v>
      </c>
      <c r="P166" s="77">
        <v>35953.5</v>
      </c>
      <c r="Q166" s="77">
        <v>35953.541666666664</v>
      </c>
      <c r="R166" s="77">
        <v>35953.583333333336</v>
      </c>
      <c r="S166" s="77">
        <v>35953.625</v>
      </c>
      <c r="T166" s="77">
        <v>35953.666666666664</v>
      </c>
      <c r="U166" s="77">
        <v>35953.708333333336</v>
      </c>
      <c r="V166" s="77">
        <v>35953.75</v>
      </c>
      <c r="W166" s="77">
        <v>35953.791666666664</v>
      </c>
      <c r="X166" s="77">
        <v>35953.833333333336</v>
      </c>
      <c r="Y166" s="77">
        <v>35953.875</v>
      </c>
      <c r="Z166" s="77">
        <v>35953.916666666664</v>
      </c>
      <c r="AA166" s="78">
        <v>35953.958333333336</v>
      </c>
      <c r="AC166" s="12">
        <f t="shared" si="30"/>
        <v>157</v>
      </c>
      <c r="AD166" s="98">
        <v>160</v>
      </c>
    </row>
    <row r="167" spans="3:30">
      <c r="C167" s="76">
        <v>158</v>
      </c>
      <c r="D167" s="77">
        <v>35954</v>
      </c>
      <c r="E167" s="77">
        <v>35954.041666666664</v>
      </c>
      <c r="F167" s="77">
        <v>35954.083333333336</v>
      </c>
      <c r="G167" s="77">
        <v>35954.125</v>
      </c>
      <c r="H167" s="77">
        <v>35954.166666666664</v>
      </c>
      <c r="I167" s="77">
        <v>35954.208333333336</v>
      </c>
      <c r="J167" s="77">
        <v>35954.25</v>
      </c>
      <c r="K167" s="77">
        <v>35954.291666666664</v>
      </c>
      <c r="L167" s="77">
        <v>35954.333333333336</v>
      </c>
      <c r="M167" s="77">
        <v>35954.375</v>
      </c>
      <c r="N167" s="77">
        <v>35954.416666666664</v>
      </c>
      <c r="O167" s="77">
        <v>35954.458333333336</v>
      </c>
      <c r="P167" s="77">
        <v>35954.5</v>
      </c>
      <c r="Q167" s="77">
        <v>35954.541666666664</v>
      </c>
      <c r="R167" s="77">
        <v>35954.583333333336</v>
      </c>
      <c r="S167" s="77">
        <v>35954.625</v>
      </c>
      <c r="T167" s="77">
        <v>35954.666666666664</v>
      </c>
      <c r="U167" s="77">
        <v>35954.708333333336</v>
      </c>
      <c r="V167" s="77">
        <v>35954.75</v>
      </c>
      <c r="W167" s="77">
        <v>35954.791666666664</v>
      </c>
      <c r="X167" s="77">
        <v>35954.833333333336</v>
      </c>
      <c r="Y167" s="77">
        <v>35954.875</v>
      </c>
      <c r="Z167" s="77">
        <v>35954.916666666664</v>
      </c>
      <c r="AA167" s="78">
        <v>35954.958333333336</v>
      </c>
      <c r="AC167" s="12">
        <f t="shared" si="30"/>
        <v>158</v>
      </c>
      <c r="AD167" s="98">
        <v>160</v>
      </c>
    </row>
    <row r="168" spans="3:30">
      <c r="C168" s="76">
        <v>159</v>
      </c>
      <c r="D168" s="77">
        <v>35955</v>
      </c>
      <c r="E168" s="77">
        <v>35955.041666666664</v>
      </c>
      <c r="F168" s="77">
        <v>35955.083333333336</v>
      </c>
      <c r="G168" s="77">
        <v>35955.125</v>
      </c>
      <c r="H168" s="77">
        <v>35955.166666666664</v>
      </c>
      <c r="I168" s="77">
        <v>35955.208333333336</v>
      </c>
      <c r="J168" s="77">
        <v>35955.25</v>
      </c>
      <c r="K168" s="77">
        <v>35955.291666666664</v>
      </c>
      <c r="L168" s="77">
        <v>35955.333333333336</v>
      </c>
      <c r="M168" s="77">
        <v>35955.375</v>
      </c>
      <c r="N168" s="77">
        <v>35955.416666666664</v>
      </c>
      <c r="O168" s="77">
        <v>35955.458333333336</v>
      </c>
      <c r="P168" s="77">
        <v>35955.5</v>
      </c>
      <c r="Q168" s="77">
        <v>35955.541666666664</v>
      </c>
      <c r="R168" s="77">
        <v>35955.583333333336</v>
      </c>
      <c r="S168" s="77">
        <v>35955.625</v>
      </c>
      <c r="T168" s="77">
        <v>35955.666666666664</v>
      </c>
      <c r="U168" s="77">
        <v>35955.708333333336</v>
      </c>
      <c r="V168" s="77">
        <v>35955.75</v>
      </c>
      <c r="W168" s="77">
        <v>35955.791666666664</v>
      </c>
      <c r="X168" s="77">
        <v>35955.833333333336</v>
      </c>
      <c r="Y168" s="77">
        <v>35955.875</v>
      </c>
      <c r="Z168" s="77">
        <v>35955.916666666664</v>
      </c>
      <c r="AA168" s="78">
        <v>35955.958333333336</v>
      </c>
      <c r="AC168" s="12">
        <f t="shared" si="30"/>
        <v>159</v>
      </c>
      <c r="AD168" s="98">
        <v>160</v>
      </c>
    </row>
    <row r="169" spans="3:30">
      <c r="C169" s="76">
        <v>160</v>
      </c>
      <c r="D169" s="77">
        <v>35956</v>
      </c>
      <c r="E169" s="77">
        <v>35956.041666666664</v>
      </c>
      <c r="F169" s="77">
        <v>35956.083333333336</v>
      </c>
      <c r="G169" s="77">
        <v>35956.125</v>
      </c>
      <c r="H169" s="77">
        <v>35956.166666666664</v>
      </c>
      <c r="I169" s="77">
        <v>35956.208333333336</v>
      </c>
      <c r="J169" s="77">
        <v>35956.25</v>
      </c>
      <c r="K169" s="77">
        <v>35956.291666666664</v>
      </c>
      <c r="L169" s="77">
        <v>35956.333333333336</v>
      </c>
      <c r="M169" s="77">
        <v>35956.375</v>
      </c>
      <c r="N169" s="77">
        <v>35956.416666666664</v>
      </c>
      <c r="O169" s="77">
        <v>35956.458333333336</v>
      </c>
      <c r="P169" s="77">
        <v>35956.5</v>
      </c>
      <c r="Q169" s="77">
        <v>35956.541666666664</v>
      </c>
      <c r="R169" s="77">
        <v>35956.583333333336</v>
      </c>
      <c r="S169" s="77">
        <v>35956.625</v>
      </c>
      <c r="T169" s="77">
        <v>35956.666666666664</v>
      </c>
      <c r="U169" s="77">
        <v>35956.708333333336</v>
      </c>
      <c r="V169" s="77">
        <v>35956.75</v>
      </c>
      <c r="W169" s="77">
        <v>35956.791666666664</v>
      </c>
      <c r="X169" s="77">
        <v>35956.833333333336</v>
      </c>
      <c r="Y169" s="77">
        <v>35956.875</v>
      </c>
      <c r="Z169" s="77">
        <v>35956.916666666664</v>
      </c>
      <c r="AA169" s="78">
        <v>35956.958333333336</v>
      </c>
      <c r="AC169" s="12">
        <f t="shared" si="30"/>
        <v>160</v>
      </c>
      <c r="AD169" s="98">
        <v>160</v>
      </c>
    </row>
    <row r="170" spans="3:30">
      <c r="C170" s="76">
        <v>161</v>
      </c>
      <c r="D170" s="77">
        <v>35957</v>
      </c>
      <c r="E170" s="77">
        <v>35957.041666666664</v>
      </c>
      <c r="F170" s="77">
        <v>35957.083333333336</v>
      </c>
      <c r="G170" s="77">
        <v>35957.125</v>
      </c>
      <c r="H170" s="77">
        <v>35957.166666666664</v>
      </c>
      <c r="I170" s="77">
        <v>35957.208333333336</v>
      </c>
      <c r="J170" s="77">
        <v>35957.25</v>
      </c>
      <c r="K170" s="77">
        <v>35957.291666666664</v>
      </c>
      <c r="L170" s="77">
        <v>35957.333333333336</v>
      </c>
      <c r="M170" s="77">
        <v>35957.375</v>
      </c>
      <c r="N170" s="77">
        <v>35957.416666666664</v>
      </c>
      <c r="O170" s="77">
        <v>35957.458333333336</v>
      </c>
      <c r="P170" s="77">
        <v>35957.5</v>
      </c>
      <c r="Q170" s="77">
        <v>35957.541666666664</v>
      </c>
      <c r="R170" s="77">
        <v>35957.583333333336</v>
      </c>
      <c r="S170" s="77">
        <v>35957.625</v>
      </c>
      <c r="T170" s="77">
        <v>35957.666666666664</v>
      </c>
      <c r="U170" s="77">
        <v>35957.708333333336</v>
      </c>
      <c r="V170" s="77">
        <v>35957.75</v>
      </c>
      <c r="W170" s="77">
        <v>35957.791666666664</v>
      </c>
      <c r="X170" s="77">
        <v>35957.833333333336</v>
      </c>
      <c r="Y170" s="77">
        <v>35957.875</v>
      </c>
      <c r="Z170" s="77">
        <v>35957.916666666664</v>
      </c>
      <c r="AA170" s="78">
        <v>35957.958333333336</v>
      </c>
      <c r="AC170" s="12">
        <f t="shared" si="30"/>
        <v>161</v>
      </c>
      <c r="AD170" s="98">
        <v>160</v>
      </c>
    </row>
    <row r="171" spans="3:30">
      <c r="C171" s="76">
        <v>162</v>
      </c>
      <c r="D171" s="77">
        <v>35958</v>
      </c>
      <c r="E171" s="77">
        <v>35958.041666666664</v>
      </c>
      <c r="F171" s="77">
        <v>35958.083333333336</v>
      </c>
      <c r="G171" s="77">
        <v>35958.125</v>
      </c>
      <c r="H171" s="77">
        <v>35958.166666666664</v>
      </c>
      <c r="I171" s="77">
        <v>35958.208333333336</v>
      </c>
      <c r="J171" s="77">
        <v>35958.25</v>
      </c>
      <c r="K171" s="77">
        <v>35958.291666666664</v>
      </c>
      <c r="L171" s="77">
        <v>35958.333333333336</v>
      </c>
      <c r="M171" s="77">
        <v>35958.375</v>
      </c>
      <c r="N171" s="77">
        <v>35958.416666666664</v>
      </c>
      <c r="O171" s="77">
        <v>35958.458333333336</v>
      </c>
      <c r="P171" s="77">
        <v>35958.5</v>
      </c>
      <c r="Q171" s="77">
        <v>35958.541666666664</v>
      </c>
      <c r="R171" s="77">
        <v>35958.583333333336</v>
      </c>
      <c r="S171" s="77">
        <v>35958.625</v>
      </c>
      <c r="T171" s="77">
        <v>35958.666666666664</v>
      </c>
      <c r="U171" s="77">
        <v>35958.708333333336</v>
      </c>
      <c r="V171" s="77">
        <v>35958.75</v>
      </c>
      <c r="W171" s="77">
        <v>35958.791666666664</v>
      </c>
      <c r="X171" s="77">
        <v>35958.833333333336</v>
      </c>
      <c r="Y171" s="77">
        <v>35958.875</v>
      </c>
      <c r="Z171" s="77">
        <v>35958.916666666664</v>
      </c>
      <c r="AA171" s="78">
        <v>35958.958333333336</v>
      </c>
      <c r="AC171" s="12">
        <f t="shared" si="30"/>
        <v>162</v>
      </c>
      <c r="AD171" s="98">
        <v>160</v>
      </c>
    </row>
    <row r="172" spans="3:30">
      <c r="C172" s="76">
        <v>163</v>
      </c>
      <c r="D172" s="77">
        <v>35959</v>
      </c>
      <c r="E172" s="77">
        <v>35959.041666666664</v>
      </c>
      <c r="F172" s="77">
        <v>35959.083333333336</v>
      </c>
      <c r="G172" s="77">
        <v>35959.125</v>
      </c>
      <c r="H172" s="77">
        <v>35959.166666666664</v>
      </c>
      <c r="I172" s="77">
        <v>35959.208333333336</v>
      </c>
      <c r="J172" s="77">
        <v>35959.25</v>
      </c>
      <c r="K172" s="77">
        <v>35959.291666666664</v>
      </c>
      <c r="L172" s="77">
        <v>35959.333333333336</v>
      </c>
      <c r="M172" s="77">
        <v>35959.375</v>
      </c>
      <c r="N172" s="77">
        <v>35959.416666666664</v>
      </c>
      <c r="O172" s="77">
        <v>35959.458333333336</v>
      </c>
      <c r="P172" s="77">
        <v>35959.5</v>
      </c>
      <c r="Q172" s="77">
        <v>35959.541666666664</v>
      </c>
      <c r="R172" s="77">
        <v>35959.583333333336</v>
      </c>
      <c r="S172" s="77">
        <v>35959.625</v>
      </c>
      <c r="T172" s="77">
        <v>35959.666666666664</v>
      </c>
      <c r="U172" s="77">
        <v>35959.708333333336</v>
      </c>
      <c r="V172" s="77">
        <v>35959.75</v>
      </c>
      <c r="W172" s="77">
        <v>35959.791666666664</v>
      </c>
      <c r="X172" s="77">
        <v>35959.833333333336</v>
      </c>
      <c r="Y172" s="77">
        <v>35959.875</v>
      </c>
      <c r="Z172" s="77">
        <v>35959.916666666664</v>
      </c>
      <c r="AA172" s="78">
        <v>35959.958333333336</v>
      </c>
      <c r="AC172" s="12">
        <f t="shared" si="30"/>
        <v>163</v>
      </c>
      <c r="AD172" s="98">
        <v>160</v>
      </c>
    </row>
    <row r="173" spans="3:30">
      <c r="C173" s="76">
        <v>164</v>
      </c>
      <c r="D173" s="77">
        <v>35960</v>
      </c>
      <c r="E173" s="77">
        <v>35960.041666666664</v>
      </c>
      <c r="F173" s="77">
        <v>35960.083333333336</v>
      </c>
      <c r="G173" s="77">
        <v>35960.125</v>
      </c>
      <c r="H173" s="77">
        <v>35960.166666666664</v>
      </c>
      <c r="I173" s="77">
        <v>35960.208333333336</v>
      </c>
      <c r="J173" s="77">
        <v>35960.25</v>
      </c>
      <c r="K173" s="77">
        <v>35960.291666666664</v>
      </c>
      <c r="L173" s="77">
        <v>35960.333333333336</v>
      </c>
      <c r="M173" s="77">
        <v>35960.375</v>
      </c>
      <c r="N173" s="77">
        <v>35960.416666666664</v>
      </c>
      <c r="O173" s="77">
        <v>35960.458333333336</v>
      </c>
      <c r="P173" s="77">
        <v>35960.5</v>
      </c>
      <c r="Q173" s="77">
        <v>35960.541666666664</v>
      </c>
      <c r="R173" s="77">
        <v>35960.583333333336</v>
      </c>
      <c r="S173" s="77">
        <v>35960.625</v>
      </c>
      <c r="T173" s="77">
        <v>35960.666666666664</v>
      </c>
      <c r="U173" s="77">
        <v>35960.708333333336</v>
      </c>
      <c r="V173" s="77">
        <v>35960.75</v>
      </c>
      <c r="W173" s="77">
        <v>35960.791666666664</v>
      </c>
      <c r="X173" s="77">
        <v>35960.833333333336</v>
      </c>
      <c r="Y173" s="77">
        <v>35960.875</v>
      </c>
      <c r="Z173" s="77">
        <v>35960.916666666664</v>
      </c>
      <c r="AA173" s="78">
        <v>35960.958333333336</v>
      </c>
      <c r="AC173" s="12">
        <f t="shared" si="30"/>
        <v>164</v>
      </c>
      <c r="AD173" s="98">
        <v>160</v>
      </c>
    </row>
    <row r="174" spans="3:30">
      <c r="C174" s="76">
        <v>165</v>
      </c>
      <c r="D174" s="77">
        <v>35961</v>
      </c>
      <c r="E174" s="77">
        <v>35961.041666666664</v>
      </c>
      <c r="F174" s="77">
        <v>35961.083333333336</v>
      </c>
      <c r="G174" s="77">
        <v>35961.125</v>
      </c>
      <c r="H174" s="77">
        <v>35961.166666666664</v>
      </c>
      <c r="I174" s="77">
        <v>35961.208333333336</v>
      </c>
      <c r="J174" s="77">
        <v>35961.25</v>
      </c>
      <c r="K174" s="77">
        <v>35961.291666666664</v>
      </c>
      <c r="L174" s="77">
        <v>35961.333333333336</v>
      </c>
      <c r="M174" s="77">
        <v>35961.375</v>
      </c>
      <c r="N174" s="77">
        <v>35961.416666666664</v>
      </c>
      <c r="O174" s="77">
        <v>35961.458333333336</v>
      </c>
      <c r="P174" s="77">
        <v>35961.5</v>
      </c>
      <c r="Q174" s="77">
        <v>35961.541666666664</v>
      </c>
      <c r="R174" s="77">
        <v>35961.583333333336</v>
      </c>
      <c r="S174" s="77">
        <v>35961.625</v>
      </c>
      <c r="T174" s="77">
        <v>35961.666666666664</v>
      </c>
      <c r="U174" s="77">
        <v>35961.708333333336</v>
      </c>
      <c r="V174" s="77">
        <v>35961.75</v>
      </c>
      <c r="W174" s="77">
        <v>35961.791666666664</v>
      </c>
      <c r="X174" s="77">
        <v>35961.833333333336</v>
      </c>
      <c r="Y174" s="77">
        <v>35961.875</v>
      </c>
      <c r="Z174" s="77">
        <v>35961.916666666664</v>
      </c>
      <c r="AA174" s="78">
        <v>35961.958333333336</v>
      </c>
      <c r="AC174" s="12">
        <f t="shared" si="30"/>
        <v>165</v>
      </c>
      <c r="AD174" s="98">
        <v>160</v>
      </c>
    </row>
    <row r="175" spans="3:30">
      <c r="C175" s="76">
        <v>166</v>
      </c>
      <c r="D175" s="77">
        <v>35962</v>
      </c>
      <c r="E175" s="77">
        <v>35962.041666666664</v>
      </c>
      <c r="F175" s="77">
        <v>35962.083333333336</v>
      </c>
      <c r="G175" s="77">
        <v>35962.125</v>
      </c>
      <c r="H175" s="77">
        <v>35962.166666666664</v>
      </c>
      <c r="I175" s="77">
        <v>35962.208333333336</v>
      </c>
      <c r="J175" s="77">
        <v>35962.25</v>
      </c>
      <c r="K175" s="77">
        <v>35962.291666666664</v>
      </c>
      <c r="L175" s="77">
        <v>35962.333333333336</v>
      </c>
      <c r="M175" s="77">
        <v>35962.375</v>
      </c>
      <c r="N175" s="77">
        <v>35962.416666666664</v>
      </c>
      <c r="O175" s="77">
        <v>35962.458333333336</v>
      </c>
      <c r="P175" s="77">
        <v>35962.5</v>
      </c>
      <c r="Q175" s="77">
        <v>35962.541666666664</v>
      </c>
      <c r="R175" s="77">
        <v>35962.583333333336</v>
      </c>
      <c r="S175" s="77">
        <v>35962.625</v>
      </c>
      <c r="T175" s="77">
        <v>35962.666666666664</v>
      </c>
      <c r="U175" s="77">
        <v>35962.708333333336</v>
      </c>
      <c r="V175" s="77">
        <v>35962.75</v>
      </c>
      <c r="W175" s="77">
        <v>35962.791666666664</v>
      </c>
      <c r="X175" s="77">
        <v>35962.833333333336</v>
      </c>
      <c r="Y175" s="77">
        <v>35962.875</v>
      </c>
      <c r="Z175" s="77">
        <v>35962.916666666664</v>
      </c>
      <c r="AA175" s="78">
        <v>35962.958333333336</v>
      </c>
      <c r="AC175" s="12">
        <f t="shared" si="30"/>
        <v>166</v>
      </c>
      <c r="AD175" s="98">
        <v>160</v>
      </c>
    </row>
    <row r="176" spans="3:30">
      <c r="C176" s="76">
        <v>167</v>
      </c>
      <c r="D176" s="77">
        <v>35963</v>
      </c>
      <c r="E176" s="77">
        <v>35963.041666666664</v>
      </c>
      <c r="F176" s="77">
        <v>35963.083333333336</v>
      </c>
      <c r="G176" s="77">
        <v>35963.125</v>
      </c>
      <c r="H176" s="77">
        <v>35963.166666666664</v>
      </c>
      <c r="I176" s="77">
        <v>35963.208333333336</v>
      </c>
      <c r="J176" s="77">
        <v>35963.25</v>
      </c>
      <c r="K176" s="77">
        <v>35963.291666666664</v>
      </c>
      <c r="L176" s="77">
        <v>35963.333333333336</v>
      </c>
      <c r="M176" s="77">
        <v>35963.375</v>
      </c>
      <c r="N176" s="77">
        <v>35963.416666666664</v>
      </c>
      <c r="O176" s="77">
        <v>35963.458333333336</v>
      </c>
      <c r="P176" s="77">
        <v>35963.5</v>
      </c>
      <c r="Q176" s="77">
        <v>35963.541666666664</v>
      </c>
      <c r="R176" s="77">
        <v>35963.583333333336</v>
      </c>
      <c r="S176" s="77">
        <v>35963.625</v>
      </c>
      <c r="T176" s="77">
        <v>35963.666666666664</v>
      </c>
      <c r="U176" s="77">
        <v>35963.708333333336</v>
      </c>
      <c r="V176" s="77">
        <v>35963.75</v>
      </c>
      <c r="W176" s="77">
        <v>35963.791666666664</v>
      </c>
      <c r="X176" s="77">
        <v>35963.833333333336</v>
      </c>
      <c r="Y176" s="77">
        <v>35963.875</v>
      </c>
      <c r="Z176" s="77">
        <v>35963.916666666664</v>
      </c>
      <c r="AA176" s="78">
        <v>35963.958333333336</v>
      </c>
      <c r="AC176" s="12">
        <f t="shared" si="30"/>
        <v>167</v>
      </c>
      <c r="AD176" s="98">
        <v>160</v>
      </c>
    </row>
    <row r="177" spans="3:30">
      <c r="C177" s="76">
        <v>168</v>
      </c>
      <c r="D177" s="77">
        <v>35964</v>
      </c>
      <c r="E177" s="77">
        <v>35964.041666666664</v>
      </c>
      <c r="F177" s="77">
        <v>35964.083333333336</v>
      </c>
      <c r="G177" s="77">
        <v>35964.125</v>
      </c>
      <c r="H177" s="77">
        <v>35964.166666666664</v>
      </c>
      <c r="I177" s="77">
        <v>35964.208333333336</v>
      </c>
      <c r="J177" s="77">
        <v>35964.25</v>
      </c>
      <c r="K177" s="77">
        <v>35964.291666666664</v>
      </c>
      <c r="L177" s="77">
        <v>35964.333333333336</v>
      </c>
      <c r="M177" s="77">
        <v>35964.375</v>
      </c>
      <c r="N177" s="77">
        <v>35964.416666666664</v>
      </c>
      <c r="O177" s="77">
        <v>35964.458333333336</v>
      </c>
      <c r="P177" s="77">
        <v>35964.5</v>
      </c>
      <c r="Q177" s="77">
        <v>35964.541666666664</v>
      </c>
      <c r="R177" s="77">
        <v>35964.583333333336</v>
      </c>
      <c r="S177" s="77">
        <v>35964.625</v>
      </c>
      <c r="T177" s="77">
        <v>35964.666666666664</v>
      </c>
      <c r="U177" s="77">
        <v>35964.708333333336</v>
      </c>
      <c r="V177" s="77">
        <v>35964.75</v>
      </c>
      <c r="W177" s="77">
        <v>35964.791666666664</v>
      </c>
      <c r="X177" s="77">
        <v>35964.833333333336</v>
      </c>
      <c r="Y177" s="77">
        <v>35964.875</v>
      </c>
      <c r="Z177" s="77">
        <v>35964.916666666664</v>
      </c>
      <c r="AA177" s="78">
        <v>35964.958333333336</v>
      </c>
      <c r="AC177" s="12">
        <f t="shared" si="30"/>
        <v>168</v>
      </c>
      <c r="AD177" s="98">
        <v>160</v>
      </c>
    </row>
    <row r="178" spans="3:30">
      <c r="C178" s="76">
        <v>169</v>
      </c>
      <c r="D178" s="77">
        <v>35965</v>
      </c>
      <c r="E178" s="77">
        <v>35965.041666666664</v>
      </c>
      <c r="F178" s="77">
        <v>35965.083333333336</v>
      </c>
      <c r="G178" s="77">
        <v>35965.125</v>
      </c>
      <c r="H178" s="77">
        <v>35965.166666666664</v>
      </c>
      <c r="I178" s="77">
        <v>35965.208333333336</v>
      </c>
      <c r="J178" s="77">
        <v>35965.25</v>
      </c>
      <c r="K178" s="77">
        <v>35965.291666666664</v>
      </c>
      <c r="L178" s="77">
        <v>35965.333333333336</v>
      </c>
      <c r="M178" s="77">
        <v>35965.375</v>
      </c>
      <c r="N178" s="77">
        <v>35965.416666666664</v>
      </c>
      <c r="O178" s="77">
        <v>35965.458333333336</v>
      </c>
      <c r="P178" s="77">
        <v>35965.5</v>
      </c>
      <c r="Q178" s="77">
        <v>35965.541666666664</v>
      </c>
      <c r="R178" s="77">
        <v>35965.583333333336</v>
      </c>
      <c r="S178" s="77">
        <v>35965.625</v>
      </c>
      <c r="T178" s="77">
        <v>35965.666666666664</v>
      </c>
      <c r="U178" s="77">
        <v>35965.708333333336</v>
      </c>
      <c r="V178" s="77">
        <v>35965.75</v>
      </c>
      <c r="W178" s="77">
        <v>35965.791666666664</v>
      </c>
      <c r="X178" s="77">
        <v>35965.833333333336</v>
      </c>
      <c r="Y178" s="77">
        <v>35965.875</v>
      </c>
      <c r="Z178" s="77">
        <v>35965.916666666664</v>
      </c>
      <c r="AA178" s="78">
        <v>35965.958333333336</v>
      </c>
      <c r="AC178" s="12">
        <f t="shared" si="30"/>
        <v>169</v>
      </c>
      <c r="AD178" s="98">
        <v>160</v>
      </c>
    </row>
    <row r="179" spans="3:30">
      <c r="C179" s="76">
        <v>170</v>
      </c>
      <c r="D179" s="77">
        <v>35966</v>
      </c>
      <c r="E179" s="77">
        <v>35966.041666666664</v>
      </c>
      <c r="F179" s="77">
        <v>35966.083333333336</v>
      </c>
      <c r="G179" s="77">
        <v>35966.125</v>
      </c>
      <c r="H179" s="77">
        <v>35966.166666666664</v>
      </c>
      <c r="I179" s="77">
        <v>35966.208333333336</v>
      </c>
      <c r="J179" s="77">
        <v>35966.25</v>
      </c>
      <c r="K179" s="77">
        <v>35966.291666666664</v>
      </c>
      <c r="L179" s="77">
        <v>35966.333333333336</v>
      </c>
      <c r="M179" s="77">
        <v>35966.375</v>
      </c>
      <c r="N179" s="77">
        <v>35966.416666666664</v>
      </c>
      <c r="O179" s="77">
        <v>35966.458333333336</v>
      </c>
      <c r="P179" s="77">
        <v>35966.5</v>
      </c>
      <c r="Q179" s="77">
        <v>35966.541666666664</v>
      </c>
      <c r="R179" s="77">
        <v>35966.583333333336</v>
      </c>
      <c r="S179" s="77">
        <v>35966.625</v>
      </c>
      <c r="T179" s="77">
        <v>35966.666666666664</v>
      </c>
      <c r="U179" s="77">
        <v>35966.708333333336</v>
      </c>
      <c r="V179" s="77">
        <v>35966.75</v>
      </c>
      <c r="W179" s="77">
        <v>35966.791666666664</v>
      </c>
      <c r="X179" s="77">
        <v>35966.833333333336</v>
      </c>
      <c r="Y179" s="77">
        <v>35966.875</v>
      </c>
      <c r="Z179" s="77">
        <v>35966.916666666664</v>
      </c>
      <c r="AA179" s="78">
        <v>35966.958333333336</v>
      </c>
      <c r="AC179" s="12">
        <f t="shared" si="30"/>
        <v>170</v>
      </c>
      <c r="AD179" s="98">
        <v>160</v>
      </c>
    </row>
    <row r="180" spans="3:30">
      <c r="C180" s="76">
        <v>171</v>
      </c>
      <c r="D180" s="77">
        <v>35967</v>
      </c>
      <c r="E180" s="77">
        <v>35967.041666666664</v>
      </c>
      <c r="F180" s="77">
        <v>35967.083333333336</v>
      </c>
      <c r="G180" s="77">
        <v>35967.125</v>
      </c>
      <c r="H180" s="77">
        <v>35967.166666666664</v>
      </c>
      <c r="I180" s="77">
        <v>35967.208333333336</v>
      </c>
      <c r="J180" s="77">
        <v>35967.25</v>
      </c>
      <c r="K180" s="77">
        <v>35967.291666666664</v>
      </c>
      <c r="L180" s="77">
        <v>35967.333333333336</v>
      </c>
      <c r="M180" s="77">
        <v>35967.375</v>
      </c>
      <c r="N180" s="77">
        <v>35967.416666666664</v>
      </c>
      <c r="O180" s="77">
        <v>35967.458333333336</v>
      </c>
      <c r="P180" s="77">
        <v>35967.5</v>
      </c>
      <c r="Q180" s="77">
        <v>35967.541666666664</v>
      </c>
      <c r="R180" s="77">
        <v>35967.583333333336</v>
      </c>
      <c r="S180" s="77">
        <v>35967.625</v>
      </c>
      <c r="T180" s="77">
        <v>35967.666666666664</v>
      </c>
      <c r="U180" s="77">
        <v>35967.708333333336</v>
      </c>
      <c r="V180" s="77">
        <v>35967.75</v>
      </c>
      <c r="W180" s="77">
        <v>35967.791666666664</v>
      </c>
      <c r="X180" s="77">
        <v>35967.833333333336</v>
      </c>
      <c r="Y180" s="77">
        <v>35967.875</v>
      </c>
      <c r="Z180" s="77">
        <v>35967.916666666664</v>
      </c>
      <c r="AA180" s="78">
        <v>35967.958333333336</v>
      </c>
      <c r="AC180" s="12">
        <f t="shared" si="30"/>
        <v>171</v>
      </c>
      <c r="AD180" s="98">
        <v>160</v>
      </c>
    </row>
    <row r="181" spans="3:30">
      <c r="C181" s="76">
        <v>172</v>
      </c>
      <c r="D181" s="77">
        <v>35968</v>
      </c>
      <c r="E181" s="77">
        <v>35968.041666666664</v>
      </c>
      <c r="F181" s="77">
        <v>35968.083333333336</v>
      </c>
      <c r="G181" s="77">
        <v>35968.125</v>
      </c>
      <c r="H181" s="77">
        <v>35968.166666666664</v>
      </c>
      <c r="I181" s="77">
        <v>35968.208333333336</v>
      </c>
      <c r="J181" s="77">
        <v>35968.25</v>
      </c>
      <c r="K181" s="77">
        <v>35968.291666666664</v>
      </c>
      <c r="L181" s="77">
        <v>35968.333333333336</v>
      </c>
      <c r="M181" s="77">
        <v>35968.375</v>
      </c>
      <c r="N181" s="77">
        <v>35968.416666666664</v>
      </c>
      <c r="O181" s="77">
        <v>35968.458333333336</v>
      </c>
      <c r="P181" s="77">
        <v>35968.5</v>
      </c>
      <c r="Q181" s="77">
        <v>35968.541666666664</v>
      </c>
      <c r="R181" s="77">
        <v>35968.583333333336</v>
      </c>
      <c r="S181" s="77">
        <v>35968.625</v>
      </c>
      <c r="T181" s="77">
        <v>35968.666666666664</v>
      </c>
      <c r="U181" s="77">
        <v>35968.708333333336</v>
      </c>
      <c r="V181" s="77">
        <v>35968.75</v>
      </c>
      <c r="W181" s="77">
        <v>35968.791666666664</v>
      </c>
      <c r="X181" s="77">
        <v>35968.833333333336</v>
      </c>
      <c r="Y181" s="77">
        <v>35968.875</v>
      </c>
      <c r="Z181" s="77">
        <v>35968.916666666664</v>
      </c>
      <c r="AA181" s="78">
        <v>35968.958333333336</v>
      </c>
      <c r="AC181" s="12">
        <f t="shared" si="30"/>
        <v>172</v>
      </c>
      <c r="AD181" s="98">
        <v>160</v>
      </c>
    </row>
    <row r="182" spans="3:30">
      <c r="C182" s="76">
        <v>173</v>
      </c>
      <c r="D182" s="77">
        <v>35969</v>
      </c>
      <c r="E182" s="77">
        <v>35969.041666666664</v>
      </c>
      <c r="F182" s="77">
        <v>35969.083333333336</v>
      </c>
      <c r="G182" s="77">
        <v>35969.125</v>
      </c>
      <c r="H182" s="77">
        <v>35969.166666666664</v>
      </c>
      <c r="I182" s="77">
        <v>35969.208333333336</v>
      </c>
      <c r="J182" s="77">
        <v>35969.25</v>
      </c>
      <c r="K182" s="77">
        <v>35969.291666666664</v>
      </c>
      <c r="L182" s="77">
        <v>35969.333333333336</v>
      </c>
      <c r="M182" s="77">
        <v>35969.375</v>
      </c>
      <c r="N182" s="77">
        <v>35969.416666666664</v>
      </c>
      <c r="O182" s="77">
        <v>35969.458333333336</v>
      </c>
      <c r="P182" s="77">
        <v>35969.5</v>
      </c>
      <c r="Q182" s="77">
        <v>35969.541666666664</v>
      </c>
      <c r="R182" s="77">
        <v>35969.583333333336</v>
      </c>
      <c r="S182" s="77">
        <v>35969.625</v>
      </c>
      <c r="T182" s="77">
        <v>35969.666666666664</v>
      </c>
      <c r="U182" s="77">
        <v>35969.708333333336</v>
      </c>
      <c r="V182" s="77">
        <v>35969.75</v>
      </c>
      <c r="W182" s="77">
        <v>35969.791666666664</v>
      </c>
      <c r="X182" s="77">
        <v>35969.833333333336</v>
      </c>
      <c r="Y182" s="77">
        <v>35969.875</v>
      </c>
      <c r="Z182" s="77">
        <v>35969.916666666664</v>
      </c>
      <c r="AA182" s="78">
        <v>35969.958333333336</v>
      </c>
      <c r="AC182" s="12">
        <f t="shared" si="30"/>
        <v>173</v>
      </c>
      <c r="AD182" s="98">
        <v>160</v>
      </c>
    </row>
    <row r="183" spans="3:30">
      <c r="C183" s="76">
        <v>174</v>
      </c>
      <c r="D183" s="77">
        <v>35970</v>
      </c>
      <c r="E183" s="77">
        <v>35970.041666666664</v>
      </c>
      <c r="F183" s="77">
        <v>35970.083333333336</v>
      </c>
      <c r="G183" s="77">
        <v>35970.125</v>
      </c>
      <c r="H183" s="77">
        <v>35970.166666666664</v>
      </c>
      <c r="I183" s="77">
        <v>35970.208333333336</v>
      </c>
      <c r="J183" s="77">
        <v>35970.25</v>
      </c>
      <c r="K183" s="77">
        <v>35970.291666666664</v>
      </c>
      <c r="L183" s="77">
        <v>35970.333333333336</v>
      </c>
      <c r="M183" s="77">
        <v>35970.375</v>
      </c>
      <c r="N183" s="77">
        <v>35970.416666666664</v>
      </c>
      <c r="O183" s="77">
        <v>35970.458333333336</v>
      </c>
      <c r="P183" s="77">
        <v>35970.5</v>
      </c>
      <c r="Q183" s="77">
        <v>35970.541666666664</v>
      </c>
      <c r="R183" s="77">
        <v>35970.583333333336</v>
      </c>
      <c r="S183" s="77">
        <v>35970.625</v>
      </c>
      <c r="T183" s="77">
        <v>35970.666666666664</v>
      </c>
      <c r="U183" s="77">
        <v>35970.708333333336</v>
      </c>
      <c r="V183" s="77">
        <v>35970.75</v>
      </c>
      <c r="W183" s="77">
        <v>35970.791666666664</v>
      </c>
      <c r="X183" s="77">
        <v>35970.833333333336</v>
      </c>
      <c r="Y183" s="77">
        <v>35970.875</v>
      </c>
      <c r="Z183" s="77">
        <v>35970.916666666664</v>
      </c>
      <c r="AA183" s="78">
        <v>35970.958333333336</v>
      </c>
      <c r="AC183" s="12">
        <f t="shared" si="30"/>
        <v>174</v>
      </c>
      <c r="AD183" s="98">
        <v>160</v>
      </c>
    </row>
    <row r="184" spans="3:30">
      <c r="C184" s="76">
        <v>175</v>
      </c>
      <c r="D184" s="77">
        <v>35971</v>
      </c>
      <c r="E184" s="77">
        <v>35971.041666666664</v>
      </c>
      <c r="F184" s="77">
        <v>35971.083333333336</v>
      </c>
      <c r="G184" s="77">
        <v>35971.125</v>
      </c>
      <c r="H184" s="77">
        <v>35971.166666666664</v>
      </c>
      <c r="I184" s="77">
        <v>35971.208333333336</v>
      </c>
      <c r="J184" s="77">
        <v>35971.25</v>
      </c>
      <c r="K184" s="77">
        <v>35971.291666666664</v>
      </c>
      <c r="L184" s="77">
        <v>35971.333333333336</v>
      </c>
      <c r="M184" s="77">
        <v>35971.375</v>
      </c>
      <c r="N184" s="77">
        <v>35971.416666666664</v>
      </c>
      <c r="O184" s="77">
        <v>35971.458333333336</v>
      </c>
      <c r="P184" s="77">
        <v>35971.5</v>
      </c>
      <c r="Q184" s="77">
        <v>35971.541666666664</v>
      </c>
      <c r="R184" s="77">
        <v>35971.583333333336</v>
      </c>
      <c r="S184" s="77">
        <v>35971.625</v>
      </c>
      <c r="T184" s="77">
        <v>35971.666666666664</v>
      </c>
      <c r="U184" s="77">
        <v>35971.708333333336</v>
      </c>
      <c r="V184" s="77">
        <v>35971.75</v>
      </c>
      <c r="W184" s="77">
        <v>35971.791666666664</v>
      </c>
      <c r="X184" s="77">
        <v>35971.833333333336</v>
      </c>
      <c r="Y184" s="77">
        <v>35971.875</v>
      </c>
      <c r="Z184" s="77">
        <v>35971.916666666664</v>
      </c>
      <c r="AA184" s="78">
        <v>35971.958333333336</v>
      </c>
      <c r="AC184" s="12">
        <f t="shared" si="30"/>
        <v>175</v>
      </c>
      <c r="AD184" s="98">
        <v>160</v>
      </c>
    </row>
    <row r="185" spans="3:30">
      <c r="C185" s="76">
        <v>176</v>
      </c>
      <c r="D185" s="77">
        <v>35972</v>
      </c>
      <c r="E185" s="77">
        <v>35972.041666666664</v>
      </c>
      <c r="F185" s="77">
        <v>35972.083333333336</v>
      </c>
      <c r="G185" s="77">
        <v>35972.125</v>
      </c>
      <c r="H185" s="77">
        <v>35972.166666666664</v>
      </c>
      <c r="I185" s="77">
        <v>35972.208333333336</v>
      </c>
      <c r="J185" s="77">
        <v>35972.25</v>
      </c>
      <c r="K185" s="77">
        <v>35972.291666666664</v>
      </c>
      <c r="L185" s="77">
        <v>35972.333333333336</v>
      </c>
      <c r="M185" s="77">
        <v>35972.375</v>
      </c>
      <c r="N185" s="77">
        <v>35972.416666666664</v>
      </c>
      <c r="O185" s="77">
        <v>35972.458333333336</v>
      </c>
      <c r="P185" s="77">
        <v>35972.5</v>
      </c>
      <c r="Q185" s="77">
        <v>35972.541666666664</v>
      </c>
      <c r="R185" s="77">
        <v>35972.583333333336</v>
      </c>
      <c r="S185" s="77">
        <v>35972.625</v>
      </c>
      <c r="T185" s="77">
        <v>35972.666666666664</v>
      </c>
      <c r="U185" s="77">
        <v>35972.708333333336</v>
      </c>
      <c r="V185" s="77">
        <v>35972.75</v>
      </c>
      <c r="W185" s="77">
        <v>35972.791666666664</v>
      </c>
      <c r="X185" s="77">
        <v>35972.833333333336</v>
      </c>
      <c r="Y185" s="77">
        <v>35972.875</v>
      </c>
      <c r="Z185" s="77">
        <v>35972.916666666664</v>
      </c>
      <c r="AA185" s="78">
        <v>35972.958333333336</v>
      </c>
      <c r="AC185" s="12">
        <f t="shared" si="30"/>
        <v>176</v>
      </c>
      <c r="AD185" s="98">
        <v>160</v>
      </c>
    </row>
    <row r="186" spans="3:30">
      <c r="C186" s="76">
        <v>177</v>
      </c>
      <c r="D186" s="77">
        <v>35973</v>
      </c>
      <c r="E186" s="77">
        <v>35973.041666666664</v>
      </c>
      <c r="F186" s="77">
        <v>35973.083333333336</v>
      </c>
      <c r="G186" s="77">
        <v>35973.125</v>
      </c>
      <c r="H186" s="77">
        <v>35973.166666666664</v>
      </c>
      <c r="I186" s="77">
        <v>35973.208333333336</v>
      </c>
      <c r="J186" s="77">
        <v>35973.25</v>
      </c>
      <c r="K186" s="77">
        <v>35973.291666666664</v>
      </c>
      <c r="L186" s="77">
        <v>35973.333333333336</v>
      </c>
      <c r="M186" s="77">
        <v>35973.375</v>
      </c>
      <c r="N186" s="77">
        <v>35973.416666666664</v>
      </c>
      <c r="O186" s="77">
        <v>35973.458333333336</v>
      </c>
      <c r="P186" s="77">
        <v>35973.5</v>
      </c>
      <c r="Q186" s="77">
        <v>35973.541666666664</v>
      </c>
      <c r="R186" s="77">
        <v>35973.583333333336</v>
      </c>
      <c r="S186" s="77">
        <v>35973.625</v>
      </c>
      <c r="T186" s="77">
        <v>35973.666666666664</v>
      </c>
      <c r="U186" s="77">
        <v>35973.708333333336</v>
      </c>
      <c r="V186" s="77">
        <v>35973.75</v>
      </c>
      <c r="W186" s="77">
        <v>35973.791666666664</v>
      </c>
      <c r="X186" s="77">
        <v>35973.833333333336</v>
      </c>
      <c r="Y186" s="77">
        <v>35973.875</v>
      </c>
      <c r="Z186" s="77">
        <v>35973.916666666664</v>
      </c>
      <c r="AA186" s="78">
        <v>35973.958333333336</v>
      </c>
      <c r="AC186" s="12">
        <f t="shared" si="30"/>
        <v>177</v>
      </c>
      <c r="AD186" s="98">
        <v>160</v>
      </c>
    </row>
    <row r="187" spans="3:30">
      <c r="C187" s="76">
        <v>178</v>
      </c>
      <c r="D187" s="77">
        <v>35974</v>
      </c>
      <c r="E187" s="77">
        <v>35974.041666666664</v>
      </c>
      <c r="F187" s="77">
        <v>35974.083333333336</v>
      </c>
      <c r="G187" s="77">
        <v>35974.125</v>
      </c>
      <c r="H187" s="77">
        <v>35974.166666666664</v>
      </c>
      <c r="I187" s="77">
        <v>35974.208333333336</v>
      </c>
      <c r="J187" s="77">
        <v>35974.25</v>
      </c>
      <c r="K187" s="77">
        <v>35974.291666666664</v>
      </c>
      <c r="L187" s="77">
        <v>35974.333333333336</v>
      </c>
      <c r="M187" s="77">
        <v>35974.375</v>
      </c>
      <c r="N187" s="77">
        <v>35974.416666666664</v>
      </c>
      <c r="O187" s="77">
        <v>35974.458333333336</v>
      </c>
      <c r="P187" s="77">
        <v>35974.5</v>
      </c>
      <c r="Q187" s="77">
        <v>35974.541666666664</v>
      </c>
      <c r="R187" s="77">
        <v>35974.583333333336</v>
      </c>
      <c r="S187" s="77">
        <v>35974.625</v>
      </c>
      <c r="T187" s="77">
        <v>35974.666666666664</v>
      </c>
      <c r="U187" s="77">
        <v>35974.708333333336</v>
      </c>
      <c r="V187" s="77">
        <v>35974.75</v>
      </c>
      <c r="W187" s="77">
        <v>35974.791666666664</v>
      </c>
      <c r="X187" s="77">
        <v>35974.833333333336</v>
      </c>
      <c r="Y187" s="77">
        <v>35974.875</v>
      </c>
      <c r="Z187" s="77">
        <v>35974.916666666664</v>
      </c>
      <c r="AA187" s="78">
        <v>35974.958333333336</v>
      </c>
      <c r="AC187" s="12">
        <f t="shared" si="30"/>
        <v>178</v>
      </c>
      <c r="AD187" s="98">
        <v>160</v>
      </c>
    </row>
    <row r="188" spans="3:30">
      <c r="C188" s="76">
        <v>179</v>
      </c>
      <c r="D188" s="77">
        <v>35975</v>
      </c>
      <c r="E188" s="77">
        <v>35975.041666666664</v>
      </c>
      <c r="F188" s="77">
        <v>35975.083333333336</v>
      </c>
      <c r="G188" s="77">
        <v>35975.125</v>
      </c>
      <c r="H188" s="77">
        <v>35975.166666666664</v>
      </c>
      <c r="I188" s="77">
        <v>35975.208333333336</v>
      </c>
      <c r="J188" s="77">
        <v>35975.25</v>
      </c>
      <c r="K188" s="77">
        <v>35975.291666666664</v>
      </c>
      <c r="L188" s="77">
        <v>35975.333333333336</v>
      </c>
      <c r="M188" s="77">
        <v>35975.375</v>
      </c>
      <c r="N188" s="77">
        <v>35975.416666666664</v>
      </c>
      <c r="O188" s="77">
        <v>35975.458333333336</v>
      </c>
      <c r="P188" s="77">
        <v>35975.5</v>
      </c>
      <c r="Q188" s="77">
        <v>35975.541666666664</v>
      </c>
      <c r="R188" s="77">
        <v>35975.583333333336</v>
      </c>
      <c r="S188" s="77">
        <v>35975.625</v>
      </c>
      <c r="T188" s="77">
        <v>35975.666666666664</v>
      </c>
      <c r="U188" s="77">
        <v>35975.708333333336</v>
      </c>
      <c r="V188" s="77">
        <v>35975.75</v>
      </c>
      <c r="W188" s="77">
        <v>35975.791666666664</v>
      </c>
      <c r="X188" s="77">
        <v>35975.833333333336</v>
      </c>
      <c r="Y188" s="77">
        <v>35975.875</v>
      </c>
      <c r="Z188" s="77">
        <v>35975.916666666664</v>
      </c>
      <c r="AA188" s="78">
        <v>35975.958333333336</v>
      </c>
      <c r="AC188" s="12">
        <f t="shared" si="30"/>
        <v>179</v>
      </c>
      <c r="AD188" s="98">
        <v>160</v>
      </c>
    </row>
    <row r="189" spans="3:30">
      <c r="C189" s="76">
        <v>180</v>
      </c>
      <c r="D189" s="77">
        <v>35976</v>
      </c>
      <c r="E189" s="77">
        <v>35976.041666666664</v>
      </c>
      <c r="F189" s="77">
        <v>35976.083333333336</v>
      </c>
      <c r="G189" s="77">
        <v>35976.125</v>
      </c>
      <c r="H189" s="77">
        <v>35976.166666666664</v>
      </c>
      <c r="I189" s="77">
        <v>35976.208333333336</v>
      </c>
      <c r="J189" s="77">
        <v>35976.25</v>
      </c>
      <c r="K189" s="77">
        <v>35976.291666666664</v>
      </c>
      <c r="L189" s="77">
        <v>35976.333333333336</v>
      </c>
      <c r="M189" s="77">
        <v>35976.375</v>
      </c>
      <c r="N189" s="77">
        <v>35976.416666666664</v>
      </c>
      <c r="O189" s="77">
        <v>35976.458333333336</v>
      </c>
      <c r="P189" s="77">
        <v>35976.5</v>
      </c>
      <c r="Q189" s="77">
        <v>35976.541666666664</v>
      </c>
      <c r="R189" s="77">
        <v>35976.583333333336</v>
      </c>
      <c r="S189" s="77">
        <v>35976.625</v>
      </c>
      <c r="T189" s="77">
        <v>35976.666666666664</v>
      </c>
      <c r="U189" s="77">
        <v>35976.708333333336</v>
      </c>
      <c r="V189" s="77">
        <v>35976.75</v>
      </c>
      <c r="W189" s="77">
        <v>35976.791666666664</v>
      </c>
      <c r="X189" s="77">
        <v>35976.833333333336</v>
      </c>
      <c r="Y189" s="77">
        <v>35976.875</v>
      </c>
      <c r="Z189" s="77">
        <v>35976.916666666664</v>
      </c>
      <c r="AA189" s="78">
        <v>35976.958333333336</v>
      </c>
      <c r="AC189" s="12">
        <f t="shared" si="30"/>
        <v>180</v>
      </c>
      <c r="AD189" s="98">
        <v>160</v>
      </c>
    </row>
    <row r="190" spans="3:30">
      <c r="C190" s="76">
        <v>181</v>
      </c>
      <c r="D190" s="77">
        <v>35977</v>
      </c>
      <c r="E190" s="77">
        <v>35977.041666666664</v>
      </c>
      <c r="F190" s="77">
        <v>35977.083333333336</v>
      </c>
      <c r="G190" s="77">
        <v>35977.125</v>
      </c>
      <c r="H190" s="77">
        <v>35977.166666666664</v>
      </c>
      <c r="I190" s="77">
        <v>35977.208333333336</v>
      </c>
      <c r="J190" s="77">
        <v>35977.25</v>
      </c>
      <c r="K190" s="77">
        <v>35977.291666666664</v>
      </c>
      <c r="L190" s="77">
        <v>35977.333333333336</v>
      </c>
      <c r="M190" s="77">
        <v>35977.375</v>
      </c>
      <c r="N190" s="77">
        <v>35977.416666666664</v>
      </c>
      <c r="O190" s="77">
        <v>35977.458333333336</v>
      </c>
      <c r="P190" s="77">
        <v>35977.5</v>
      </c>
      <c r="Q190" s="77">
        <v>35977.541666666664</v>
      </c>
      <c r="R190" s="77">
        <v>35977.583333333336</v>
      </c>
      <c r="S190" s="77">
        <v>35977.625</v>
      </c>
      <c r="T190" s="77">
        <v>35977.666666666664</v>
      </c>
      <c r="U190" s="77">
        <v>35977.708333333336</v>
      </c>
      <c r="V190" s="77">
        <v>35977.75</v>
      </c>
      <c r="W190" s="77">
        <v>35977.791666666664</v>
      </c>
      <c r="X190" s="77">
        <v>35977.833333333336</v>
      </c>
      <c r="Y190" s="77">
        <v>35977.875</v>
      </c>
      <c r="Z190" s="77">
        <v>35977.916666666664</v>
      </c>
      <c r="AA190" s="78">
        <v>35977.958333333336</v>
      </c>
      <c r="AC190" s="12">
        <f t="shared" si="30"/>
        <v>181</v>
      </c>
      <c r="AD190" s="98">
        <v>190</v>
      </c>
    </row>
    <row r="191" spans="3:30">
      <c r="C191" s="76">
        <v>182</v>
      </c>
      <c r="D191" s="77">
        <v>35978</v>
      </c>
      <c r="E191" s="77">
        <v>35978.041666666664</v>
      </c>
      <c r="F191" s="77">
        <v>35978.083333333336</v>
      </c>
      <c r="G191" s="77">
        <v>35978.125</v>
      </c>
      <c r="H191" s="77">
        <v>35978.166666666664</v>
      </c>
      <c r="I191" s="77">
        <v>35978.208333333336</v>
      </c>
      <c r="J191" s="77">
        <v>35978.25</v>
      </c>
      <c r="K191" s="77">
        <v>35978.291666666664</v>
      </c>
      <c r="L191" s="77">
        <v>35978.333333333336</v>
      </c>
      <c r="M191" s="77">
        <v>35978.375</v>
      </c>
      <c r="N191" s="77">
        <v>35978.416666666664</v>
      </c>
      <c r="O191" s="77">
        <v>35978.458333333336</v>
      </c>
      <c r="P191" s="77">
        <v>35978.5</v>
      </c>
      <c r="Q191" s="77">
        <v>35978.541666666664</v>
      </c>
      <c r="R191" s="77">
        <v>35978.583333333336</v>
      </c>
      <c r="S191" s="77">
        <v>35978.625</v>
      </c>
      <c r="T191" s="77">
        <v>35978.666666666664</v>
      </c>
      <c r="U191" s="77">
        <v>35978.708333333336</v>
      </c>
      <c r="V191" s="77">
        <v>35978.75</v>
      </c>
      <c r="W191" s="77">
        <v>35978.791666666664</v>
      </c>
      <c r="X191" s="77">
        <v>35978.833333333336</v>
      </c>
      <c r="Y191" s="77">
        <v>35978.875</v>
      </c>
      <c r="Z191" s="77">
        <v>35978.916666666664</v>
      </c>
      <c r="AA191" s="78">
        <v>35978.958333333336</v>
      </c>
      <c r="AC191" s="12">
        <f t="shared" si="30"/>
        <v>182</v>
      </c>
      <c r="AD191" s="98">
        <v>190</v>
      </c>
    </row>
    <row r="192" spans="3:30">
      <c r="C192" s="76">
        <v>183</v>
      </c>
      <c r="D192" s="77">
        <v>35979</v>
      </c>
      <c r="E192" s="77">
        <v>35979.041666666664</v>
      </c>
      <c r="F192" s="77">
        <v>35979.083333333336</v>
      </c>
      <c r="G192" s="77">
        <v>35979.125</v>
      </c>
      <c r="H192" s="77">
        <v>35979.166666666664</v>
      </c>
      <c r="I192" s="77">
        <v>35979.208333333336</v>
      </c>
      <c r="J192" s="77">
        <v>35979.25</v>
      </c>
      <c r="K192" s="77">
        <v>35979.291666666664</v>
      </c>
      <c r="L192" s="77">
        <v>35979.333333333336</v>
      </c>
      <c r="M192" s="77">
        <v>35979.375</v>
      </c>
      <c r="N192" s="77">
        <v>35979.416666666664</v>
      </c>
      <c r="O192" s="77">
        <v>35979.458333333336</v>
      </c>
      <c r="P192" s="77">
        <v>35979.5</v>
      </c>
      <c r="Q192" s="77">
        <v>35979.541666666664</v>
      </c>
      <c r="R192" s="77">
        <v>35979.583333333336</v>
      </c>
      <c r="S192" s="77">
        <v>35979.625</v>
      </c>
      <c r="T192" s="77">
        <v>35979.666666666664</v>
      </c>
      <c r="U192" s="77">
        <v>35979.708333333336</v>
      </c>
      <c r="V192" s="77">
        <v>35979.75</v>
      </c>
      <c r="W192" s="77">
        <v>35979.791666666664</v>
      </c>
      <c r="X192" s="77">
        <v>35979.833333333336</v>
      </c>
      <c r="Y192" s="77">
        <v>35979.875</v>
      </c>
      <c r="Z192" s="77">
        <v>35979.916666666664</v>
      </c>
      <c r="AA192" s="78">
        <v>35979.958333333336</v>
      </c>
      <c r="AC192" s="12">
        <f t="shared" si="30"/>
        <v>183</v>
      </c>
      <c r="AD192" s="98">
        <v>190</v>
      </c>
    </row>
    <row r="193" spans="3:30">
      <c r="C193" s="76">
        <v>184</v>
      </c>
      <c r="D193" s="77">
        <v>35980</v>
      </c>
      <c r="E193" s="77">
        <v>35980.041666666664</v>
      </c>
      <c r="F193" s="77">
        <v>35980.083333333336</v>
      </c>
      <c r="G193" s="77">
        <v>35980.125</v>
      </c>
      <c r="H193" s="77">
        <v>35980.166666666664</v>
      </c>
      <c r="I193" s="77">
        <v>35980.208333333336</v>
      </c>
      <c r="J193" s="77">
        <v>35980.25</v>
      </c>
      <c r="K193" s="77">
        <v>35980.291666666664</v>
      </c>
      <c r="L193" s="77">
        <v>35980.333333333336</v>
      </c>
      <c r="M193" s="77">
        <v>35980.375</v>
      </c>
      <c r="N193" s="77">
        <v>35980.416666666664</v>
      </c>
      <c r="O193" s="77">
        <v>35980.458333333336</v>
      </c>
      <c r="P193" s="77">
        <v>35980.5</v>
      </c>
      <c r="Q193" s="77">
        <v>35980.541666666664</v>
      </c>
      <c r="R193" s="77">
        <v>35980.583333333336</v>
      </c>
      <c r="S193" s="77">
        <v>35980.625</v>
      </c>
      <c r="T193" s="77">
        <v>35980.666666666664</v>
      </c>
      <c r="U193" s="77">
        <v>35980.708333333336</v>
      </c>
      <c r="V193" s="77">
        <v>35980.75</v>
      </c>
      <c r="W193" s="77">
        <v>35980.791666666664</v>
      </c>
      <c r="X193" s="77">
        <v>35980.833333333336</v>
      </c>
      <c r="Y193" s="77">
        <v>35980.875</v>
      </c>
      <c r="Z193" s="77">
        <v>35980.916666666664</v>
      </c>
      <c r="AA193" s="78">
        <v>35980.958333333336</v>
      </c>
      <c r="AC193" s="12">
        <f t="shared" si="30"/>
        <v>184</v>
      </c>
      <c r="AD193" s="98">
        <v>190</v>
      </c>
    </row>
    <row r="194" spans="3:30">
      <c r="C194" s="76">
        <v>185</v>
      </c>
      <c r="D194" s="77">
        <v>35981</v>
      </c>
      <c r="E194" s="77">
        <v>35981.041666666664</v>
      </c>
      <c r="F194" s="77">
        <v>35981.083333333336</v>
      </c>
      <c r="G194" s="77">
        <v>35981.125</v>
      </c>
      <c r="H194" s="77">
        <v>35981.166666666664</v>
      </c>
      <c r="I194" s="77">
        <v>35981.208333333336</v>
      </c>
      <c r="J194" s="77">
        <v>35981.25</v>
      </c>
      <c r="K194" s="77">
        <v>35981.291666666664</v>
      </c>
      <c r="L194" s="77">
        <v>35981.333333333336</v>
      </c>
      <c r="M194" s="77">
        <v>35981.375</v>
      </c>
      <c r="N194" s="77">
        <v>35981.416666666664</v>
      </c>
      <c r="O194" s="77">
        <v>35981.458333333336</v>
      </c>
      <c r="P194" s="77">
        <v>35981.5</v>
      </c>
      <c r="Q194" s="77">
        <v>35981.541666666664</v>
      </c>
      <c r="R194" s="77">
        <v>35981.583333333336</v>
      </c>
      <c r="S194" s="77">
        <v>35981.625</v>
      </c>
      <c r="T194" s="77">
        <v>35981.666666666664</v>
      </c>
      <c r="U194" s="77">
        <v>35981.708333333336</v>
      </c>
      <c r="V194" s="77">
        <v>35981.75</v>
      </c>
      <c r="W194" s="77">
        <v>35981.791666666664</v>
      </c>
      <c r="X194" s="77">
        <v>35981.833333333336</v>
      </c>
      <c r="Y194" s="77">
        <v>35981.875</v>
      </c>
      <c r="Z194" s="77">
        <v>35981.916666666664</v>
      </c>
      <c r="AA194" s="78">
        <v>35981.958333333336</v>
      </c>
      <c r="AC194" s="12">
        <f t="shared" si="30"/>
        <v>185</v>
      </c>
      <c r="AD194" s="98">
        <v>190</v>
      </c>
    </row>
    <row r="195" spans="3:30">
      <c r="C195" s="76">
        <v>186</v>
      </c>
      <c r="D195" s="77">
        <v>35982</v>
      </c>
      <c r="E195" s="77">
        <v>35982.041666666664</v>
      </c>
      <c r="F195" s="77">
        <v>35982.083333333336</v>
      </c>
      <c r="G195" s="77">
        <v>35982.125</v>
      </c>
      <c r="H195" s="77">
        <v>35982.166666666664</v>
      </c>
      <c r="I195" s="77">
        <v>35982.208333333336</v>
      </c>
      <c r="J195" s="77">
        <v>35982.25</v>
      </c>
      <c r="K195" s="77">
        <v>35982.291666666664</v>
      </c>
      <c r="L195" s="77">
        <v>35982.333333333336</v>
      </c>
      <c r="M195" s="77">
        <v>35982.375</v>
      </c>
      <c r="N195" s="77">
        <v>35982.416666666664</v>
      </c>
      <c r="O195" s="77">
        <v>35982.458333333336</v>
      </c>
      <c r="P195" s="77">
        <v>35982.5</v>
      </c>
      <c r="Q195" s="77">
        <v>35982.541666666664</v>
      </c>
      <c r="R195" s="77">
        <v>35982.583333333336</v>
      </c>
      <c r="S195" s="77">
        <v>35982.625</v>
      </c>
      <c r="T195" s="77">
        <v>35982.666666666664</v>
      </c>
      <c r="U195" s="77">
        <v>35982.708333333336</v>
      </c>
      <c r="V195" s="77">
        <v>35982.75</v>
      </c>
      <c r="W195" s="77">
        <v>35982.791666666664</v>
      </c>
      <c r="X195" s="77">
        <v>35982.833333333336</v>
      </c>
      <c r="Y195" s="77">
        <v>35982.875</v>
      </c>
      <c r="Z195" s="77">
        <v>35982.916666666664</v>
      </c>
      <c r="AA195" s="78">
        <v>35982.958333333336</v>
      </c>
      <c r="AC195" s="12">
        <f t="shared" si="30"/>
        <v>186</v>
      </c>
      <c r="AD195" s="98">
        <v>190</v>
      </c>
    </row>
    <row r="196" spans="3:30">
      <c r="C196" s="76">
        <v>187</v>
      </c>
      <c r="D196" s="77">
        <v>35983</v>
      </c>
      <c r="E196" s="77">
        <v>35983.041666666664</v>
      </c>
      <c r="F196" s="77">
        <v>35983.083333333336</v>
      </c>
      <c r="G196" s="77">
        <v>35983.125</v>
      </c>
      <c r="H196" s="77">
        <v>35983.166666666664</v>
      </c>
      <c r="I196" s="77">
        <v>35983.208333333336</v>
      </c>
      <c r="J196" s="77">
        <v>35983.25</v>
      </c>
      <c r="K196" s="77">
        <v>35983.291666666664</v>
      </c>
      <c r="L196" s="77">
        <v>35983.333333333336</v>
      </c>
      <c r="M196" s="77">
        <v>35983.375</v>
      </c>
      <c r="N196" s="77">
        <v>35983.416666666664</v>
      </c>
      <c r="O196" s="77">
        <v>35983.458333333336</v>
      </c>
      <c r="P196" s="77">
        <v>35983.5</v>
      </c>
      <c r="Q196" s="77">
        <v>35983.541666666664</v>
      </c>
      <c r="R196" s="77">
        <v>35983.583333333336</v>
      </c>
      <c r="S196" s="77">
        <v>35983.625</v>
      </c>
      <c r="T196" s="77">
        <v>35983.666666666664</v>
      </c>
      <c r="U196" s="77">
        <v>35983.708333333336</v>
      </c>
      <c r="V196" s="77">
        <v>35983.75</v>
      </c>
      <c r="W196" s="77">
        <v>35983.791666666664</v>
      </c>
      <c r="X196" s="77">
        <v>35983.833333333336</v>
      </c>
      <c r="Y196" s="77">
        <v>35983.875</v>
      </c>
      <c r="Z196" s="77">
        <v>35983.916666666664</v>
      </c>
      <c r="AA196" s="78">
        <v>35983.958333333336</v>
      </c>
      <c r="AC196" s="12">
        <f t="shared" si="30"/>
        <v>187</v>
      </c>
      <c r="AD196" s="98">
        <v>190</v>
      </c>
    </row>
    <row r="197" spans="3:30">
      <c r="C197" s="76">
        <v>188</v>
      </c>
      <c r="D197" s="77">
        <v>35984</v>
      </c>
      <c r="E197" s="77">
        <v>35984.041666666664</v>
      </c>
      <c r="F197" s="77">
        <v>35984.083333333336</v>
      </c>
      <c r="G197" s="77">
        <v>35984.125</v>
      </c>
      <c r="H197" s="77">
        <v>35984.166666666664</v>
      </c>
      <c r="I197" s="77">
        <v>35984.208333333336</v>
      </c>
      <c r="J197" s="77">
        <v>35984.25</v>
      </c>
      <c r="K197" s="77">
        <v>35984.291666666664</v>
      </c>
      <c r="L197" s="77">
        <v>35984.333333333336</v>
      </c>
      <c r="M197" s="77">
        <v>35984.375</v>
      </c>
      <c r="N197" s="77">
        <v>35984.416666666664</v>
      </c>
      <c r="O197" s="77">
        <v>35984.458333333336</v>
      </c>
      <c r="P197" s="77">
        <v>35984.5</v>
      </c>
      <c r="Q197" s="77">
        <v>35984.541666666664</v>
      </c>
      <c r="R197" s="77">
        <v>35984.583333333336</v>
      </c>
      <c r="S197" s="77">
        <v>35984.625</v>
      </c>
      <c r="T197" s="77">
        <v>35984.666666666664</v>
      </c>
      <c r="U197" s="77">
        <v>35984.708333333336</v>
      </c>
      <c r="V197" s="77">
        <v>35984.75</v>
      </c>
      <c r="W197" s="77">
        <v>35984.791666666664</v>
      </c>
      <c r="X197" s="77">
        <v>35984.833333333336</v>
      </c>
      <c r="Y197" s="77">
        <v>35984.875</v>
      </c>
      <c r="Z197" s="77">
        <v>35984.916666666664</v>
      </c>
      <c r="AA197" s="78">
        <v>35984.958333333336</v>
      </c>
      <c r="AC197" s="12">
        <f t="shared" si="30"/>
        <v>188</v>
      </c>
      <c r="AD197" s="98">
        <v>190</v>
      </c>
    </row>
    <row r="198" spans="3:30">
      <c r="C198" s="76">
        <v>189</v>
      </c>
      <c r="D198" s="77">
        <v>35985</v>
      </c>
      <c r="E198" s="77">
        <v>35985.041666666664</v>
      </c>
      <c r="F198" s="77">
        <v>35985.083333333336</v>
      </c>
      <c r="G198" s="77">
        <v>35985.125</v>
      </c>
      <c r="H198" s="77">
        <v>35985.166666666664</v>
      </c>
      <c r="I198" s="77">
        <v>35985.208333333336</v>
      </c>
      <c r="J198" s="77">
        <v>35985.25</v>
      </c>
      <c r="K198" s="77">
        <v>35985.291666666664</v>
      </c>
      <c r="L198" s="77">
        <v>35985.333333333336</v>
      </c>
      <c r="M198" s="77">
        <v>35985.375</v>
      </c>
      <c r="N198" s="77">
        <v>35985.416666666664</v>
      </c>
      <c r="O198" s="77">
        <v>35985.458333333336</v>
      </c>
      <c r="P198" s="77">
        <v>35985.5</v>
      </c>
      <c r="Q198" s="77">
        <v>35985.541666666664</v>
      </c>
      <c r="R198" s="77">
        <v>35985.583333333336</v>
      </c>
      <c r="S198" s="77">
        <v>35985.625</v>
      </c>
      <c r="T198" s="77">
        <v>35985.666666666664</v>
      </c>
      <c r="U198" s="77">
        <v>35985.708333333336</v>
      </c>
      <c r="V198" s="77">
        <v>35985.75</v>
      </c>
      <c r="W198" s="77">
        <v>35985.791666666664</v>
      </c>
      <c r="X198" s="77">
        <v>35985.833333333336</v>
      </c>
      <c r="Y198" s="77">
        <v>35985.875</v>
      </c>
      <c r="Z198" s="77">
        <v>35985.916666666664</v>
      </c>
      <c r="AA198" s="78">
        <v>35985.958333333336</v>
      </c>
      <c r="AC198" s="12">
        <f t="shared" si="30"/>
        <v>189</v>
      </c>
      <c r="AD198" s="98">
        <v>190</v>
      </c>
    </row>
    <row r="199" spans="3:30">
      <c r="C199" s="76">
        <v>190</v>
      </c>
      <c r="D199" s="77">
        <v>35986</v>
      </c>
      <c r="E199" s="77">
        <v>35986.041666666664</v>
      </c>
      <c r="F199" s="77">
        <v>35986.083333333336</v>
      </c>
      <c r="G199" s="77">
        <v>35986.125</v>
      </c>
      <c r="H199" s="77">
        <v>35986.166666666664</v>
      </c>
      <c r="I199" s="77">
        <v>35986.208333333336</v>
      </c>
      <c r="J199" s="77">
        <v>35986.25</v>
      </c>
      <c r="K199" s="77">
        <v>35986.291666666664</v>
      </c>
      <c r="L199" s="77">
        <v>35986.333333333336</v>
      </c>
      <c r="M199" s="77">
        <v>35986.375</v>
      </c>
      <c r="N199" s="77">
        <v>35986.416666666664</v>
      </c>
      <c r="O199" s="77">
        <v>35986.458333333336</v>
      </c>
      <c r="P199" s="77">
        <v>35986.5</v>
      </c>
      <c r="Q199" s="77">
        <v>35986.541666666664</v>
      </c>
      <c r="R199" s="77">
        <v>35986.583333333336</v>
      </c>
      <c r="S199" s="77">
        <v>35986.625</v>
      </c>
      <c r="T199" s="77">
        <v>35986.666666666664</v>
      </c>
      <c r="U199" s="77">
        <v>35986.708333333336</v>
      </c>
      <c r="V199" s="77">
        <v>35986.75</v>
      </c>
      <c r="W199" s="77">
        <v>35986.791666666664</v>
      </c>
      <c r="X199" s="77">
        <v>35986.833333333336</v>
      </c>
      <c r="Y199" s="77">
        <v>35986.875</v>
      </c>
      <c r="Z199" s="77">
        <v>35986.916666666664</v>
      </c>
      <c r="AA199" s="78">
        <v>35986.958333333336</v>
      </c>
      <c r="AC199" s="12">
        <f t="shared" si="30"/>
        <v>190</v>
      </c>
      <c r="AD199" s="98">
        <v>190</v>
      </c>
    </row>
    <row r="200" spans="3:30">
      <c r="C200" s="76">
        <v>191</v>
      </c>
      <c r="D200" s="77">
        <v>35987</v>
      </c>
      <c r="E200" s="77">
        <v>35987.041666666664</v>
      </c>
      <c r="F200" s="77">
        <v>35987.083333333336</v>
      </c>
      <c r="G200" s="77">
        <v>35987.125</v>
      </c>
      <c r="H200" s="77">
        <v>35987.166666666664</v>
      </c>
      <c r="I200" s="77">
        <v>35987.208333333336</v>
      </c>
      <c r="J200" s="77">
        <v>35987.25</v>
      </c>
      <c r="K200" s="77">
        <v>35987.291666666664</v>
      </c>
      <c r="L200" s="77">
        <v>35987.333333333336</v>
      </c>
      <c r="M200" s="77">
        <v>35987.375</v>
      </c>
      <c r="N200" s="77">
        <v>35987.416666666664</v>
      </c>
      <c r="O200" s="77">
        <v>35987.458333333336</v>
      </c>
      <c r="P200" s="77">
        <v>35987.5</v>
      </c>
      <c r="Q200" s="77">
        <v>35987.541666666664</v>
      </c>
      <c r="R200" s="77">
        <v>35987.583333333336</v>
      </c>
      <c r="S200" s="77">
        <v>35987.625</v>
      </c>
      <c r="T200" s="77">
        <v>35987.666666666664</v>
      </c>
      <c r="U200" s="77">
        <v>35987.708333333336</v>
      </c>
      <c r="V200" s="77">
        <v>35987.75</v>
      </c>
      <c r="W200" s="77">
        <v>35987.791666666664</v>
      </c>
      <c r="X200" s="77">
        <v>35987.833333333336</v>
      </c>
      <c r="Y200" s="77">
        <v>35987.875</v>
      </c>
      <c r="Z200" s="77">
        <v>35987.916666666664</v>
      </c>
      <c r="AA200" s="78">
        <v>35987.958333333336</v>
      </c>
      <c r="AC200" s="12">
        <f t="shared" si="30"/>
        <v>191</v>
      </c>
      <c r="AD200" s="98">
        <v>190</v>
      </c>
    </row>
    <row r="201" spans="3:30">
      <c r="C201" s="76">
        <v>192</v>
      </c>
      <c r="D201" s="77">
        <v>35988</v>
      </c>
      <c r="E201" s="77">
        <v>35988.041666666664</v>
      </c>
      <c r="F201" s="77">
        <v>35988.083333333336</v>
      </c>
      <c r="G201" s="77">
        <v>35988.125</v>
      </c>
      <c r="H201" s="77">
        <v>35988.166666666664</v>
      </c>
      <c r="I201" s="77">
        <v>35988.208333333336</v>
      </c>
      <c r="J201" s="77">
        <v>35988.25</v>
      </c>
      <c r="K201" s="77">
        <v>35988.291666666664</v>
      </c>
      <c r="L201" s="77">
        <v>35988.333333333336</v>
      </c>
      <c r="M201" s="77">
        <v>35988.375</v>
      </c>
      <c r="N201" s="77">
        <v>35988.416666666664</v>
      </c>
      <c r="O201" s="77">
        <v>35988.458333333336</v>
      </c>
      <c r="P201" s="77">
        <v>35988.5</v>
      </c>
      <c r="Q201" s="77">
        <v>35988.541666666664</v>
      </c>
      <c r="R201" s="77">
        <v>35988.583333333336</v>
      </c>
      <c r="S201" s="77">
        <v>35988.625</v>
      </c>
      <c r="T201" s="77">
        <v>35988.666666666664</v>
      </c>
      <c r="U201" s="77">
        <v>35988.708333333336</v>
      </c>
      <c r="V201" s="77">
        <v>35988.75</v>
      </c>
      <c r="W201" s="77">
        <v>35988.791666666664</v>
      </c>
      <c r="X201" s="77">
        <v>35988.833333333336</v>
      </c>
      <c r="Y201" s="77">
        <v>35988.875</v>
      </c>
      <c r="Z201" s="77">
        <v>35988.916666666664</v>
      </c>
      <c r="AA201" s="78">
        <v>35988.958333333336</v>
      </c>
      <c r="AC201" s="12">
        <f t="shared" ref="AC201:AC264" si="31">C201</f>
        <v>192</v>
      </c>
      <c r="AD201" s="98">
        <v>190</v>
      </c>
    </row>
    <row r="202" spans="3:30">
      <c r="C202" s="76">
        <v>193</v>
      </c>
      <c r="D202" s="77">
        <v>35989</v>
      </c>
      <c r="E202" s="77">
        <v>35989.041666666664</v>
      </c>
      <c r="F202" s="77">
        <v>35989.083333333336</v>
      </c>
      <c r="G202" s="77">
        <v>35989.125</v>
      </c>
      <c r="H202" s="77">
        <v>35989.166666666664</v>
      </c>
      <c r="I202" s="77">
        <v>35989.208333333336</v>
      </c>
      <c r="J202" s="77">
        <v>35989.25</v>
      </c>
      <c r="K202" s="77">
        <v>35989.291666666664</v>
      </c>
      <c r="L202" s="77">
        <v>35989.333333333336</v>
      </c>
      <c r="M202" s="77">
        <v>35989.375</v>
      </c>
      <c r="N202" s="77">
        <v>35989.416666666664</v>
      </c>
      <c r="O202" s="77">
        <v>35989.458333333336</v>
      </c>
      <c r="P202" s="77">
        <v>35989.5</v>
      </c>
      <c r="Q202" s="77">
        <v>35989.541666666664</v>
      </c>
      <c r="R202" s="77">
        <v>35989.583333333336</v>
      </c>
      <c r="S202" s="77">
        <v>35989.625</v>
      </c>
      <c r="T202" s="77">
        <v>35989.666666666664</v>
      </c>
      <c r="U202" s="77">
        <v>35989.708333333336</v>
      </c>
      <c r="V202" s="77">
        <v>35989.75</v>
      </c>
      <c r="W202" s="77">
        <v>35989.791666666664</v>
      </c>
      <c r="X202" s="77">
        <v>35989.833333333336</v>
      </c>
      <c r="Y202" s="77">
        <v>35989.875</v>
      </c>
      <c r="Z202" s="77">
        <v>35989.916666666664</v>
      </c>
      <c r="AA202" s="78">
        <v>35989.958333333336</v>
      </c>
      <c r="AC202" s="12">
        <f t="shared" si="31"/>
        <v>193</v>
      </c>
      <c r="AD202" s="98">
        <v>190</v>
      </c>
    </row>
    <row r="203" spans="3:30">
      <c r="C203" s="76">
        <v>194</v>
      </c>
      <c r="D203" s="77">
        <v>35990</v>
      </c>
      <c r="E203" s="77">
        <v>35990.041666666664</v>
      </c>
      <c r="F203" s="77">
        <v>35990.083333333336</v>
      </c>
      <c r="G203" s="77">
        <v>35990.125</v>
      </c>
      <c r="H203" s="77">
        <v>35990.166666666664</v>
      </c>
      <c r="I203" s="77">
        <v>35990.208333333336</v>
      </c>
      <c r="J203" s="77">
        <v>35990.25</v>
      </c>
      <c r="K203" s="77">
        <v>35990.291666666664</v>
      </c>
      <c r="L203" s="77">
        <v>35990.333333333336</v>
      </c>
      <c r="M203" s="77">
        <v>35990.375</v>
      </c>
      <c r="N203" s="77">
        <v>35990.416666666664</v>
      </c>
      <c r="O203" s="77">
        <v>35990.458333333336</v>
      </c>
      <c r="P203" s="77">
        <v>35990.5</v>
      </c>
      <c r="Q203" s="77">
        <v>35990.541666666664</v>
      </c>
      <c r="R203" s="77">
        <v>35990.583333333336</v>
      </c>
      <c r="S203" s="77">
        <v>35990.625</v>
      </c>
      <c r="T203" s="77">
        <v>35990.666666666664</v>
      </c>
      <c r="U203" s="77">
        <v>35990.708333333336</v>
      </c>
      <c r="V203" s="77">
        <v>35990.75</v>
      </c>
      <c r="W203" s="77">
        <v>35990.791666666664</v>
      </c>
      <c r="X203" s="77">
        <v>35990.833333333336</v>
      </c>
      <c r="Y203" s="77">
        <v>35990.875</v>
      </c>
      <c r="Z203" s="77">
        <v>35990.916666666664</v>
      </c>
      <c r="AA203" s="78">
        <v>35990.958333333336</v>
      </c>
      <c r="AC203" s="12">
        <f t="shared" si="31"/>
        <v>194</v>
      </c>
      <c r="AD203" s="98">
        <v>190</v>
      </c>
    </row>
    <row r="204" spans="3:30">
      <c r="C204" s="76">
        <v>195</v>
      </c>
      <c r="D204" s="77">
        <v>35991</v>
      </c>
      <c r="E204" s="77">
        <v>35991.041666666664</v>
      </c>
      <c r="F204" s="77">
        <v>35991.083333333336</v>
      </c>
      <c r="G204" s="77">
        <v>35991.125</v>
      </c>
      <c r="H204" s="77">
        <v>35991.166666666664</v>
      </c>
      <c r="I204" s="77">
        <v>35991.208333333336</v>
      </c>
      <c r="J204" s="77">
        <v>35991.25</v>
      </c>
      <c r="K204" s="77">
        <v>35991.291666666664</v>
      </c>
      <c r="L204" s="77">
        <v>35991.333333333336</v>
      </c>
      <c r="M204" s="77">
        <v>35991.375</v>
      </c>
      <c r="N204" s="77">
        <v>35991.416666666664</v>
      </c>
      <c r="O204" s="77">
        <v>35991.458333333336</v>
      </c>
      <c r="P204" s="77">
        <v>35991.5</v>
      </c>
      <c r="Q204" s="77">
        <v>35991.541666666664</v>
      </c>
      <c r="R204" s="77">
        <v>35991.583333333336</v>
      </c>
      <c r="S204" s="77">
        <v>35991.625</v>
      </c>
      <c r="T204" s="77">
        <v>35991.666666666664</v>
      </c>
      <c r="U204" s="77">
        <v>35991.708333333336</v>
      </c>
      <c r="V204" s="77">
        <v>35991.75</v>
      </c>
      <c r="W204" s="77">
        <v>35991.791666666664</v>
      </c>
      <c r="X204" s="77">
        <v>35991.833333333336</v>
      </c>
      <c r="Y204" s="77">
        <v>35991.875</v>
      </c>
      <c r="Z204" s="77">
        <v>35991.916666666664</v>
      </c>
      <c r="AA204" s="78">
        <v>35991.958333333336</v>
      </c>
      <c r="AC204" s="12">
        <f t="shared" si="31"/>
        <v>195</v>
      </c>
      <c r="AD204" s="98">
        <v>190</v>
      </c>
    </row>
    <row r="205" spans="3:30">
      <c r="C205" s="76">
        <v>196</v>
      </c>
      <c r="D205" s="77">
        <v>35992</v>
      </c>
      <c r="E205" s="77">
        <v>35992.041666666664</v>
      </c>
      <c r="F205" s="77">
        <v>35992.083333333336</v>
      </c>
      <c r="G205" s="77">
        <v>35992.125</v>
      </c>
      <c r="H205" s="77">
        <v>35992.166666666664</v>
      </c>
      <c r="I205" s="77">
        <v>35992.208333333336</v>
      </c>
      <c r="J205" s="77">
        <v>35992.25</v>
      </c>
      <c r="K205" s="77">
        <v>35992.291666666664</v>
      </c>
      <c r="L205" s="77">
        <v>35992.333333333336</v>
      </c>
      <c r="M205" s="77">
        <v>35992.375</v>
      </c>
      <c r="N205" s="77">
        <v>35992.416666666664</v>
      </c>
      <c r="O205" s="77">
        <v>35992.458333333336</v>
      </c>
      <c r="P205" s="77">
        <v>35992.5</v>
      </c>
      <c r="Q205" s="77">
        <v>35992.541666666664</v>
      </c>
      <c r="R205" s="77">
        <v>35992.583333333336</v>
      </c>
      <c r="S205" s="77">
        <v>35992.625</v>
      </c>
      <c r="T205" s="77">
        <v>35992.666666666664</v>
      </c>
      <c r="U205" s="77">
        <v>35992.708333333336</v>
      </c>
      <c r="V205" s="77">
        <v>35992.75</v>
      </c>
      <c r="W205" s="77">
        <v>35992.791666666664</v>
      </c>
      <c r="X205" s="77">
        <v>35992.833333333336</v>
      </c>
      <c r="Y205" s="77">
        <v>35992.875</v>
      </c>
      <c r="Z205" s="77">
        <v>35992.916666666664</v>
      </c>
      <c r="AA205" s="78">
        <v>35992.958333333336</v>
      </c>
      <c r="AC205" s="12">
        <f t="shared" si="31"/>
        <v>196</v>
      </c>
      <c r="AD205" s="98">
        <v>190</v>
      </c>
    </row>
    <row r="206" spans="3:30">
      <c r="C206" s="76">
        <v>197</v>
      </c>
      <c r="D206" s="77">
        <v>35993</v>
      </c>
      <c r="E206" s="77">
        <v>35993.041666666664</v>
      </c>
      <c r="F206" s="77">
        <v>35993.083333333336</v>
      </c>
      <c r="G206" s="77">
        <v>35993.125</v>
      </c>
      <c r="H206" s="77">
        <v>35993.166666666664</v>
      </c>
      <c r="I206" s="77">
        <v>35993.208333333336</v>
      </c>
      <c r="J206" s="77">
        <v>35993.25</v>
      </c>
      <c r="K206" s="77">
        <v>35993.291666666664</v>
      </c>
      <c r="L206" s="77">
        <v>35993.333333333336</v>
      </c>
      <c r="M206" s="77">
        <v>35993.375</v>
      </c>
      <c r="N206" s="77">
        <v>35993.416666666664</v>
      </c>
      <c r="O206" s="77">
        <v>35993.458333333336</v>
      </c>
      <c r="P206" s="77">
        <v>35993.5</v>
      </c>
      <c r="Q206" s="77">
        <v>35993.541666666664</v>
      </c>
      <c r="R206" s="77">
        <v>35993.583333333336</v>
      </c>
      <c r="S206" s="77">
        <v>35993.625</v>
      </c>
      <c r="T206" s="77">
        <v>35993.666666666664</v>
      </c>
      <c r="U206" s="77">
        <v>35993.708333333336</v>
      </c>
      <c r="V206" s="77">
        <v>35993.75</v>
      </c>
      <c r="W206" s="77">
        <v>35993.791666666664</v>
      </c>
      <c r="X206" s="77">
        <v>35993.833333333336</v>
      </c>
      <c r="Y206" s="77">
        <v>35993.875</v>
      </c>
      <c r="Z206" s="77">
        <v>35993.916666666664</v>
      </c>
      <c r="AA206" s="78">
        <v>35993.958333333336</v>
      </c>
      <c r="AC206" s="12">
        <f t="shared" si="31"/>
        <v>197</v>
      </c>
      <c r="AD206" s="98">
        <v>190</v>
      </c>
    </row>
    <row r="207" spans="3:30">
      <c r="C207" s="76">
        <v>198</v>
      </c>
      <c r="D207" s="77">
        <v>35994</v>
      </c>
      <c r="E207" s="77">
        <v>35994.041666666664</v>
      </c>
      <c r="F207" s="77">
        <v>35994.083333333336</v>
      </c>
      <c r="G207" s="77">
        <v>35994.125</v>
      </c>
      <c r="H207" s="77">
        <v>35994.166666666664</v>
      </c>
      <c r="I207" s="77">
        <v>35994.208333333336</v>
      </c>
      <c r="J207" s="77">
        <v>35994.25</v>
      </c>
      <c r="K207" s="77">
        <v>35994.291666666664</v>
      </c>
      <c r="L207" s="77">
        <v>35994.333333333336</v>
      </c>
      <c r="M207" s="77">
        <v>35994.375</v>
      </c>
      <c r="N207" s="77">
        <v>35994.416666666664</v>
      </c>
      <c r="O207" s="77">
        <v>35994.458333333336</v>
      </c>
      <c r="P207" s="77">
        <v>35994.5</v>
      </c>
      <c r="Q207" s="77">
        <v>35994.541666666664</v>
      </c>
      <c r="R207" s="77">
        <v>35994.583333333336</v>
      </c>
      <c r="S207" s="77">
        <v>35994.625</v>
      </c>
      <c r="T207" s="77">
        <v>35994.666666666664</v>
      </c>
      <c r="U207" s="77">
        <v>35994.708333333336</v>
      </c>
      <c r="V207" s="77">
        <v>35994.75</v>
      </c>
      <c r="W207" s="77">
        <v>35994.791666666664</v>
      </c>
      <c r="X207" s="77">
        <v>35994.833333333336</v>
      </c>
      <c r="Y207" s="77">
        <v>35994.875</v>
      </c>
      <c r="Z207" s="77">
        <v>35994.916666666664</v>
      </c>
      <c r="AA207" s="78">
        <v>35994.958333333336</v>
      </c>
      <c r="AC207" s="12">
        <f t="shared" si="31"/>
        <v>198</v>
      </c>
      <c r="AD207" s="98">
        <v>190</v>
      </c>
    </row>
    <row r="208" spans="3:30">
      <c r="C208" s="76">
        <v>199</v>
      </c>
      <c r="D208" s="77">
        <v>35995</v>
      </c>
      <c r="E208" s="77">
        <v>35995.041666666664</v>
      </c>
      <c r="F208" s="77">
        <v>35995.083333333336</v>
      </c>
      <c r="G208" s="77">
        <v>35995.125</v>
      </c>
      <c r="H208" s="77">
        <v>35995.166666666664</v>
      </c>
      <c r="I208" s="77">
        <v>35995.208333333336</v>
      </c>
      <c r="J208" s="77">
        <v>35995.25</v>
      </c>
      <c r="K208" s="77">
        <v>35995.291666666664</v>
      </c>
      <c r="L208" s="77">
        <v>35995.333333333336</v>
      </c>
      <c r="M208" s="77">
        <v>35995.375</v>
      </c>
      <c r="N208" s="77">
        <v>35995.416666666664</v>
      </c>
      <c r="O208" s="77">
        <v>35995.458333333336</v>
      </c>
      <c r="P208" s="77">
        <v>35995.5</v>
      </c>
      <c r="Q208" s="77">
        <v>35995.541666666664</v>
      </c>
      <c r="R208" s="77">
        <v>35995.583333333336</v>
      </c>
      <c r="S208" s="77">
        <v>35995.625</v>
      </c>
      <c r="T208" s="77">
        <v>35995.666666666664</v>
      </c>
      <c r="U208" s="77">
        <v>35995.708333333336</v>
      </c>
      <c r="V208" s="77">
        <v>35995.75</v>
      </c>
      <c r="W208" s="77">
        <v>35995.791666666664</v>
      </c>
      <c r="X208" s="77">
        <v>35995.833333333336</v>
      </c>
      <c r="Y208" s="77">
        <v>35995.875</v>
      </c>
      <c r="Z208" s="77">
        <v>35995.916666666664</v>
      </c>
      <c r="AA208" s="78">
        <v>35995.958333333336</v>
      </c>
      <c r="AC208" s="12">
        <f t="shared" si="31"/>
        <v>199</v>
      </c>
      <c r="AD208" s="98">
        <v>190</v>
      </c>
    </row>
    <row r="209" spans="3:30">
      <c r="C209" s="76">
        <v>200</v>
      </c>
      <c r="D209" s="77">
        <v>35996</v>
      </c>
      <c r="E209" s="77">
        <v>35996.041666666664</v>
      </c>
      <c r="F209" s="77">
        <v>35996.083333333336</v>
      </c>
      <c r="G209" s="77">
        <v>35996.125</v>
      </c>
      <c r="H209" s="77">
        <v>35996.166666666664</v>
      </c>
      <c r="I209" s="77">
        <v>35996.208333333336</v>
      </c>
      <c r="J209" s="77">
        <v>35996.25</v>
      </c>
      <c r="K209" s="77">
        <v>35996.291666666664</v>
      </c>
      <c r="L209" s="77">
        <v>35996.333333333336</v>
      </c>
      <c r="M209" s="77">
        <v>35996.375</v>
      </c>
      <c r="N209" s="77">
        <v>35996.416666666664</v>
      </c>
      <c r="O209" s="77">
        <v>35996.458333333336</v>
      </c>
      <c r="P209" s="77">
        <v>35996.5</v>
      </c>
      <c r="Q209" s="77">
        <v>35996.541666666664</v>
      </c>
      <c r="R209" s="77">
        <v>35996.583333333336</v>
      </c>
      <c r="S209" s="77">
        <v>35996.625</v>
      </c>
      <c r="T209" s="77">
        <v>35996.666666666664</v>
      </c>
      <c r="U209" s="77">
        <v>35996.708333333336</v>
      </c>
      <c r="V209" s="77">
        <v>35996.75</v>
      </c>
      <c r="W209" s="77">
        <v>35996.791666666664</v>
      </c>
      <c r="X209" s="77">
        <v>35996.833333333336</v>
      </c>
      <c r="Y209" s="77">
        <v>35996.875</v>
      </c>
      <c r="Z209" s="77">
        <v>35996.916666666664</v>
      </c>
      <c r="AA209" s="78">
        <v>35996.958333333336</v>
      </c>
      <c r="AC209" s="12">
        <f t="shared" si="31"/>
        <v>200</v>
      </c>
      <c r="AD209" s="98">
        <v>190</v>
      </c>
    </row>
    <row r="210" spans="3:30">
      <c r="C210" s="76">
        <v>201</v>
      </c>
      <c r="D210" s="77">
        <v>35997</v>
      </c>
      <c r="E210" s="77">
        <v>35997.041666666664</v>
      </c>
      <c r="F210" s="77">
        <v>35997.083333333336</v>
      </c>
      <c r="G210" s="77">
        <v>35997.125</v>
      </c>
      <c r="H210" s="77">
        <v>35997.166666666664</v>
      </c>
      <c r="I210" s="77">
        <v>35997.208333333336</v>
      </c>
      <c r="J210" s="77">
        <v>35997.25</v>
      </c>
      <c r="K210" s="77">
        <v>35997.291666666664</v>
      </c>
      <c r="L210" s="77">
        <v>35997.333333333336</v>
      </c>
      <c r="M210" s="77">
        <v>35997.375</v>
      </c>
      <c r="N210" s="77">
        <v>35997.416666666664</v>
      </c>
      <c r="O210" s="77">
        <v>35997.458333333336</v>
      </c>
      <c r="P210" s="77">
        <v>35997.5</v>
      </c>
      <c r="Q210" s="77">
        <v>35997.541666666664</v>
      </c>
      <c r="R210" s="77">
        <v>35997.583333333336</v>
      </c>
      <c r="S210" s="77">
        <v>35997.625</v>
      </c>
      <c r="T210" s="77">
        <v>35997.666666666664</v>
      </c>
      <c r="U210" s="77">
        <v>35997.708333333336</v>
      </c>
      <c r="V210" s="77">
        <v>35997.75</v>
      </c>
      <c r="W210" s="77">
        <v>35997.791666666664</v>
      </c>
      <c r="X210" s="77">
        <v>35997.833333333336</v>
      </c>
      <c r="Y210" s="77">
        <v>35997.875</v>
      </c>
      <c r="Z210" s="77">
        <v>35997.916666666664</v>
      </c>
      <c r="AA210" s="78">
        <v>35997.958333333336</v>
      </c>
      <c r="AC210" s="12">
        <f t="shared" si="31"/>
        <v>201</v>
      </c>
      <c r="AD210" s="98">
        <v>190</v>
      </c>
    </row>
    <row r="211" spans="3:30">
      <c r="C211" s="76">
        <v>202</v>
      </c>
      <c r="D211" s="77">
        <v>35998</v>
      </c>
      <c r="E211" s="77">
        <v>35998.041666666664</v>
      </c>
      <c r="F211" s="77">
        <v>35998.083333333336</v>
      </c>
      <c r="G211" s="77">
        <v>35998.125</v>
      </c>
      <c r="H211" s="77">
        <v>35998.166666666664</v>
      </c>
      <c r="I211" s="77">
        <v>35998.208333333336</v>
      </c>
      <c r="J211" s="77">
        <v>35998.25</v>
      </c>
      <c r="K211" s="77">
        <v>35998.291666666664</v>
      </c>
      <c r="L211" s="77">
        <v>35998.333333333336</v>
      </c>
      <c r="M211" s="77">
        <v>35998.375</v>
      </c>
      <c r="N211" s="77">
        <v>35998.416666666664</v>
      </c>
      <c r="O211" s="77">
        <v>35998.458333333336</v>
      </c>
      <c r="P211" s="77">
        <v>35998.5</v>
      </c>
      <c r="Q211" s="77">
        <v>35998.541666666664</v>
      </c>
      <c r="R211" s="77">
        <v>35998.583333333336</v>
      </c>
      <c r="S211" s="77">
        <v>35998.625</v>
      </c>
      <c r="T211" s="77">
        <v>35998.666666666664</v>
      </c>
      <c r="U211" s="77">
        <v>35998.708333333336</v>
      </c>
      <c r="V211" s="77">
        <v>35998.75</v>
      </c>
      <c r="W211" s="77">
        <v>35998.791666666664</v>
      </c>
      <c r="X211" s="77">
        <v>35998.833333333336</v>
      </c>
      <c r="Y211" s="77">
        <v>35998.875</v>
      </c>
      <c r="Z211" s="77">
        <v>35998.916666666664</v>
      </c>
      <c r="AA211" s="78">
        <v>35998.958333333336</v>
      </c>
      <c r="AC211" s="12">
        <f t="shared" si="31"/>
        <v>202</v>
      </c>
      <c r="AD211" s="98">
        <v>190</v>
      </c>
    </row>
    <row r="212" spans="3:30">
      <c r="C212" s="76">
        <v>203</v>
      </c>
      <c r="D212" s="77">
        <v>35999</v>
      </c>
      <c r="E212" s="77">
        <v>35999.041666666664</v>
      </c>
      <c r="F212" s="77">
        <v>35999.083333333336</v>
      </c>
      <c r="G212" s="77">
        <v>35999.125</v>
      </c>
      <c r="H212" s="77">
        <v>35999.166666666664</v>
      </c>
      <c r="I212" s="77">
        <v>35999.208333333336</v>
      </c>
      <c r="J212" s="77">
        <v>35999.25</v>
      </c>
      <c r="K212" s="77">
        <v>35999.291666666664</v>
      </c>
      <c r="L212" s="77">
        <v>35999.333333333336</v>
      </c>
      <c r="M212" s="77">
        <v>35999.375</v>
      </c>
      <c r="N212" s="77">
        <v>35999.416666666664</v>
      </c>
      <c r="O212" s="77">
        <v>35999.458333333336</v>
      </c>
      <c r="P212" s="77">
        <v>35999.5</v>
      </c>
      <c r="Q212" s="77">
        <v>35999.541666666664</v>
      </c>
      <c r="R212" s="77">
        <v>35999.583333333336</v>
      </c>
      <c r="S212" s="77">
        <v>35999.625</v>
      </c>
      <c r="T212" s="77">
        <v>35999.666666666664</v>
      </c>
      <c r="U212" s="77">
        <v>35999.708333333336</v>
      </c>
      <c r="V212" s="77">
        <v>35999.75</v>
      </c>
      <c r="W212" s="77">
        <v>35999.791666666664</v>
      </c>
      <c r="X212" s="77">
        <v>35999.833333333336</v>
      </c>
      <c r="Y212" s="77">
        <v>35999.875</v>
      </c>
      <c r="Z212" s="77">
        <v>35999.916666666664</v>
      </c>
      <c r="AA212" s="78">
        <v>35999.958333333336</v>
      </c>
      <c r="AC212" s="12">
        <f t="shared" si="31"/>
        <v>203</v>
      </c>
      <c r="AD212" s="98">
        <v>190</v>
      </c>
    </row>
    <row r="213" spans="3:30">
      <c r="C213" s="76">
        <v>204</v>
      </c>
      <c r="D213" s="77">
        <v>36000</v>
      </c>
      <c r="E213" s="77">
        <v>36000.041666666664</v>
      </c>
      <c r="F213" s="77">
        <v>36000.083333333336</v>
      </c>
      <c r="G213" s="77">
        <v>36000.125</v>
      </c>
      <c r="H213" s="77">
        <v>36000.166666666664</v>
      </c>
      <c r="I213" s="77">
        <v>36000.208333333336</v>
      </c>
      <c r="J213" s="77">
        <v>36000.25</v>
      </c>
      <c r="K213" s="77">
        <v>36000.291666666664</v>
      </c>
      <c r="L213" s="77">
        <v>36000.333333333336</v>
      </c>
      <c r="M213" s="77">
        <v>36000.375</v>
      </c>
      <c r="N213" s="77">
        <v>36000.416666666664</v>
      </c>
      <c r="O213" s="77">
        <v>36000.458333333336</v>
      </c>
      <c r="P213" s="77">
        <v>36000.5</v>
      </c>
      <c r="Q213" s="77">
        <v>36000.541666666664</v>
      </c>
      <c r="R213" s="77">
        <v>36000.583333333336</v>
      </c>
      <c r="S213" s="77">
        <v>36000.625</v>
      </c>
      <c r="T213" s="77">
        <v>36000.666666666664</v>
      </c>
      <c r="U213" s="77">
        <v>36000.708333333336</v>
      </c>
      <c r="V213" s="77">
        <v>36000.75</v>
      </c>
      <c r="W213" s="77">
        <v>36000.791666666664</v>
      </c>
      <c r="X213" s="77">
        <v>36000.833333333336</v>
      </c>
      <c r="Y213" s="77">
        <v>36000.875</v>
      </c>
      <c r="Z213" s="77">
        <v>36000.916666666664</v>
      </c>
      <c r="AA213" s="78">
        <v>36000.958333333336</v>
      </c>
      <c r="AC213" s="12">
        <f t="shared" si="31"/>
        <v>204</v>
      </c>
      <c r="AD213" s="98">
        <v>190</v>
      </c>
    </row>
    <row r="214" spans="3:30">
      <c r="C214" s="76">
        <v>205</v>
      </c>
      <c r="D214" s="77">
        <v>36001</v>
      </c>
      <c r="E214" s="77">
        <v>36001.041666666664</v>
      </c>
      <c r="F214" s="77">
        <v>36001.083333333336</v>
      </c>
      <c r="G214" s="77">
        <v>36001.125</v>
      </c>
      <c r="H214" s="77">
        <v>36001.166666666664</v>
      </c>
      <c r="I214" s="77">
        <v>36001.208333333336</v>
      </c>
      <c r="J214" s="77">
        <v>36001.25</v>
      </c>
      <c r="K214" s="77">
        <v>36001.291666666664</v>
      </c>
      <c r="L214" s="77">
        <v>36001.333333333336</v>
      </c>
      <c r="M214" s="77">
        <v>36001.375</v>
      </c>
      <c r="N214" s="77">
        <v>36001.416666666664</v>
      </c>
      <c r="O214" s="77">
        <v>36001.458333333336</v>
      </c>
      <c r="P214" s="77">
        <v>36001.5</v>
      </c>
      <c r="Q214" s="77">
        <v>36001.541666666664</v>
      </c>
      <c r="R214" s="77">
        <v>36001.583333333336</v>
      </c>
      <c r="S214" s="77">
        <v>36001.625</v>
      </c>
      <c r="T214" s="77">
        <v>36001.666666666664</v>
      </c>
      <c r="U214" s="77">
        <v>36001.708333333336</v>
      </c>
      <c r="V214" s="77">
        <v>36001.75</v>
      </c>
      <c r="W214" s="77">
        <v>36001.791666666664</v>
      </c>
      <c r="X214" s="77">
        <v>36001.833333333336</v>
      </c>
      <c r="Y214" s="77">
        <v>36001.875</v>
      </c>
      <c r="Z214" s="77">
        <v>36001.916666666664</v>
      </c>
      <c r="AA214" s="78">
        <v>36001.958333333336</v>
      </c>
      <c r="AC214" s="12">
        <f t="shared" si="31"/>
        <v>205</v>
      </c>
      <c r="AD214" s="98">
        <v>190</v>
      </c>
    </row>
    <row r="215" spans="3:30">
      <c r="C215" s="76">
        <v>206</v>
      </c>
      <c r="D215" s="77">
        <v>36002</v>
      </c>
      <c r="E215" s="77">
        <v>36002.041666666664</v>
      </c>
      <c r="F215" s="77">
        <v>36002.083333333336</v>
      </c>
      <c r="G215" s="77">
        <v>36002.125</v>
      </c>
      <c r="H215" s="77">
        <v>36002.166666666664</v>
      </c>
      <c r="I215" s="77">
        <v>36002.208333333336</v>
      </c>
      <c r="J215" s="77">
        <v>36002.25</v>
      </c>
      <c r="K215" s="77">
        <v>36002.291666666664</v>
      </c>
      <c r="L215" s="77">
        <v>36002.333333333336</v>
      </c>
      <c r="M215" s="77">
        <v>36002.375</v>
      </c>
      <c r="N215" s="77">
        <v>36002.416666666664</v>
      </c>
      <c r="O215" s="77">
        <v>36002.458333333336</v>
      </c>
      <c r="P215" s="77">
        <v>36002.5</v>
      </c>
      <c r="Q215" s="77">
        <v>36002.541666666664</v>
      </c>
      <c r="R215" s="77">
        <v>36002.583333333336</v>
      </c>
      <c r="S215" s="77">
        <v>36002.625</v>
      </c>
      <c r="T215" s="77">
        <v>36002.666666666664</v>
      </c>
      <c r="U215" s="77">
        <v>36002.708333333336</v>
      </c>
      <c r="V215" s="77">
        <v>36002.75</v>
      </c>
      <c r="W215" s="77">
        <v>36002.791666666664</v>
      </c>
      <c r="X215" s="77">
        <v>36002.833333333336</v>
      </c>
      <c r="Y215" s="77">
        <v>36002.875</v>
      </c>
      <c r="Z215" s="77">
        <v>36002.916666666664</v>
      </c>
      <c r="AA215" s="78">
        <v>36002.958333333336</v>
      </c>
      <c r="AC215" s="12">
        <f t="shared" si="31"/>
        <v>206</v>
      </c>
      <c r="AD215" s="98">
        <v>190</v>
      </c>
    </row>
    <row r="216" spans="3:30">
      <c r="C216" s="76">
        <v>207</v>
      </c>
      <c r="D216" s="77">
        <v>36003</v>
      </c>
      <c r="E216" s="77">
        <v>36003.041666666664</v>
      </c>
      <c r="F216" s="77">
        <v>36003.083333333336</v>
      </c>
      <c r="G216" s="77">
        <v>36003.125</v>
      </c>
      <c r="H216" s="77">
        <v>36003.166666666664</v>
      </c>
      <c r="I216" s="77">
        <v>36003.208333333336</v>
      </c>
      <c r="J216" s="77">
        <v>36003.25</v>
      </c>
      <c r="K216" s="77">
        <v>36003.291666666664</v>
      </c>
      <c r="L216" s="77">
        <v>36003.333333333336</v>
      </c>
      <c r="M216" s="77">
        <v>36003.375</v>
      </c>
      <c r="N216" s="77">
        <v>36003.416666666664</v>
      </c>
      <c r="O216" s="77">
        <v>36003.458333333336</v>
      </c>
      <c r="P216" s="77">
        <v>36003.5</v>
      </c>
      <c r="Q216" s="77">
        <v>36003.541666666664</v>
      </c>
      <c r="R216" s="77">
        <v>36003.583333333336</v>
      </c>
      <c r="S216" s="77">
        <v>36003.625</v>
      </c>
      <c r="T216" s="77">
        <v>36003.666666666664</v>
      </c>
      <c r="U216" s="77">
        <v>36003.708333333336</v>
      </c>
      <c r="V216" s="77">
        <v>36003.75</v>
      </c>
      <c r="W216" s="77">
        <v>36003.791666666664</v>
      </c>
      <c r="X216" s="77">
        <v>36003.833333333336</v>
      </c>
      <c r="Y216" s="77">
        <v>36003.875</v>
      </c>
      <c r="Z216" s="77">
        <v>36003.916666666664</v>
      </c>
      <c r="AA216" s="78">
        <v>36003.958333333336</v>
      </c>
      <c r="AC216" s="12">
        <f t="shared" si="31"/>
        <v>207</v>
      </c>
      <c r="AD216" s="98">
        <v>190</v>
      </c>
    </row>
    <row r="217" spans="3:30">
      <c r="C217" s="76">
        <v>208</v>
      </c>
      <c r="D217" s="77">
        <v>36004</v>
      </c>
      <c r="E217" s="77">
        <v>36004.041666666664</v>
      </c>
      <c r="F217" s="77">
        <v>36004.083333333336</v>
      </c>
      <c r="G217" s="77">
        <v>36004.125</v>
      </c>
      <c r="H217" s="77">
        <v>36004.166666666664</v>
      </c>
      <c r="I217" s="77">
        <v>36004.208333333336</v>
      </c>
      <c r="J217" s="77">
        <v>36004.25</v>
      </c>
      <c r="K217" s="77">
        <v>36004.291666666664</v>
      </c>
      <c r="L217" s="77">
        <v>36004.333333333336</v>
      </c>
      <c r="M217" s="77">
        <v>36004.375</v>
      </c>
      <c r="N217" s="77">
        <v>36004.416666666664</v>
      </c>
      <c r="O217" s="77">
        <v>36004.458333333336</v>
      </c>
      <c r="P217" s="77">
        <v>36004.5</v>
      </c>
      <c r="Q217" s="77">
        <v>36004.541666666664</v>
      </c>
      <c r="R217" s="77">
        <v>36004.583333333336</v>
      </c>
      <c r="S217" s="77">
        <v>36004.625</v>
      </c>
      <c r="T217" s="77">
        <v>36004.666666666664</v>
      </c>
      <c r="U217" s="77">
        <v>36004.708333333336</v>
      </c>
      <c r="V217" s="77">
        <v>36004.75</v>
      </c>
      <c r="W217" s="77">
        <v>36004.791666666664</v>
      </c>
      <c r="X217" s="77">
        <v>36004.833333333336</v>
      </c>
      <c r="Y217" s="77">
        <v>36004.875</v>
      </c>
      <c r="Z217" s="77">
        <v>36004.916666666664</v>
      </c>
      <c r="AA217" s="78">
        <v>36004.958333333336</v>
      </c>
      <c r="AC217" s="12">
        <f t="shared" si="31"/>
        <v>208</v>
      </c>
      <c r="AD217" s="98">
        <v>190</v>
      </c>
    </row>
    <row r="218" spans="3:30">
      <c r="C218" s="76">
        <v>209</v>
      </c>
      <c r="D218" s="77">
        <v>36005</v>
      </c>
      <c r="E218" s="77">
        <v>36005.041666666664</v>
      </c>
      <c r="F218" s="77">
        <v>36005.083333333336</v>
      </c>
      <c r="G218" s="77">
        <v>36005.125</v>
      </c>
      <c r="H218" s="77">
        <v>36005.166666666664</v>
      </c>
      <c r="I218" s="77">
        <v>36005.208333333336</v>
      </c>
      <c r="J218" s="77">
        <v>36005.25</v>
      </c>
      <c r="K218" s="77">
        <v>36005.291666666664</v>
      </c>
      <c r="L218" s="77">
        <v>36005.333333333336</v>
      </c>
      <c r="M218" s="77">
        <v>36005.375</v>
      </c>
      <c r="N218" s="77">
        <v>36005.416666666664</v>
      </c>
      <c r="O218" s="77">
        <v>36005.458333333336</v>
      </c>
      <c r="P218" s="77">
        <v>36005.5</v>
      </c>
      <c r="Q218" s="77">
        <v>36005.541666666664</v>
      </c>
      <c r="R218" s="77">
        <v>36005.583333333336</v>
      </c>
      <c r="S218" s="77">
        <v>36005.625</v>
      </c>
      <c r="T218" s="77">
        <v>36005.666666666664</v>
      </c>
      <c r="U218" s="77">
        <v>36005.708333333336</v>
      </c>
      <c r="V218" s="77">
        <v>36005.75</v>
      </c>
      <c r="W218" s="77">
        <v>36005.791666666664</v>
      </c>
      <c r="X218" s="77">
        <v>36005.833333333336</v>
      </c>
      <c r="Y218" s="77">
        <v>36005.875</v>
      </c>
      <c r="Z218" s="77">
        <v>36005.916666666664</v>
      </c>
      <c r="AA218" s="78">
        <v>36005.958333333336</v>
      </c>
      <c r="AC218" s="12">
        <f t="shared" si="31"/>
        <v>209</v>
      </c>
      <c r="AD218" s="98">
        <v>190</v>
      </c>
    </row>
    <row r="219" spans="3:30">
      <c r="C219" s="76">
        <v>210</v>
      </c>
      <c r="D219" s="77">
        <v>36006</v>
      </c>
      <c r="E219" s="77">
        <v>36006.041666666664</v>
      </c>
      <c r="F219" s="77">
        <v>36006.083333333336</v>
      </c>
      <c r="G219" s="77">
        <v>36006.125</v>
      </c>
      <c r="H219" s="77">
        <v>36006.166666666664</v>
      </c>
      <c r="I219" s="77">
        <v>36006.208333333336</v>
      </c>
      <c r="J219" s="77">
        <v>36006.25</v>
      </c>
      <c r="K219" s="77">
        <v>36006.291666666664</v>
      </c>
      <c r="L219" s="77">
        <v>36006.333333333336</v>
      </c>
      <c r="M219" s="77">
        <v>36006.375</v>
      </c>
      <c r="N219" s="77">
        <v>36006.416666666664</v>
      </c>
      <c r="O219" s="77">
        <v>36006.458333333336</v>
      </c>
      <c r="P219" s="77">
        <v>36006.5</v>
      </c>
      <c r="Q219" s="77">
        <v>36006.541666666664</v>
      </c>
      <c r="R219" s="77">
        <v>36006.583333333336</v>
      </c>
      <c r="S219" s="77">
        <v>36006.625</v>
      </c>
      <c r="T219" s="77">
        <v>36006.666666666664</v>
      </c>
      <c r="U219" s="77">
        <v>36006.708333333336</v>
      </c>
      <c r="V219" s="77">
        <v>36006.75</v>
      </c>
      <c r="W219" s="77">
        <v>36006.791666666664</v>
      </c>
      <c r="X219" s="77">
        <v>36006.833333333336</v>
      </c>
      <c r="Y219" s="77">
        <v>36006.875</v>
      </c>
      <c r="Z219" s="77">
        <v>36006.916666666664</v>
      </c>
      <c r="AA219" s="78">
        <v>36006.958333333336</v>
      </c>
      <c r="AC219" s="12">
        <f t="shared" si="31"/>
        <v>210</v>
      </c>
      <c r="AD219" s="98">
        <v>190</v>
      </c>
    </row>
    <row r="220" spans="3:30">
      <c r="C220" s="76">
        <v>211</v>
      </c>
      <c r="D220" s="77">
        <v>36007</v>
      </c>
      <c r="E220" s="77">
        <v>36007.041666666664</v>
      </c>
      <c r="F220" s="77">
        <v>36007.083333333336</v>
      </c>
      <c r="G220" s="77">
        <v>36007.125</v>
      </c>
      <c r="H220" s="77">
        <v>36007.166666666664</v>
      </c>
      <c r="I220" s="77">
        <v>36007.208333333336</v>
      </c>
      <c r="J220" s="77">
        <v>36007.25</v>
      </c>
      <c r="K220" s="77">
        <v>36007.291666666664</v>
      </c>
      <c r="L220" s="77">
        <v>36007.333333333336</v>
      </c>
      <c r="M220" s="77">
        <v>36007.375</v>
      </c>
      <c r="N220" s="77">
        <v>36007.416666666664</v>
      </c>
      <c r="O220" s="77">
        <v>36007.458333333336</v>
      </c>
      <c r="P220" s="77">
        <v>36007.5</v>
      </c>
      <c r="Q220" s="77">
        <v>36007.541666666664</v>
      </c>
      <c r="R220" s="77">
        <v>36007.583333333336</v>
      </c>
      <c r="S220" s="77">
        <v>36007.625</v>
      </c>
      <c r="T220" s="77">
        <v>36007.666666666664</v>
      </c>
      <c r="U220" s="77">
        <v>36007.708333333336</v>
      </c>
      <c r="V220" s="77">
        <v>36007.75</v>
      </c>
      <c r="W220" s="77">
        <v>36007.791666666664</v>
      </c>
      <c r="X220" s="77">
        <v>36007.833333333336</v>
      </c>
      <c r="Y220" s="77">
        <v>36007.875</v>
      </c>
      <c r="Z220" s="77">
        <v>36007.916666666664</v>
      </c>
      <c r="AA220" s="78">
        <v>36007.958333333336</v>
      </c>
      <c r="AC220" s="12">
        <f t="shared" si="31"/>
        <v>211</v>
      </c>
      <c r="AD220" s="98">
        <v>190</v>
      </c>
    </row>
    <row r="221" spans="3:30">
      <c r="C221" s="76">
        <v>212</v>
      </c>
      <c r="D221" s="77">
        <v>36008</v>
      </c>
      <c r="E221" s="77">
        <v>36008.041666666664</v>
      </c>
      <c r="F221" s="77">
        <v>36008.083333333336</v>
      </c>
      <c r="G221" s="77">
        <v>36008.125</v>
      </c>
      <c r="H221" s="77">
        <v>36008.166666666664</v>
      </c>
      <c r="I221" s="77">
        <v>36008.208333333336</v>
      </c>
      <c r="J221" s="77">
        <v>36008.25</v>
      </c>
      <c r="K221" s="77">
        <v>36008.291666666664</v>
      </c>
      <c r="L221" s="77">
        <v>36008.333333333336</v>
      </c>
      <c r="M221" s="77">
        <v>36008.375</v>
      </c>
      <c r="N221" s="77">
        <v>36008.416666666664</v>
      </c>
      <c r="O221" s="77">
        <v>36008.458333333336</v>
      </c>
      <c r="P221" s="77">
        <v>36008.5</v>
      </c>
      <c r="Q221" s="77">
        <v>36008.541666666664</v>
      </c>
      <c r="R221" s="77">
        <v>36008.583333333336</v>
      </c>
      <c r="S221" s="77">
        <v>36008.625</v>
      </c>
      <c r="T221" s="77">
        <v>36008.666666666664</v>
      </c>
      <c r="U221" s="77">
        <v>36008.708333333336</v>
      </c>
      <c r="V221" s="77">
        <v>36008.75</v>
      </c>
      <c r="W221" s="77">
        <v>36008.791666666664</v>
      </c>
      <c r="X221" s="77">
        <v>36008.833333333336</v>
      </c>
      <c r="Y221" s="77">
        <v>36008.875</v>
      </c>
      <c r="Z221" s="77">
        <v>36008.916666666664</v>
      </c>
      <c r="AA221" s="78">
        <v>36008.958333333336</v>
      </c>
      <c r="AC221" s="12">
        <f t="shared" si="31"/>
        <v>212</v>
      </c>
      <c r="AD221" s="98">
        <v>220</v>
      </c>
    </row>
    <row r="222" spans="3:30">
      <c r="C222" s="76">
        <v>213</v>
      </c>
      <c r="D222" s="77">
        <v>36009</v>
      </c>
      <c r="E222" s="77">
        <v>36009.041666666664</v>
      </c>
      <c r="F222" s="77">
        <v>36009.083333333336</v>
      </c>
      <c r="G222" s="77">
        <v>36009.125</v>
      </c>
      <c r="H222" s="77">
        <v>36009.166666666664</v>
      </c>
      <c r="I222" s="77">
        <v>36009.208333333336</v>
      </c>
      <c r="J222" s="77">
        <v>36009.25</v>
      </c>
      <c r="K222" s="77">
        <v>36009.291666666664</v>
      </c>
      <c r="L222" s="77">
        <v>36009.333333333336</v>
      </c>
      <c r="M222" s="77">
        <v>36009.375</v>
      </c>
      <c r="N222" s="77">
        <v>36009.416666666664</v>
      </c>
      <c r="O222" s="77">
        <v>36009.458333333336</v>
      </c>
      <c r="P222" s="77">
        <v>36009.5</v>
      </c>
      <c r="Q222" s="77">
        <v>36009.541666666664</v>
      </c>
      <c r="R222" s="77">
        <v>36009.583333333336</v>
      </c>
      <c r="S222" s="77">
        <v>36009.625</v>
      </c>
      <c r="T222" s="77">
        <v>36009.666666666664</v>
      </c>
      <c r="U222" s="77">
        <v>36009.708333333336</v>
      </c>
      <c r="V222" s="77">
        <v>36009.75</v>
      </c>
      <c r="W222" s="77">
        <v>36009.791666666664</v>
      </c>
      <c r="X222" s="77">
        <v>36009.833333333336</v>
      </c>
      <c r="Y222" s="77">
        <v>36009.875</v>
      </c>
      <c r="Z222" s="77">
        <v>36009.916666666664</v>
      </c>
      <c r="AA222" s="78">
        <v>36009.958333333336</v>
      </c>
      <c r="AC222" s="12">
        <f t="shared" si="31"/>
        <v>213</v>
      </c>
      <c r="AD222" s="98">
        <v>220</v>
      </c>
    </row>
    <row r="223" spans="3:30">
      <c r="C223" s="76">
        <v>214</v>
      </c>
      <c r="D223" s="77">
        <v>36010</v>
      </c>
      <c r="E223" s="77">
        <v>36010.041666666664</v>
      </c>
      <c r="F223" s="77">
        <v>36010.083333333336</v>
      </c>
      <c r="G223" s="77">
        <v>36010.125</v>
      </c>
      <c r="H223" s="77">
        <v>36010.166666666664</v>
      </c>
      <c r="I223" s="77">
        <v>36010.208333333336</v>
      </c>
      <c r="J223" s="77">
        <v>36010.25</v>
      </c>
      <c r="K223" s="77">
        <v>36010.291666666664</v>
      </c>
      <c r="L223" s="77">
        <v>36010.333333333336</v>
      </c>
      <c r="M223" s="77">
        <v>36010.375</v>
      </c>
      <c r="N223" s="77">
        <v>36010.416666666664</v>
      </c>
      <c r="O223" s="77">
        <v>36010.458333333336</v>
      </c>
      <c r="P223" s="77">
        <v>36010.5</v>
      </c>
      <c r="Q223" s="77">
        <v>36010.541666666664</v>
      </c>
      <c r="R223" s="77">
        <v>36010.583333333336</v>
      </c>
      <c r="S223" s="77">
        <v>36010.625</v>
      </c>
      <c r="T223" s="77">
        <v>36010.666666666664</v>
      </c>
      <c r="U223" s="77">
        <v>36010.708333333336</v>
      </c>
      <c r="V223" s="77">
        <v>36010.75</v>
      </c>
      <c r="W223" s="77">
        <v>36010.791666666664</v>
      </c>
      <c r="X223" s="77">
        <v>36010.833333333336</v>
      </c>
      <c r="Y223" s="77">
        <v>36010.875</v>
      </c>
      <c r="Z223" s="77">
        <v>36010.916666666664</v>
      </c>
      <c r="AA223" s="78">
        <v>36010.958333333336</v>
      </c>
      <c r="AC223" s="12">
        <f t="shared" si="31"/>
        <v>214</v>
      </c>
      <c r="AD223" s="98">
        <v>220</v>
      </c>
    </row>
    <row r="224" spans="3:30">
      <c r="C224" s="76">
        <v>215</v>
      </c>
      <c r="D224" s="77">
        <v>36011</v>
      </c>
      <c r="E224" s="77">
        <v>36011.041666666664</v>
      </c>
      <c r="F224" s="77">
        <v>36011.083333333336</v>
      </c>
      <c r="G224" s="77">
        <v>36011.125</v>
      </c>
      <c r="H224" s="77">
        <v>36011.166666666664</v>
      </c>
      <c r="I224" s="77">
        <v>36011.208333333336</v>
      </c>
      <c r="J224" s="77">
        <v>36011.25</v>
      </c>
      <c r="K224" s="77">
        <v>36011.291666666664</v>
      </c>
      <c r="L224" s="77">
        <v>36011.333333333336</v>
      </c>
      <c r="M224" s="77">
        <v>36011.375</v>
      </c>
      <c r="N224" s="77">
        <v>36011.416666666664</v>
      </c>
      <c r="O224" s="77">
        <v>36011.458333333336</v>
      </c>
      <c r="P224" s="77">
        <v>36011.5</v>
      </c>
      <c r="Q224" s="77">
        <v>36011.541666666664</v>
      </c>
      <c r="R224" s="77">
        <v>36011.583333333336</v>
      </c>
      <c r="S224" s="77">
        <v>36011.625</v>
      </c>
      <c r="T224" s="77">
        <v>36011.666666666664</v>
      </c>
      <c r="U224" s="77">
        <v>36011.708333333336</v>
      </c>
      <c r="V224" s="77">
        <v>36011.75</v>
      </c>
      <c r="W224" s="77">
        <v>36011.791666666664</v>
      </c>
      <c r="X224" s="77">
        <v>36011.833333333336</v>
      </c>
      <c r="Y224" s="77">
        <v>36011.875</v>
      </c>
      <c r="Z224" s="77">
        <v>36011.916666666664</v>
      </c>
      <c r="AA224" s="78">
        <v>36011.958333333336</v>
      </c>
      <c r="AC224" s="12">
        <f t="shared" si="31"/>
        <v>215</v>
      </c>
      <c r="AD224" s="98">
        <v>220</v>
      </c>
    </row>
    <row r="225" spans="3:30">
      <c r="C225" s="76">
        <v>216</v>
      </c>
      <c r="D225" s="77">
        <v>36012</v>
      </c>
      <c r="E225" s="77">
        <v>36012.041666666664</v>
      </c>
      <c r="F225" s="77">
        <v>36012.083333333336</v>
      </c>
      <c r="G225" s="77">
        <v>36012.125</v>
      </c>
      <c r="H225" s="77">
        <v>36012.166666666664</v>
      </c>
      <c r="I225" s="77">
        <v>36012.208333333336</v>
      </c>
      <c r="J225" s="77">
        <v>36012.25</v>
      </c>
      <c r="K225" s="77">
        <v>36012.291666666664</v>
      </c>
      <c r="L225" s="77">
        <v>36012.333333333336</v>
      </c>
      <c r="M225" s="77">
        <v>36012.375</v>
      </c>
      <c r="N225" s="77">
        <v>36012.416666666664</v>
      </c>
      <c r="O225" s="77">
        <v>36012.458333333336</v>
      </c>
      <c r="P225" s="77">
        <v>36012.5</v>
      </c>
      <c r="Q225" s="77">
        <v>36012.541666666664</v>
      </c>
      <c r="R225" s="77">
        <v>36012.583333333336</v>
      </c>
      <c r="S225" s="77">
        <v>36012.625</v>
      </c>
      <c r="T225" s="77">
        <v>36012.666666666664</v>
      </c>
      <c r="U225" s="77">
        <v>36012.708333333336</v>
      </c>
      <c r="V225" s="77">
        <v>36012.75</v>
      </c>
      <c r="W225" s="77">
        <v>36012.791666666664</v>
      </c>
      <c r="X225" s="77">
        <v>36012.833333333336</v>
      </c>
      <c r="Y225" s="77">
        <v>36012.875</v>
      </c>
      <c r="Z225" s="77">
        <v>36012.916666666664</v>
      </c>
      <c r="AA225" s="78">
        <v>36012.958333333336</v>
      </c>
      <c r="AC225" s="12">
        <f t="shared" si="31"/>
        <v>216</v>
      </c>
      <c r="AD225" s="98">
        <v>220</v>
      </c>
    </row>
    <row r="226" spans="3:30">
      <c r="C226" s="76">
        <v>217</v>
      </c>
      <c r="D226" s="77">
        <v>36013</v>
      </c>
      <c r="E226" s="77">
        <v>36013.041666666664</v>
      </c>
      <c r="F226" s="77">
        <v>36013.083333333336</v>
      </c>
      <c r="G226" s="77">
        <v>36013.125</v>
      </c>
      <c r="H226" s="77">
        <v>36013.166666666664</v>
      </c>
      <c r="I226" s="77">
        <v>36013.208333333336</v>
      </c>
      <c r="J226" s="77">
        <v>36013.25</v>
      </c>
      <c r="K226" s="77">
        <v>36013.291666666664</v>
      </c>
      <c r="L226" s="77">
        <v>36013.333333333336</v>
      </c>
      <c r="M226" s="77">
        <v>36013.375</v>
      </c>
      <c r="N226" s="77">
        <v>36013.416666666664</v>
      </c>
      <c r="O226" s="77">
        <v>36013.458333333336</v>
      </c>
      <c r="P226" s="77">
        <v>36013.5</v>
      </c>
      <c r="Q226" s="77">
        <v>36013.541666666664</v>
      </c>
      <c r="R226" s="77">
        <v>36013.583333333336</v>
      </c>
      <c r="S226" s="77">
        <v>36013.625</v>
      </c>
      <c r="T226" s="77">
        <v>36013.666666666664</v>
      </c>
      <c r="U226" s="77">
        <v>36013.708333333336</v>
      </c>
      <c r="V226" s="77">
        <v>36013.75</v>
      </c>
      <c r="W226" s="77">
        <v>36013.791666666664</v>
      </c>
      <c r="X226" s="77">
        <v>36013.833333333336</v>
      </c>
      <c r="Y226" s="77">
        <v>36013.875</v>
      </c>
      <c r="Z226" s="77">
        <v>36013.916666666664</v>
      </c>
      <c r="AA226" s="78">
        <v>36013.958333333336</v>
      </c>
      <c r="AC226" s="12">
        <f t="shared" si="31"/>
        <v>217</v>
      </c>
      <c r="AD226" s="98">
        <v>220</v>
      </c>
    </row>
    <row r="227" spans="3:30">
      <c r="C227" s="76">
        <v>218</v>
      </c>
      <c r="D227" s="77">
        <v>36014</v>
      </c>
      <c r="E227" s="77">
        <v>36014.041666666664</v>
      </c>
      <c r="F227" s="77">
        <v>36014.083333333336</v>
      </c>
      <c r="G227" s="77">
        <v>36014.125</v>
      </c>
      <c r="H227" s="77">
        <v>36014.166666666664</v>
      </c>
      <c r="I227" s="77">
        <v>36014.208333333336</v>
      </c>
      <c r="J227" s="77">
        <v>36014.25</v>
      </c>
      <c r="K227" s="77">
        <v>36014.291666666664</v>
      </c>
      <c r="L227" s="77">
        <v>36014.333333333336</v>
      </c>
      <c r="M227" s="77">
        <v>36014.375</v>
      </c>
      <c r="N227" s="77">
        <v>36014.416666666664</v>
      </c>
      <c r="O227" s="77">
        <v>36014.458333333336</v>
      </c>
      <c r="P227" s="77">
        <v>36014.5</v>
      </c>
      <c r="Q227" s="77">
        <v>36014.541666666664</v>
      </c>
      <c r="R227" s="77">
        <v>36014.583333333336</v>
      </c>
      <c r="S227" s="77">
        <v>36014.625</v>
      </c>
      <c r="T227" s="77">
        <v>36014.666666666664</v>
      </c>
      <c r="U227" s="77">
        <v>36014.708333333336</v>
      </c>
      <c r="V227" s="77">
        <v>36014.75</v>
      </c>
      <c r="W227" s="77">
        <v>36014.791666666664</v>
      </c>
      <c r="X227" s="77">
        <v>36014.833333333336</v>
      </c>
      <c r="Y227" s="77">
        <v>36014.875</v>
      </c>
      <c r="Z227" s="77">
        <v>36014.916666666664</v>
      </c>
      <c r="AA227" s="78">
        <v>36014.958333333336</v>
      </c>
      <c r="AC227" s="12">
        <f t="shared" si="31"/>
        <v>218</v>
      </c>
      <c r="AD227" s="98">
        <v>220</v>
      </c>
    </row>
    <row r="228" spans="3:30">
      <c r="C228" s="76">
        <v>219</v>
      </c>
      <c r="D228" s="77">
        <v>36015</v>
      </c>
      <c r="E228" s="77">
        <v>36015.041666666664</v>
      </c>
      <c r="F228" s="77">
        <v>36015.083333333336</v>
      </c>
      <c r="G228" s="77">
        <v>36015.125</v>
      </c>
      <c r="H228" s="77">
        <v>36015.166666666664</v>
      </c>
      <c r="I228" s="77">
        <v>36015.208333333336</v>
      </c>
      <c r="J228" s="77">
        <v>36015.25</v>
      </c>
      <c r="K228" s="77">
        <v>36015.291666666664</v>
      </c>
      <c r="L228" s="77">
        <v>36015.333333333336</v>
      </c>
      <c r="M228" s="77">
        <v>36015.375</v>
      </c>
      <c r="N228" s="77">
        <v>36015.416666666664</v>
      </c>
      <c r="O228" s="77">
        <v>36015.458333333336</v>
      </c>
      <c r="P228" s="77">
        <v>36015.5</v>
      </c>
      <c r="Q228" s="77">
        <v>36015.541666666664</v>
      </c>
      <c r="R228" s="77">
        <v>36015.583333333336</v>
      </c>
      <c r="S228" s="77">
        <v>36015.625</v>
      </c>
      <c r="T228" s="77">
        <v>36015.666666666664</v>
      </c>
      <c r="U228" s="77">
        <v>36015.708333333336</v>
      </c>
      <c r="V228" s="77">
        <v>36015.75</v>
      </c>
      <c r="W228" s="77">
        <v>36015.791666666664</v>
      </c>
      <c r="X228" s="77">
        <v>36015.833333333336</v>
      </c>
      <c r="Y228" s="77">
        <v>36015.875</v>
      </c>
      <c r="Z228" s="77">
        <v>36015.916666666664</v>
      </c>
      <c r="AA228" s="78">
        <v>36015.958333333336</v>
      </c>
      <c r="AC228" s="12">
        <f t="shared" si="31"/>
        <v>219</v>
      </c>
      <c r="AD228" s="98">
        <v>220</v>
      </c>
    </row>
    <row r="229" spans="3:30">
      <c r="C229" s="76">
        <v>220</v>
      </c>
      <c r="D229" s="77">
        <v>36016</v>
      </c>
      <c r="E229" s="77">
        <v>36016.041666666664</v>
      </c>
      <c r="F229" s="77">
        <v>36016.083333333336</v>
      </c>
      <c r="G229" s="77">
        <v>36016.125</v>
      </c>
      <c r="H229" s="77">
        <v>36016.166666666664</v>
      </c>
      <c r="I229" s="77">
        <v>36016.208333333336</v>
      </c>
      <c r="J229" s="77">
        <v>36016.25</v>
      </c>
      <c r="K229" s="77">
        <v>36016.291666666664</v>
      </c>
      <c r="L229" s="77">
        <v>36016.333333333336</v>
      </c>
      <c r="M229" s="77">
        <v>36016.375</v>
      </c>
      <c r="N229" s="77">
        <v>36016.416666666664</v>
      </c>
      <c r="O229" s="77">
        <v>36016.458333333336</v>
      </c>
      <c r="P229" s="77">
        <v>36016.5</v>
      </c>
      <c r="Q229" s="77">
        <v>36016.541666666664</v>
      </c>
      <c r="R229" s="77">
        <v>36016.583333333336</v>
      </c>
      <c r="S229" s="77">
        <v>36016.625</v>
      </c>
      <c r="T229" s="77">
        <v>36016.666666666664</v>
      </c>
      <c r="U229" s="77">
        <v>36016.708333333336</v>
      </c>
      <c r="V229" s="77">
        <v>36016.75</v>
      </c>
      <c r="W229" s="77">
        <v>36016.791666666664</v>
      </c>
      <c r="X229" s="77">
        <v>36016.833333333336</v>
      </c>
      <c r="Y229" s="77">
        <v>36016.875</v>
      </c>
      <c r="Z229" s="77">
        <v>36016.916666666664</v>
      </c>
      <c r="AA229" s="78">
        <v>36016.958333333336</v>
      </c>
      <c r="AC229" s="12">
        <f t="shared" si="31"/>
        <v>220</v>
      </c>
      <c r="AD229" s="98">
        <v>220</v>
      </c>
    </row>
    <row r="230" spans="3:30">
      <c r="C230" s="76">
        <v>221</v>
      </c>
      <c r="D230" s="77">
        <v>36017</v>
      </c>
      <c r="E230" s="77">
        <v>36017.041666666664</v>
      </c>
      <c r="F230" s="77">
        <v>36017.083333333336</v>
      </c>
      <c r="G230" s="77">
        <v>36017.125</v>
      </c>
      <c r="H230" s="77">
        <v>36017.166666666664</v>
      </c>
      <c r="I230" s="77">
        <v>36017.208333333336</v>
      </c>
      <c r="J230" s="77">
        <v>36017.25</v>
      </c>
      <c r="K230" s="77">
        <v>36017.291666666664</v>
      </c>
      <c r="L230" s="77">
        <v>36017.333333333336</v>
      </c>
      <c r="M230" s="77">
        <v>36017.375</v>
      </c>
      <c r="N230" s="77">
        <v>36017.416666666664</v>
      </c>
      <c r="O230" s="77">
        <v>36017.458333333336</v>
      </c>
      <c r="P230" s="77">
        <v>36017.5</v>
      </c>
      <c r="Q230" s="77">
        <v>36017.541666666664</v>
      </c>
      <c r="R230" s="77">
        <v>36017.583333333336</v>
      </c>
      <c r="S230" s="77">
        <v>36017.625</v>
      </c>
      <c r="T230" s="77">
        <v>36017.666666666664</v>
      </c>
      <c r="U230" s="77">
        <v>36017.708333333336</v>
      </c>
      <c r="V230" s="77">
        <v>36017.75</v>
      </c>
      <c r="W230" s="77">
        <v>36017.791666666664</v>
      </c>
      <c r="X230" s="77">
        <v>36017.833333333336</v>
      </c>
      <c r="Y230" s="77">
        <v>36017.875</v>
      </c>
      <c r="Z230" s="77">
        <v>36017.916666666664</v>
      </c>
      <c r="AA230" s="78">
        <v>36017.958333333336</v>
      </c>
      <c r="AC230" s="12">
        <f t="shared" si="31"/>
        <v>221</v>
      </c>
      <c r="AD230" s="98">
        <v>220</v>
      </c>
    </row>
    <row r="231" spans="3:30">
      <c r="C231" s="76">
        <v>222</v>
      </c>
      <c r="D231" s="77">
        <v>36018</v>
      </c>
      <c r="E231" s="77">
        <v>36018.041666666664</v>
      </c>
      <c r="F231" s="77">
        <v>36018.083333333336</v>
      </c>
      <c r="G231" s="77">
        <v>36018.125</v>
      </c>
      <c r="H231" s="77">
        <v>36018.166666666664</v>
      </c>
      <c r="I231" s="77">
        <v>36018.208333333336</v>
      </c>
      <c r="J231" s="77">
        <v>36018.25</v>
      </c>
      <c r="K231" s="77">
        <v>36018.291666666664</v>
      </c>
      <c r="L231" s="77">
        <v>36018.333333333336</v>
      </c>
      <c r="M231" s="77">
        <v>36018.375</v>
      </c>
      <c r="N231" s="77">
        <v>36018.416666666664</v>
      </c>
      <c r="O231" s="77">
        <v>36018.458333333336</v>
      </c>
      <c r="P231" s="77">
        <v>36018.5</v>
      </c>
      <c r="Q231" s="77">
        <v>36018.541666666664</v>
      </c>
      <c r="R231" s="77">
        <v>36018.583333333336</v>
      </c>
      <c r="S231" s="77">
        <v>36018.625</v>
      </c>
      <c r="T231" s="77">
        <v>36018.666666666664</v>
      </c>
      <c r="U231" s="77">
        <v>36018.708333333336</v>
      </c>
      <c r="V231" s="77">
        <v>36018.75</v>
      </c>
      <c r="W231" s="77">
        <v>36018.791666666664</v>
      </c>
      <c r="X231" s="77">
        <v>36018.833333333336</v>
      </c>
      <c r="Y231" s="77">
        <v>36018.875</v>
      </c>
      <c r="Z231" s="77">
        <v>36018.916666666664</v>
      </c>
      <c r="AA231" s="78">
        <v>36018.958333333336</v>
      </c>
      <c r="AC231" s="12">
        <f t="shared" si="31"/>
        <v>222</v>
      </c>
      <c r="AD231" s="98">
        <v>220</v>
      </c>
    </row>
    <row r="232" spans="3:30">
      <c r="C232" s="76">
        <v>223</v>
      </c>
      <c r="D232" s="77">
        <v>36019</v>
      </c>
      <c r="E232" s="77">
        <v>36019.041666666664</v>
      </c>
      <c r="F232" s="77">
        <v>36019.083333333336</v>
      </c>
      <c r="G232" s="77">
        <v>36019.125</v>
      </c>
      <c r="H232" s="77">
        <v>36019.166666666664</v>
      </c>
      <c r="I232" s="77">
        <v>36019.208333333336</v>
      </c>
      <c r="J232" s="77">
        <v>36019.25</v>
      </c>
      <c r="K232" s="77">
        <v>36019.291666666664</v>
      </c>
      <c r="L232" s="77">
        <v>36019.333333333336</v>
      </c>
      <c r="M232" s="77">
        <v>36019.375</v>
      </c>
      <c r="N232" s="77">
        <v>36019.416666666664</v>
      </c>
      <c r="O232" s="77">
        <v>36019.458333333336</v>
      </c>
      <c r="P232" s="77">
        <v>36019.5</v>
      </c>
      <c r="Q232" s="77">
        <v>36019.541666666664</v>
      </c>
      <c r="R232" s="77">
        <v>36019.583333333336</v>
      </c>
      <c r="S232" s="77">
        <v>36019.625</v>
      </c>
      <c r="T232" s="77">
        <v>36019.666666666664</v>
      </c>
      <c r="U232" s="77">
        <v>36019.708333333336</v>
      </c>
      <c r="V232" s="77">
        <v>36019.75</v>
      </c>
      <c r="W232" s="77">
        <v>36019.791666666664</v>
      </c>
      <c r="X232" s="77">
        <v>36019.833333333336</v>
      </c>
      <c r="Y232" s="77">
        <v>36019.875</v>
      </c>
      <c r="Z232" s="77">
        <v>36019.916666666664</v>
      </c>
      <c r="AA232" s="78">
        <v>36019.958333333336</v>
      </c>
      <c r="AC232" s="12">
        <f t="shared" si="31"/>
        <v>223</v>
      </c>
      <c r="AD232" s="98">
        <v>220</v>
      </c>
    </row>
    <row r="233" spans="3:30">
      <c r="C233" s="76">
        <v>224</v>
      </c>
      <c r="D233" s="77">
        <v>36020</v>
      </c>
      <c r="E233" s="77">
        <v>36020.041666666664</v>
      </c>
      <c r="F233" s="77">
        <v>36020.083333333336</v>
      </c>
      <c r="G233" s="77">
        <v>36020.125</v>
      </c>
      <c r="H233" s="77">
        <v>36020.166666666664</v>
      </c>
      <c r="I233" s="77">
        <v>36020.208333333336</v>
      </c>
      <c r="J233" s="77">
        <v>36020.25</v>
      </c>
      <c r="K233" s="77">
        <v>36020.291666666664</v>
      </c>
      <c r="L233" s="77">
        <v>36020.333333333336</v>
      </c>
      <c r="M233" s="77">
        <v>36020.375</v>
      </c>
      <c r="N233" s="77">
        <v>36020.416666666664</v>
      </c>
      <c r="O233" s="77">
        <v>36020.458333333336</v>
      </c>
      <c r="P233" s="77">
        <v>36020.5</v>
      </c>
      <c r="Q233" s="77">
        <v>36020.541666666664</v>
      </c>
      <c r="R233" s="77">
        <v>36020.583333333336</v>
      </c>
      <c r="S233" s="77">
        <v>36020.625</v>
      </c>
      <c r="T233" s="77">
        <v>36020.666666666664</v>
      </c>
      <c r="U233" s="77">
        <v>36020.708333333336</v>
      </c>
      <c r="V233" s="77">
        <v>36020.75</v>
      </c>
      <c r="W233" s="77">
        <v>36020.791666666664</v>
      </c>
      <c r="X233" s="77">
        <v>36020.833333333336</v>
      </c>
      <c r="Y233" s="77">
        <v>36020.875</v>
      </c>
      <c r="Z233" s="77">
        <v>36020.916666666664</v>
      </c>
      <c r="AA233" s="78">
        <v>36020.958333333336</v>
      </c>
      <c r="AC233" s="12">
        <f t="shared" si="31"/>
        <v>224</v>
      </c>
      <c r="AD233" s="98">
        <v>220</v>
      </c>
    </row>
    <row r="234" spans="3:30">
      <c r="C234" s="76">
        <v>225</v>
      </c>
      <c r="D234" s="77">
        <v>36021</v>
      </c>
      <c r="E234" s="77">
        <v>36021.041666666664</v>
      </c>
      <c r="F234" s="77">
        <v>36021.083333333336</v>
      </c>
      <c r="G234" s="77">
        <v>36021.125</v>
      </c>
      <c r="H234" s="77">
        <v>36021.166666666664</v>
      </c>
      <c r="I234" s="77">
        <v>36021.208333333336</v>
      </c>
      <c r="J234" s="77">
        <v>36021.25</v>
      </c>
      <c r="K234" s="77">
        <v>36021.291666666664</v>
      </c>
      <c r="L234" s="77">
        <v>36021.333333333336</v>
      </c>
      <c r="M234" s="77">
        <v>36021.375</v>
      </c>
      <c r="N234" s="77">
        <v>36021.416666666664</v>
      </c>
      <c r="O234" s="77">
        <v>36021.458333333336</v>
      </c>
      <c r="P234" s="77">
        <v>36021.5</v>
      </c>
      <c r="Q234" s="77">
        <v>36021.541666666664</v>
      </c>
      <c r="R234" s="77">
        <v>36021.583333333336</v>
      </c>
      <c r="S234" s="77">
        <v>36021.625</v>
      </c>
      <c r="T234" s="77">
        <v>36021.666666666664</v>
      </c>
      <c r="U234" s="77">
        <v>36021.708333333336</v>
      </c>
      <c r="V234" s="77">
        <v>36021.75</v>
      </c>
      <c r="W234" s="77">
        <v>36021.791666666664</v>
      </c>
      <c r="X234" s="77">
        <v>36021.833333333336</v>
      </c>
      <c r="Y234" s="77">
        <v>36021.875</v>
      </c>
      <c r="Z234" s="77">
        <v>36021.916666666664</v>
      </c>
      <c r="AA234" s="78">
        <v>36021.958333333336</v>
      </c>
      <c r="AC234" s="12">
        <f t="shared" si="31"/>
        <v>225</v>
      </c>
      <c r="AD234" s="98">
        <v>220</v>
      </c>
    </row>
    <row r="235" spans="3:30">
      <c r="C235" s="76">
        <v>226</v>
      </c>
      <c r="D235" s="77">
        <v>36022</v>
      </c>
      <c r="E235" s="77">
        <v>36022.041666666664</v>
      </c>
      <c r="F235" s="77">
        <v>36022.083333333336</v>
      </c>
      <c r="G235" s="77">
        <v>36022.125</v>
      </c>
      <c r="H235" s="77">
        <v>36022.166666666664</v>
      </c>
      <c r="I235" s="77">
        <v>36022.208333333336</v>
      </c>
      <c r="J235" s="77">
        <v>36022.25</v>
      </c>
      <c r="K235" s="77">
        <v>36022.291666666664</v>
      </c>
      <c r="L235" s="77">
        <v>36022.333333333336</v>
      </c>
      <c r="M235" s="77">
        <v>36022.375</v>
      </c>
      <c r="N235" s="77">
        <v>36022.416666666664</v>
      </c>
      <c r="O235" s="77">
        <v>36022.458333333336</v>
      </c>
      <c r="P235" s="77">
        <v>36022.5</v>
      </c>
      <c r="Q235" s="77">
        <v>36022.541666666664</v>
      </c>
      <c r="R235" s="77">
        <v>36022.583333333336</v>
      </c>
      <c r="S235" s="77">
        <v>36022.625</v>
      </c>
      <c r="T235" s="77">
        <v>36022.666666666664</v>
      </c>
      <c r="U235" s="77">
        <v>36022.708333333336</v>
      </c>
      <c r="V235" s="77">
        <v>36022.75</v>
      </c>
      <c r="W235" s="77">
        <v>36022.791666666664</v>
      </c>
      <c r="X235" s="77">
        <v>36022.833333333336</v>
      </c>
      <c r="Y235" s="77">
        <v>36022.875</v>
      </c>
      <c r="Z235" s="77">
        <v>36022.916666666664</v>
      </c>
      <c r="AA235" s="78">
        <v>36022.958333333336</v>
      </c>
      <c r="AC235" s="12">
        <f t="shared" si="31"/>
        <v>226</v>
      </c>
      <c r="AD235" s="98">
        <v>220</v>
      </c>
    </row>
    <row r="236" spans="3:30">
      <c r="C236" s="76">
        <v>227</v>
      </c>
      <c r="D236" s="77">
        <v>36023</v>
      </c>
      <c r="E236" s="77">
        <v>36023.041666666664</v>
      </c>
      <c r="F236" s="77">
        <v>36023.083333333336</v>
      </c>
      <c r="G236" s="77">
        <v>36023.125</v>
      </c>
      <c r="H236" s="77">
        <v>36023.166666666664</v>
      </c>
      <c r="I236" s="77">
        <v>36023.208333333336</v>
      </c>
      <c r="J236" s="77">
        <v>36023.25</v>
      </c>
      <c r="K236" s="77">
        <v>36023.291666666664</v>
      </c>
      <c r="L236" s="77">
        <v>36023.333333333336</v>
      </c>
      <c r="M236" s="77">
        <v>36023.375</v>
      </c>
      <c r="N236" s="77">
        <v>36023.416666666664</v>
      </c>
      <c r="O236" s="77">
        <v>36023.458333333336</v>
      </c>
      <c r="P236" s="77">
        <v>36023.5</v>
      </c>
      <c r="Q236" s="77">
        <v>36023.541666666664</v>
      </c>
      <c r="R236" s="77">
        <v>36023.583333333336</v>
      </c>
      <c r="S236" s="77">
        <v>36023.625</v>
      </c>
      <c r="T236" s="77">
        <v>36023.666666666664</v>
      </c>
      <c r="U236" s="77">
        <v>36023.708333333336</v>
      </c>
      <c r="V236" s="77">
        <v>36023.75</v>
      </c>
      <c r="W236" s="77">
        <v>36023.791666666664</v>
      </c>
      <c r="X236" s="77">
        <v>36023.833333333336</v>
      </c>
      <c r="Y236" s="77">
        <v>36023.875</v>
      </c>
      <c r="Z236" s="77">
        <v>36023.916666666664</v>
      </c>
      <c r="AA236" s="78">
        <v>36023.958333333336</v>
      </c>
      <c r="AC236" s="12">
        <f t="shared" si="31"/>
        <v>227</v>
      </c>
      <c r="AD236" s="98">
        <v>220</v>
      </c>
    </row>
    <row r="237" spans="3:30">
      <c r="C237" s="76">
        <v>228</v>
      </c>
      <c r="D237" s="77">
        <v>36024</v>
      </c>
      <c r="E237" s="77">
        <v>36024.041666666664</v>
      </c>
      <c r="F237" s="77">
        <v>36024.083333333336</v>
      </c>
      <c r="G237" s="77">
        <v>36024.125</v>
      </c>
      <c r="H237" s="77">
        <v>36024.166666666664</v>
      </c>
      <c r="I237" s="77">
        <v>36024.208333333336</v>
      </c>
      <c r="J237" s="77">
        <v>36024.25</v>
      </c>
      <c r="K237" s="77">
        <v>36024.291666666664</v>
      </c>
      <c r="L237" s="77">
        <v>36024.333333333336</v>
      </c>
      <c r="M237" s="77">
        <v>36024.375</v>
      </c>
      <c r="N237" s="77">
        <v>36024.416666666664</v>
      </c>
      <c r="O237" s="77">
        <v>36024.458333333336</v>
      </c>
      <c r="P237" s="77">
        <v>36024.5</v>
      </c>
      <c r="Q237" s="77">
        <v>36024.541666666664</v>
      </c>
      <c r="R237" s="77">
        <v>36024.583333333336</v>
      </c>
      <c r="S237" s="77">
        <v>36024.625</v>
      </c>
      <c r="T237" s="77">
        <v>36024.666666666664</v>
      </c>
      <c r="U237" s="77">
        <v>36024.708333333336</v>
      </c>
      <c r="V237" s="77">
        <v>36024.75</v>
      </c>
      <c r="W237" s="77">
        <v>36024.791666666664</v>
      </c>
      <c r="X237" s="77">
        <v>36024.833333333336</v>
      </c>
      <c r="Y237" s="77">
        <v>36024.875</v>
      </c>
      <c r="Z237" s="77">
        <v>36024.916666666664</v>
      </c>
      <c r="AA237" s="78">
        <v>36024.958333333336</v>
      </c>
      <c r="AC237" s="12">
        <f t="shared" si="31"/>
        <v>228</v>
      </c>
      <c r="AD237" s="98">
        <v>220</v>
      </c>
    </row>
    <row r="238" spans="3:30">
      <c r="C238" s="76">
        <v>229</v>
      </c>
      <c r="D238" s="77">
        <v>36025</v>
      </c>
      <c r="E238" s="77">
        <v>36025.041666666664</v>
      </c>
      <c r="F238" s="77">
        <v>36025.083333333336</v>
      </c>
      <c r="G238" s="77">
        <v>36025.125</v>
      </c>
      <c r="H238" s="77">
        <v>36025.166666666664</v>
      </c>
      <c r="I238" s="77">
        <v>36025.208333333336</v>
      </c>
      <c r="J238" s="77">
        <v>36025.25</v>
      </c>
      <c r="K238" s="77">
        <v>36025.291666666664</v>
      </c>
      <c r="L238" s="77">
        <v>36025.333333333336</v>
      </c>
      <c r="M238" s="77">
        <v>36025.375</v>
      </c>
      <c r="N238" s="77">
        <v>36025.416666666664</v>
      </c>
      <c r="O238" s="77">
        <v>36025.458333333336</v>
      </c>
      <c r="P238" s="77">
        <v>36025.5</v>
      </c>
      <c r="Q238" s="77">
        <v>36025.541666666664</v>
      </c>
      <c r="R238" s="77">
        <v>36025.583333333336</v>
      </c>
      <c r="S238" s="77">
        <v>36025.625</v>
      </c>
      <c r="T238" s="77">
        <v>36025.666666666664</v>
      </c>
      <c r="U238" s="77">
        <v>36025.708333333336</v>
      </c>
      <c r="V238" s="77">
        <v>36025.75</v>
      </c>
      <c r="W238" s="77">
        <v>36025.791666666664</v>
      </c>
      <c r="X238" s="77">
        <v>36025.833333333336</v>
      </c>
      <c r="Y238" s="77">
        <v>36025.875</v>
      </c>
      <c r="Z238" s="77">
        <v>36025.916666666664</v>
      </c>
      <c r="AA238" s="78">
        <v>36025.958333333336</v>
      </c>
      <c r="AC238" s="12">
        <f t="shared" si="31"/>
        <v>229</v>
      </c>
      <c r="AD238" s="98">
        <v>220</v>
      </c>
    </row>
    <row r="239" spans="3:30">
      <c r="C239" s="76">
        <v>230</v>
      </c>
      <c r="D239" s="77">
        <v>36026</v>
      </c>
      <c r="E239" s="77">
        <v>36026.041666666664</v>
      </c>
      <c r="F239" s="77">
        <v>36026.083333333336</v>
      </c>
      <c r="G239" s="77">
        <v>36026.125</v>
      </c>
      <c r="H239" s="77">
        <v>36026.166666666664</v>
      </c>
      <c r="I239" s="77">
        <v>36026.208333333336</v>
      </c>
      <c r="J239" s="77">
        <v>36026.25</v>
      </c>
      <c r="K239" s="77">
        <v>36026.291666666664</v>
      </c>
      <c r="L239" s="77">
        <v>36026.333333333336</v>
      </c>
      <c r="M239" s="77">
        <v>36026.375</v>
      </c>
      <c r="N239" s="77">
        <v>36026.416666666664</v>
      </c>
      <c r="O239" s="77">
        <v>36026.458333333336</v>
      </c>
      <c r="P239" s="77">
        <v>36026.5</v>
      </c>
      <c r="Q239" s="77">
        <v>36026.541666666664</v>
      </c>
      <c r="R239" s="77">
        <v>36026.583333333336</v>
      </c>
      <c r="S239" s="77">
        <v>36026.625</v>
      </c>
      <c r="T239" s="77">
        <v>36026.666666666664</v>
      </c>
      <c r="U239" s="77">
        <v>36026.708333333336</v>
      </c>
      <c r="V239" s="77">
        <v>36026.75</v>
      </c>
      <c r="W239" s="77">
        <v>36026.791666666664</v>
      </c>
      <c r="X239" s="77">
        <v>36026.833333333336</v>
      </c>
      <c r="Y239" s="77">
        <v>36026.875</v>
      </c>
      <c r="Z239" s="77">
        <v>36026.916666666664</v>
      </c>
      <c r="AA239" s="78">
        <v>36026.958333333336</v>
      </c>
      <c r="AC239" s="12">
        <f t="shared" si="31"/>
        <v>230</v>
      </c>
      <c r="AD239" s="98">
        <v>220</v>
      </c>
    </row>
    <row r="240" spans="3:30">
      <c r="C240" s="76">
        <v>231</v>
      </c>
      <c r="D240" s="77">
        <v>36027</v>
      </c>
      <c r="E240" s="77">
        <v>36027.041666666664</v>
      </c>
      <c r="F240" s="77">
        <v>36027.083333333336</v>
      </c>
      <c r="G240" s="77">
        <v>36027.125</v>
      </c>
      <c r="H240" s="77">
        <v>36027.166666666664</v>
      </c>
      <c r="I240" s="77">
        <v>36027.208333333336</v>
      </c>
      <c r="J240" s="77">
        <v>36027.25</v>
      </c>
      <c r="K240" s="77">
        <v>36027.291666666664</v>
      </c>
      <c r="L240" s="77">
        <v>36027.333333333336</v>
      </c>
      <c r="M240" s="77">
        <v>36027.375</v>
      </c>
      <c r="N240" s="77">
        <v>36027.416666666664</v>
      </c>
      <c r="O240" s="77">
        <v>36027.458333333336</v>
      </c>
      <c r="P240" s="77">
        <v>36027.5</v>
      </c>
      <c r="Q240" s="77">
        <v>36027.541666666664</v>
      </c>
      <c r="R240" s="77">
        <v>36027.583333333336</v>
      </c>
      <c r="S240" s="77">
        <v>36027.625</v>
      </c>
      <c r="T240" s="77">
        <v>36027.666666666664</v>
      </c>
      <c r="U240" s="77">
        <v>36027.708333333336</v>
      </c>
      <c r="V240" s="77">
        <v>36027.75</v>
      </c>
      <c r="W240" s="77">
        <v>36027.791666666664</v>
      </c>
      <c r="X240" s="77">
        <v>36027.833333333336</v>
      </c>
      <c r="Y240" s="77">
        <v>36027.875</v>
      </c>
      <c r="Z240" s="77">
        <v>36027.916666666664</v>
      </c>
      <c r="AA240" s="78">
        <v>36027.958333333336</v>
      </c>
      <c r="AC240" s="12">
        <f t="shared" si="31"/>
        <v>231</v>
      </c>
      <c r="AD240" s="98">
        <v>220</v>
      </c>
    </row>
    <row r="241" spans="3:30">
      <c r="C241" s="76">
        <v>232</v>
      </c>
      <c r="D241" s="77">
        <v>36028</v>
      </c>
      <c r="E241" s="77">
        <v>36028.041666666664</v>
      </c>
      <c r="F241" s="77">
        <v>36028.083333333336</v>
      </c>
      <c r="G241" s="77">
        <v>36028.125</v>
      </c>
      <c r="H241" s="77">
        <v>36028.166666666664</v>
      </c>
      <c r="I241" s="77">
        <v>36028.208333333336</v>
      </c>
      <c r="J241" s="77">
        <v>36028.25</v>
      </c>
      <c r="K241" s="77">
        <v>36028.291666666664</v>
      </c>
      <c r="L241" s="77">
        <v>36028.333333333336</v>
      </c>
      <c r="M241" s="77">
        <v>36028.375</v>
      </c>
      <c r="N241" s="77">
        <v>36028.416666666664</v>
      </c>
      <c r="O241" s="77">
        <v>36028.458333333336</v>
      </c>
      <c r="P241" s="77">
        <v>36028.5</v>
      </c>
      <c r="Q241" s="77">
        <v>36028.541666666664</v>
      </c>
      <c r="R241" s="77">
        <v>36028.583333333336</v>
      </c>
      <c r="S241" s="77">
        <v>36028.625</v>
      </c>
      <c r="T241" s="77">
        <v>36028.666666666664</v>
      </c>
      <c r="U241" s="77">
        <v>36028.708333333336</v>
      </c>
      <c r="V241" s="77">
        <v>36028.75</v>
      </c>
      <c r="W241" s="77">
        <v>36028.791666666664</v>
      </c>
      <c r="X241" s="77">
        <v>36028.833333333336</v>
      </c>
      <c r="Y241" s="77">
        <v>36028.875</v>
      </c>
      <c r="Z241" s="77">
        <v>36028.916666666664</v>
      </c>
      <c r="AA241" s="78">
        <v>36028.958333333336</v>
      </c>
      <c r="AC241" s="12">
        <f t="shared" si="31"/>
        <v>232</v>
      </c>
      <c r="AD241" s="98">
        <v>220</v>
      </c>
    </row>
    <row r="242" spans="3:30">
      <c r="C242" s="76">
        <v>233</v>
      </c>
      <c r="D242" s="77">
        <v>36029</v>
      </c>
      <c r="E242" s="77">
        <v>36029.041666666664</v>
      </c>
      <c r="F242" s="77">
        <v>36029.083333333336</v>
      </c>
      <c r="G242" s="77">
        <v>36029.125</v>
      </c>
      <c r="H242" s="77">
        <v>36029.166666666664</v>
      </c>
      <c r="I242" s="77">
        <v>36029.208333333336</v>
      </c>
      <c r="J242" s="77">
        <v>36029.25</v>
      </c>
      <c r="K242" s="77">
        <v>36029.291666666664</v>
      </c>
      <c r="L242" s="77">
        <v>36029.333333333336</v>
      </c>
      <c r="M242" s="77">
        <v>36029.375</v>
      </c>
      <c r="N242" s="77">
        <v>36029.416666666664</v>
      </c>
      <c r="O242" s="77">
        <v>36029.458333333336</v>
      </c>
      <c r="P242" s="77">
        <v>36029.5</v>
      </c>
      <c r="Q242" s="77">
        <v>36029.541666666664</v>
      </c>
      <c r="R242" s="77">
        <v>36029.583333333336</v>
      </c>
      <c r="S242" s="77">
        <v>36029.625</v>
      </c>
      <c r="T242" s="77">
        <v>36029.666666666664</v>
      </c>
      <c r="U242" s="77">
        <v>36029.708333333336</v>
      </c>
      <c r="V242" s="77">
        <v>36029.75</v>
      </c>
      <c r="W242" s="77">
        <v>36029.791666666664</v>
      </c>
      <c r="X242" s="77">
        <v>36029.833333333336</v>
      </c>
      <c r="Y242" s="77">
        <v>36029.875</v>
      </c>
      <c r="Z242" s="77">
        <v>36029.916666666664</v>
      </c>
      <c r="AA242" s="78">
        <v>36029.958333333336</v>
      </c>
      <c r="AC242" s="12">
        <f t="shared" si="31"/>
        <v>233</v>
      </c>
      <c r="AD242" s="98">
        <v>220</v>
      </c>
    </row>
    <row r="243" spans="3:30">
      <c r="C243" s="76">
        <v>234</v>
      </c>
      <c r="D243" s="77">
        <v>36030</v>
      </c>
      <c r="E243" s="77">
        <v>36030.041666666664</v>
      </c>
      <c r="F243" s="77">
        <v>36030.083333333336</v>
      </c>
      <c r="G243" s="77">
        <v>36030.125</v>
      </c>
      <c r="H243" s="77">
        <v>36030.166666666664</v>
      </c>
      <c r="I243" s="77">
        <v>36030.208333333336</v>
      </c>
      <c r="J243" s="77">
        <v>36030.25</v>
      </c>
      <c r="K243" s="77">
        <v>36030.291666666664</v>
      </c>
      <c r="L243" s="77">
        <v>36030.333333333336</v>
      </c>
      <c r="M243" s="77">
        <v>36030.375</v>
      </c>
      <c r="N243" s="77">
        <v>36030.416666666664</v>
      </c>
      <c r="O243" s="77">
        <v>36030.458333333336</v>
      </c>
      <c r="P243" s="77">
        <v>36030.5</v>
      </c>
      <c r="Q243" s="77">
        <v>36030.541666666664</v>
      </c>
      <c r="R243" s="77">
        <v>36030.583333333336</v>
      </c>
      <c r="S243" s="77">
        <v>36030.625</v>
      </c>
      <c r="T243" s="77">
        <v>36030.666666666664</v>
      </c>
      <c r="U243" s="77">
        <v>36030.708333333336</v>
      </c>
      <c r="V243" s="77">
        <v>36030.75</v>
      </c>
      <c r="W243" s="77">
        <v>36030.791666666664</v>
      </c>
      <c r="X243" s="77">
        <v>36030.833333333336</v>
      </c>
      <c r="Y243" s="77">
        <v>36030.875</v>
      </c>
      <c r="Z243" s="77">
        <v>36030.916666666664</v>
      </c>
      <c r="AA243" s="78">
        <v>36030.958333333336</v>
      </c>
      <c r="AC243" s="12">
        <f t="shared" si="31"/>
        <v>234</v>
      </c>
      <c r="AD243" s="98">
        <v>220</v>
      </c>
    </row>
    <row r="244" spans="3:30">
      <c r="C244" s="76">
        <v>235</v>
      </c>
      <c r="D244" s="77">
        <v>36031</v>
      </c>
      <c r="E244" s="77">
        <v>36031.041666666664</v>
      </c>
      <c r="F244" s="77">
        <v>36031.083333333336</v>
      </c>
      <c r="G244" s="77">
        <v>36031.125</v>
      </c>
      <c r="H244" s="77">
        <v>36031.166666666664</v>
      </c>
      <c r="I244" s="77">
        <v>36031.208333333336</v>
      </c>
      <c r="J244" s="77">
        <v>36031.25</v>
      </c>
      <c r="K244" s="77">
        <v>36031.291666666664</v>
      </c>
      <c r="L244" s="77">
        <v>36031.333333333336</v>
      </c>
      <c r="M244" s="77">
        <v>36031.375</v>
      </c>
      <c r="N244" s="77">
        <v>36031.416666666664</v>
      </c>
      <c r="O244" s="77">
        <v>36031.458333333336</v>
      </c>
      <c r="P244" s="77">
        <v>36031.5</v>
      </c>
      <c r="Q244" s="77">
        <v>36031.541666666664</v>
      </c>
      <c r="R244" s="77">
        <v>36031.583333333336</v>
      </c>
      <c r="S244" s="77">
        <v>36031.625</v>
      </c>
      <c r="T244" s="77">
        <v>36031.666666666664</v>
      </c>
      <c r="U244" s="77">
        <v>36031.708333333336</v>
      </c>
      <c r="V244" s="77">
        <v>36031.75</v>
      </c>
      <c r="W244" s="77">
        <v>36031.791666666664</v>
      </c>
      <c r="X244" s="77">
        <v>36031.833333333336</v>
      </c>
      <c r="Y244" s="77">
        <v>36031.875</v>
      </c>
      <c r="Z244" s="77">
        <v>36031.916666666664</v>
      </c>
      <c r="AA244" s="78">
        <v>36031.958333333336</v>
      </c>
      <c r="AC244" s="12">
        <f t="shared" si="31"/>
        <v>235</v>
      </c>
      <c r="AD244" s="98">
        <v>220</v>
      </c>
    </row>
    <row r="245" spans="3:30">
      <c r="C245" s="76">
        <v>236</v>
      </c>
      <c r="D245" s="77">
        <v>36032</v>
      </c>
      <c r="E245" s="77">
        <v>36032.041666666664</v>
      </c>
      <c r="F245" s="77">
        <v>36032.083333333336</v>
      </c>
      <c r="G245" s="77">
        <v>36032.125</v>
      </c>
      <c r="H245" s="77">
        <v>36032.166666666664</v>
      </c>
      <c r="I245" s="77">
        <v>36032.208333333336</v>
      </c>
      <c r="J245" s="77">
        <v>36032.25</v>
      </c>
      <c r="K245" s="77">
        <v>36032.291666666664</v>
      </c>
      <c r="L245" s="77">
        <v>36032.333333333336</v>
      </c>
      <c r="M245" s="77">
        <v>36032.375</v>
      </c>
      <c r="N245" s="77">
        <v>36032.416666666664</v>
      </c>
      <c r="O245" s="77">
        <v>36032.458333333336</v>
      </c>
      <c r="P245" s="77">
        <v>36032.5</v>
      </c>
      <c r="Q245" s="77">
        <v>36032.541666666664</v>
      </c>
      <c r="R245" s="77">
        <v>36032.583333333336</v>
      </c>
      <c r="S245" s="77">
        <v>36032.625</v>
      </c>
      <c r="T245" s="77">
        <v>36032.666666666664</v>
      </c>
      <c r="U245" s="77">
        <v>36032.708333333336</v>
      </c>
      <c r="V245" s="77">
        <v>36032.75</v>
      </c>
      <c r="W245" s="77">
        <v>36032.791666666664</v>
      </c>
      <c r="X245" s="77">
        <v>36032.833333333336</v>
      </c>
      <c r="Y245" s="77">
        <v>36032.875</v>
      </c>
      <c r="Z245" s="77">
        <v>36032.916666666664</v>
      </c>
      <c r="AA245" s="78">
        <v>36032.958333333336</v>
      </c>
      <c r="AC245" s="12">
        <f t="shared" si="31"/>
        <v>236</v>
      </c>
      <c r="AD245" s="98">
        <v>220</v>
      </c>
    </row>
    <row r="246" spans="3:30">
      <c r="C246" s="76">
        <v>237</v>
      </c>
      <c r="D246" s="77">
        <v>36033</v>
      </c>
      <c r="E246" s="77">
        <v>36033.041666666664</v>
      </c>
      <c r="F246" s="77">
        <v>36033.083333333336</v>
      </c>
      <c r="G246" s="77">
        <v>36033.125</v>
      </c>
      <c r="H246" s="77">
        <v>36033.166666666664</v>
      </c>
      <c r="I246" s="77">
        <v>36033.208333333336</v>
      </c>
      <c r="J246" s="77">
        <v>36033.25</v>
      </c>
      <c r="K246" s="77">
        <v>36033.291666666664</v>
      </c>
      <c r="L246" s="77">
        <v>36033.333333333336</v>
      </c>
      <c r="M246" s="77">
        <v>36033.375</v>
      </c>
      <c r="N246" s="77">
        <v>36033.416666666664</v>
      </c>
      <c r="O246" s="77">
        <v>36033.458333333336</v>
      </c>
      <c r="P246" s="77">
        <v>36033.5</v>
      </c>
      <c r="Q246" s="77">
        <v>36033.541666666664</v>
      </c>
      <c r="R246" s="77">
        <v>36033.583333333336</v>
      </c>
      <c r="S246" s="77">
        <v>36033.625</v>
      </c>
      <c r="T246" s="77">
        <v>36033.666666666664</v>
      </c>
      <c r="U246" s="77">
        <v>36033.708333333336</v>
      </c>
      <c r="V246" s="77">
        <v>36033.75</v>
      </c>
      <c r="W246" s="77">
        <v>36033.791666666664</v>
      </c>
      <c r="X246" s="77">
        <v>36033.833333333336</v>
      </c>
      <c r="Y246" s="77">
        <v>36033.875</v>
      </c>
      <c r="Z246" s="77">
        <v>36033.916666666664</v>
      </c>
      <c r="AA246" s="78">
        <v>36033.958333333336</v>
      </c>
      <c r="AC246" s="12">
        <f t="shared" si="31"/>
        <v>237</v>
      </c>
      <c r="AD246" s="98">
        <v>220</v>
      </c>
    </row>
    <row r="247" spans="3:30">
      <c r="C247" s="76">
        <v>238</v>
      </c>
      <c r="D247" s="77">
        <v>36034</v>
      </c>
      <c r="E247" s="77">
        <v>36034.041666666664</v>
      </c>
      <c r="F247" s="77">
        <v>36034.083333333336</v>
      </c>
      <c r="G247" s="77">
        <v>36034.125</v>
      </c>
      <c r="H247" s="77">
        <v>36034.166666666664</v>
      </c>
      <c r="I247" s="77">
        <v>36034.208333333336</v>
      </c>
      <c r="J247" s="77">
        <v>36034.25</v>
      </c>
      <c r="K247" s="77">
        <v>36034.291666666664</v>
      </c>
      <c r="L247" s="77">
        <v>36034.333333333336</v>
      </c>
      <c r="M247" s="77">
        <v>36034.375</v>
      </c>
      <c r="N247" s="77">
        <v>36034.416666666664</v>
      </c>
      <c r="O247" s="77">
        <v>36034.458333333336</v>
      </c>
      <c r="P247" s="77">
        <v>36034.5</v>
      </c>
      <c r="Q247" s="77">
        <v>36034.541666666664</v>
      </c>
      <c r="R247" s="77">
        <v>36034.583333333336</v>
      </c>
      <c r="S247" s="77">
        <v>36034.625</v>
      </c>
      <c r="T247" s="77">
        <v>36034.666666666664</v>
      </c>
      <c r="U247" s="77">
        <v>36034.708333333336</v>
      </c>
      <c r="V247" s="77">
        <v>36034.75</v>
      </c>
      <c r="W247" s="77">
        <v>36034.791666666664</v>
      </c>
      <c r="X247" s="77">
        <v>36034.833333333336</v>
      </c>
      <c r="Y247" s="77">
        <v>36034.875</v>
      </c>
      <c r="Z247" s="77">
        <v>36034.916666666664</v>
      </c>
      <c r="AA247" s="78">
        <v>36034.958333333336</v>
      </c>
      <c r="AC247" s="12">
        <f t="shared" si="31"/>
        <v>238</v>
      </c>
      <c r="AD247" s="98">
        <v>220</v>
      </c>
    </row>
    <row r="248" spans="3:30">
      <c r="C248" s="76">
        <v>239</v>
      </c>
      <c r="D248" s="77">
        <v>36035</v>
      </c>
      <c r="E248" s="77">
        <v>36035.041666666664</v>
      </c>
      <c r="F248" s="77">
        <v>36035.083333333336</v>
      </c>
      <c r="G248" s="77">
        <v>36035.125</v>
      </c>
      <c r="H248" s="77">
        <v>36035.166666666664</v>
      </c>
      <c r="I248" s="77">
        <v>36035.208333333336</v>
      </c>
      <c r="J248" s="77">
        <v>36035.25</v>
      </c>
      <c r="K248" s="77">
        <v>36035.291666666664</v>
      </c>
      <c r="L248" s="77">
        <v>36035.333333333336</v>
      </c>
      <c r="M248" s="77">
        <v>36035.375</v>
      </c>
      <c r="N248" s="77">
        <v>36035.416666666664</v>
      </c>
      <c r="O248" s="77">
        <v>36035.458333333336</v>
      </c>
      <c r="P248" s="77">
        <v>36035.5</v>
      </c>
      <c r="Q248" s="77">
        <v>36035.541666666664</v>
      </c>
      <c r="R248" s="77">
        <v>36035.583333333336</v>
      </c>
      <c r="S248" s="77">
        <v>36035.625</v>
      </c>
      <c r="T248" s="77">
        <v>36035.666666666664</v>
      </c>
      <c r="U248" s="77">
        <v>36035.708333333336</v>
      </c>
      <c r="V248" s="77">
        <v>36035.75</v>
      </c>
      <c r="W248" s="77">
        <v>36035.791666666664</v>
      </c>
      <c r="X248" s="77">
        <v>36035.833333333336</v>
      </c>
      <c r="Y248" s="77">
        <v>36035.875</v>
      </c>
      <c r="Z248" s="77">
        <v>36035.916666666664</v>
      </c>
      <c r="AA248" s="78">
        <v>36035.958333333336</v>
      </c>
      <c r="AC248" s="12">
        <f t="shared" si="31"/>
        <v>239</v>
      </c>
      <c r="AD248" s="98">
        <v>220</v>
      </c>
    </row>
    <row r="249" spans="3:30">
      <c r="C249" s="76">
        <v>240</v>
      </c>
      <c r="D249" s="77">
        <v>36036</v>
      </c>
      <c r="E249" s="77">
        <v>36036.041666666664</v>
      </c>
      <c r="F249" s="77">
        <v>36036.083333333336</v>
      </c>
      <c r="G249" s="77">
        <v>36036.125</v>
      </c>
      <c r="H249" s="77">
        <v>36036.166666666664</v>
      </c>
      <c r="I249" s="77">
        <v>36036.208333333336</v>
      </c>
      <c r="J249" s="77">
        <v>36036.25</v>
      </c>
      <c r="K249" s="77">
        <v>36036.291666666664</v>
      </c>
      <c r="L249" s="77">
        <v>36036.333333333336</v>
      </c>
      <c r="M249" s="77">
        <v>36036.375</v>
      </c>
      <c r="N249" s="77">
        <v>36036.416666666664</v>
      </c>
      <c r="O249" s="77">
        <v>36036.458333333336</v>
      </c>
      <c r="P249" s="77">
        <v>36036.5</v>
      </c>
      <c r="Q249" s="77">
        <v>36036.541666666664</v>
      </c>
      <c r="R249" s="77">
        <v>36036.583333333336</v>
      </c>
      <c r="S249" s="77">
        <v>36036.625</v>
      </c>
      <c r="T249" s="77">
        <v>36036.666666666664</v>
      </c>
      <c r="U249" s="77">
        <v>36036.708333333336</v>
      </c>
      <c r="V249" s="77">
        <v>36036.75</v>
      </c>
      <c r="W249" s="77">
        <v>36036.791666666664</v>
      </c>
      <c r="X249" s="77">
        <v>36036.833333333336</v>
      </c>
      <c r="Y249" s="77">
        <v>36036.875</v>
      </c>
      <c r="Z249" s="77">
        <v>36036.916666666664</v>
      </c>
      <c r="AA249" s="78">
        <v>36036.958333333336</v>
      </c>
      <c r="AC249" s="12">
        <f t="shared" si="31"/>
        <v>240</v>
      </c>
      <c r="AD249" s="98">
        <v>220</v>
      </c>
    </row>
    <row r="250" spans="3:30">
      <c r="C250" s="76">
        <v>241</v>
      </c>
      <c r="D250" s="77">
        <v>36037</v>
      </c>
      <c r="E250" s="77">
        <v>36037.041666666664</v>
      </c>
      <c r="F250" s="77">
        <v>36037.083333333336</v>
      </c>
      <c r="G250" s="77">
        <v>36037.125</v>
      </c>
      <c r="H250" s="77">
        <v>36037.166666666664</v>
      </c>
      <c r="I250" s="77">
        <v>36037.208333333336</v>
      </c>
      <c r="J250" s="77">
        <v>36037.25</v>
      </c>
      <c r="K250" s="77">
        <v>36037.291666666664</v>
      </c>
      <c r="L250" s="77">
        <v>36037.333333333336</v>
      </c>
      <c r="M250" s="77">
        <v>36037.375</v>
      </c>
      <c r="N250" s="77">
        <v>36037.416666666664</v>
      </c>
      <c r="O250" s="77">
        <v>36037.458333333336</v>
      </c>
      <c r="P250" s="77">
        <v>36037.5</v>
      </c>
      <c r="Q250" s="77">
        <v>36037.541666666664</v>
      </c>
      <c r="R250" s="77">
        <v>36037.583333333336</v>
      </c>
      <c r="S250" s="77">
        <v>36037.625</v>
      </c>
      <c r="T250" s="77">
        <v>36037.666666666664</v>
      </c>
      <c r="U250" s="77">
        <v>36037.708333333336</v>
      </c>
      <c r="V250" s="77">
        <v>36037.75</v>
      </c>
      <c r="W250" s="77">
        <v>36037.791666666664</v>
      </c>
      <c r="X250" s="77">
        <v>36037.833333333336</v>
      </c>
      <c r="Y250" s="77">
        <v>36037.875</v>
      </c>
      <c r="Z250" s="77">
        <v>36037.916666666664</v>
      </c>
      <c r="AA250" s="78">
        <v>36037.958333333336</v>
      </c>
      <c r="AC250" s="12">
        <f t="shared" si="31"/>
        <v>241</v>
      </c>
      <c r="AD250" s="98">
        <v>220</v>
      </c>
    </row>
    <row r="251" spans="3:30">
      <c r="C251" s="76">
        <v>242</v>
      </c>
      <c r="D251" s="77">
        <v>36038</v>
      </c>
      <c r="E251" s="77">
        <v>36038.041666666664</v>
      </c>
      <c r="F251" s="77">
        <v>36038.083333333336</v>
      </c>
      <c r="G251" s="77">
        <v>36038.125</v>
      </c>
      <c r="H251" s="77">
        <v>36038.166666666664</v>
      </c>
      <c r="I251" s="77">
        <v>36038.208333333336</v>
      </c>
      <c r="J251" s="77">
        <v>36038.25</v>
      </c>
      <c r="K251" s="77">
        <v>36038.291666666664</v>
      </c>
      <c r="L251" s="77">
        <v>36038.333333333336</v>
      </c>
      <c r="M251" s="77">
        <v>36038.375</v>
      </c>
      <c r="N251" s="77">
        <v>36038.416666666664</v>
      </c>
      <c r="O251" s="77">
        <v>36038.458333333336</v>
      </c>
      <c r="P251" s="77">
        <v>36038.5</v>
      </c>
      <c r="Q251" s="77">
        <v>36038.541666666664</v>
      </c>
      <c r="R251" s="77">
        <v>36038.583333333336</v>
      </c>
      <c r="S251" s="77">
        <v>36038.625</v>
      </c>
      <c r="T251" s="77">
        <v>36038.666666666664</v>
      </c>
      <c r="U251" s="77">
        <v>36038.708333333336</v>
      </c>
      <c r="V251" s="77">
        <v>36038.75</v>
      </c>
      <c r="W251" s="77">
        <v>36038.791666666664</v>
      </c>
      <c r="X251" s="77">
        <v>36038.833333333336</v>
      </c>
      <c r="Y251" s="77">
        <v>36038.875</v>
      </c>
      <c r="Z251" s="77">
        <v>36038.916666666664</v>
      </c>
      <c r="AA251" s="78">
        <v>36038.958333333336</v>
      </c>
      <c r="AC251" s="12">
        <f t="shared" si="31"/>
        <v>242</v>
      </c>
      <c r="AD251" s="98">
        <v>220</v>
      </c>
    </row>
    <row r="252" spans="3:30">
      <c r="C252" s="76">
        <v>243</v>
      </c>
      <c r="D252" s="77">
        <v>36039</v>
      </c>
      <c r="E252" s="77">
        <v>36039.041666666664</v>
      </c>
      <c r="F252" s="77">
        <v>36039.083333333336</v>
      </c>
      <c r="G252" s="77">
        <v>36039.125</v>
      </c>
      <c r="H252" s="77">
        <v>36039.166666666664</v>
      </c>
      <c r="I252" s="77">
        <v>36039.208333333336</v>
      </c>
      <c r="J252" s="77">
        <v>36039.25</v>
      </c>
      <c r="K252" s="77">
        <v>36039.291666666664</v>
      </c>
      <c r="L252" s="77">
        <v>36039.333333333336</v>
      </c>
      <c r="M252" s="77">
        <v>36039.375</v>
      </c>
      <c r="N252" s="77">
        <v>36039.416666666664</v>
      </c>
      <c r="O252" s="77">
        <v>36039.458333333336</v>
      </c>
      <c r="P252" s="77">
        <v>36039.5</v>
      </c>
      <c r="Q252" s="77">
        <v>36039.541666666664</v>
      </c>
      <c r="R252" s="77">
        <v>36039.583333333336</v>
      </c>
      <c r="S252" s="77">
        <v>36039.625</v>
      </c>
      <c r="T252" s="77">
        <v>36039.666666666664</v>
      </c>
      <c r="U252" s="77">
        <v>36039.708333333336</v>
      </c>
      <c r="V252" s="77">
        <v>36039.75</v>
      </c>
      <c r="W252" s="77">
        <v>36039.791666666664</v>
      </c>
      <c r="X252" s="77">
        <v>36039.833333333336</v>
      </c>
      <c r="Y252" s="77">
        <v>36039.875</v>
      </c>
      <c r="Z252" s="77">
        <v>36039.916666666664</v>
      </c>
      <c r="AA252" s="78">
        <v>36039.958333333336</v>
      </c>
      <c r="AC252" s="12">
        <f t="shared" si="31"/>
        <v>243</v>
      </c>
      <c r="AD252" s="98">
        <v>250</v>
      </c>
    </row>
    <row r="253" spans="3:30">
      <c r="C253" s="76">
        <v>244</v>
      </c>
      <c r="D253" s="77">
        <v>36040</v>
      </c>
      <c r="E253" s="77">
        <v>36040.041666666664</v>
      </c>
      <c r="F253" s="77">
        <v>36040.083333333336</v>
      </c>
      <c r="G253" s="77">
        <v>36040.125</v>
      </c>
      <c r="H253" s="77">
        <v>36040.166666666664</v>
      </c>
      <c r="I253" s="77">
        <v>36040.208333333336</v>
      </c>
      <c r="J253" s="77">
        <v>36040.25</v>
      </c>
      <c r="K253" s="77">
        <v>36040.291666666664</v>
      </c>
      <c r="L253" s="77">
        <v>36040.333333333336</v>
      </c>
      <c r="M253" s="77">
        <v>36040.375</v>
      </c>
      <c r="N253" s="77">
        <v>36040.416666666664</v>
      </c>
      <c r="O253" s="77">
        <v>36040.458333333336</v>
      </c>
      <c r="P253" s="77">
        <v>36040.5</v>
      </c>
      <c r="Q253" s="77">
        <v>36040.541666666664</v>
      </c>
      <c r="R253" s="77">
        <v>36040.583333333336</v>
      </c>
      <c r="S253" s="77">
        <v>36040.625</v>
      </c>
      <c r="T253" s="77">
        <v>36040.666666666664</v>
      </c>
      <c r="U253" s="77">
        <v>36040.708333333336</v>
      </c>
      <c r="V253" s="77">
        <v>36040.75</v>
      </c>
      <c r="W253" s="77">
        <v>36040.791666666664</v>
      </c>
      <c r="X253" s="77">
        <v>36040.833333333336</v>
      </c>
      <c r="Y253" s="77">
        <v>36040.875</v>
      </c>
      <c r="Z253" s="77">
        <v>36040.916666666664</v>
      </c>
      <c r="AA253" s="78">
        <v>36040.958333333336</v>
      </c>
      <c r="AC253" s="12">
        <f t="shared" si="31"/>
        <v>244</v>
      </c>
      <c r="AD253" s="98">
        <v>250</v>
      </c>
    </row>
    <row r="254" spans="3:30">
      <c r="C254" s="76">
        <v>245</v>
      </c>
      <c r="D254" s="77">
        <v>36041</v>
      </c>
      <c r="E254" s="77">
        <v>36041.041666666664</v>
      </c>
      <c r="F254" s="77">
        <v>36041.083333333336</v>
      </c>
      <c r="G254" s="77">
        <v>36041.125</v>
      </c>
      <c r="H254" s="77">
        <v>36041.166666666664</v>
      </c>
      <c r="I254" s="77">
        <v>36041.208333333336</v>
      </c>
      <c r="J254" s="77">
        <v>36041.25</v>
      </c>
      <c r="K254" s="77">
        <v>36041.291666666664</v>
      </c>
      <c r="L254" s="77">
        <v>36041.333333333336</v>
      </c>
      <c r="M254" s="77">
        <v>36041.375</v>
      </c>
      <c r="N254" s="77">
        <v>36041.416666666664</v>
      </c>
      <c r="O254" s="77">
        <v>36041.458333333336</v>
      </c>
      <c r="P254" s="77">
        <v>36041.5</v>
      </c>
      <c r="Q254" s="77">
        <v>36041.541666666664</v>
      </c>
      <c r="R254" s="77">
        <v>36041.583333333336</v>
      </c>
      <c r="S254" s="77">
        <v>36041.625</v>
      </c>
      <c r="T254" s="77">
        <v>36041.666666666664</v>
      </c>
      <c r="U254" s="77">
        <v>36041.708333333336</v>
      </c>
      <c r="V254" s="77">
        <v>36041.75</v>
      </c>
      <c r="W254" s="77">
        <v>36041.791666666664</v>
      </c>
      <c r="X254" s="77">
        <v>36041.833333333336</v>
      </c>
      <c r="Y254" s="77">
        <v>36041.875</v>
      </c>
      <c r="Z254" s="77">
        <v>36041.916666666664</v>
      </c>
      <c r="AA254" s="78">
        <v>36041.958333333336</v>
      </c>
      <c r="AC254" s="12">
        <f t="shared" si="31"/>
        <v>245</v>
      </c>
      <c r="AD254" s="98">
        <v>250</v>
      </c>
    </row>
    <row r="255" spans="3:30">
      <c r="C255" s="76">
        <v>246</v>
      </c>
      <c r="D255" s="77">
        <v>36042</v>
      </c>
      <c r="E255" s="77">
        <v>36042.041666666664</v>
      </c>
      <c r="F255" s="77">
        <v>36042.083333333336</v>
      </c>
      <c r="G255" s="77">
        <v>36042.125</v>
      </c>
      <c r="H255" s="77">
        <v>36042.166666666664</v>
      </c>
      <c r="I255" s="77">
        <v>36042.208333333336</v>
      </c>
      <c r="J255" s="77">
        <v>36042.25</v>
      </c>
      <c r="K255" s="77">
        <v>36042.291666666664</v>
      </c>
      <c r="L255" s="77">
        <v>36042.333333333336</v>
      </c>
      <c r="M255" s="77">
        <v>36042.375</v>
      </c>
      <c r="N255" s="77">
        <v>36042.416666666664</v>
      </c>
      <c r="O255" s="77">
        <v>36042.458333333336</v>
      </c>
      <c r="P255" s="77">
        <v>36042.5</v>
      </c>
      <c r="Q255" s="77">
        <v>36042.541666666664</v>
      </c>
      <c r="R255" s="77">
        <v>36042.583333333336</v>
      </c>
      <c r="S255" s="77">
        <v>36042.625</v>
      </c>
      <c r="T255" s="77">
        <v>36042.666666666664</v>
      </c>
      <c r="U255" s="77">
        <v>36042.708333333336</v>
      </c>
      <c r="V255" s="77">
        <v>36042.75</v>
      </c>
      <c r="W255" s="77">
        <v>36042.791666666664</v>
      </c>
      <c r="X255" s="77">
        <v>36042.833333333336</v>
      </c>
      <c r="Y255" s="77">
        <v>36042.875</v>
      </c>
      <c r="Z255" s="77">
        <v>36042.916666666664</v>
      </c>
      <c r="AA255" s="78">
        <v>36042.958333333336</v>
      </c>
      <c r="AC255" s="12">
        <f t="shared" si="31"/>
        <v>246</v>
      </c>
      <c r="AD255" s="98">
        <v>250</v>
      </c>
    </row>
    <row r="256" spans="3:30">
      <c r="C256" s="76">
        <v>247</v>
      </c>
      <c r="D256" s="77">
        <v>36043</v>
      </c>
      <c r="E256" s="77">
        <v>36043.041666666664</v>
      </c>
      <c r="F256" s="77">
        <v>36043.083333333336</v>
      </c>
      <c r="G256" s="77">
        <v>36043.125</v>
      </c>
      <c r="H256" s="77">
        <v>36043.166666666664</v>
      </c>
      <c r="I256" s="77">
        <v>36043.208333333336</v>
      </c>
      <c r="J256" s="77">
        <v>36043.25</v>
      </c>
      <c r="K256" s="77">
        <v>36043.291666666664</v>
      </c>
      <c r="L256" s="77">
        <v>36043.333333333336</v>
      </c>
      <c r="M256" s="77">
        <v>36043.375</v>
      </c>
      <c r="N256" s="77">
        <v>36043.416666666664</v>
      </c>
      <c r="O256" s="77">
        <v>36043.458333333336</v>
      </c>
      <c r="P256" s="77">
        <v>36043.5</v>
      </c>
      <c r="Q256" s="77">
        <v>36043.541666666664</v>
      </c>
      <c r="R256" s="77">
        <v>36043.583333333336</v>
      </c>
      <c r="S256" s="77">
        <v>36043.625</v>
      </c>
      <c r="T256" s="77">
        <v>36043.666666666664</v>
      </c>
      <c r="U256" s="77">
        <v>36043.708333333336</v>
      </c>
      <c r="V256" s="77">
        <v>36043.75</v>
      </c>
      <c r="W256" s="77">
        <v>36043.791666666664</v>
      </c>
      <c r="X256" s="77">
        <v>36043.833333333336</v>
      </c>
      <c r="Y256" s="77">
        <v>36043.875</v>
      </c>
      <c r="Z256" s="77">
        <v>36043.916666666664</v>
      </c>
      <c r="AA256" s="78">
        <v>36043.958333333336</v>
      </c>
      <c r="AC256" s="12">
        <f t="shared" si="31"/>
        <v>247</v>
      </c>
      <c r="AD256" s="98">
        <v>250</v>
      </c>
    </row>
    <row r="257" spans="3:30">
      <c r="C257" s="76">
        <v>248</v>
      </c>
      <c r="D257" s="77">
        <v>36044</v>
      </c>
      <c r="E257" s="77">
        <v>36044.041666666664</v>
      </c>
      <c r="F257" s="77">
        <v>36044.083333333336</v>
      </c>
      <c r="G257" s="77">
        <v>36044.125</v>
      </c>
      <c r="H257" s="77">
        <v>36044.166666666664</v>
      </c>
      <c r="I257" s="77">
        <v>36044.208333333336</v>
      </c>
      <c r="J257" s="77">
        <v>36044.25</v>
      </c>
      <c r="K257" s="77">
        <v>36044.291666666664</v>
      </c>
      <c r="L257" s="77">
        <v>36044.333333333336</v>
      </c>
      <c r="M257" s="77">
        <v>36044.375</v>
      </c>
      <c r="N257" s="77">
        <v>36044.416666666664</v>
      </c>
      <c r="O257" s="77">
        <v>36044.458333333336</v>
      </c>
      <c r="P257" s="77">
        <v>36044.5</v>
      </c>
      <c r="Q257" s="77">
        <v>36044.541666666664</v>
      </c>
      <c r="R257" s="77">
        <v>36044.583333333336</v>
      </c>
      <c r="S257" s="77">
        <v>36044.625</v>
      </c>
      <c r="T257" s="77">
        <v>36044.666666666664</v>
      </c>
      <c r="U257" s="77">
        <v>36044.708333333336</v>
      </c>
      <c r="V257" s="77">
        <v>36044.75</v>
      </c>
      <c r="W257" s="77">
        <v>36044.791666666664</v>
      </c>
      <c r="X257" s="77">
        <v>36044.833333333336</v>
      </c>
      <c r="Y257" s="77">
        <v>36044.875</v>
      </c>
      <c r="Z257" s="77">
        <v>36044.916666666664</v>
      </c>
      <c r="AA257" s="78">
        <v>36044.958333333336</v>
      </c>
      <c r="AC257" s="12">
        <f t="shared" si="31"/>
        <v>248</v>
      </c>
      <c r="AD257" s="98">
        <v>250</v>
      </c>
    </row>
    <row r="258" spans="3:30">
      <c r="C258" s="76">
        <v>249</v>
      </c>
      <c r="D258" s="77">
        <v>36045</v>
      </c>
      <c r="E258" s="77">
        <v>36045.041666666664</v>
      </c>
      <c r="F258" s="77">
        <v>36045.083333333336</v>
      </c>
      <c r="G258" s="77">
        <v>36045.125</v>
      </c>
      <c r="H258" s="77">
        <v>36045.166666666664</v>
      </c>
      <c r="I258" s="77">
        <v>36045.208333333336</v>
      </c>
      <c r="J258" s="77">
        <v>36045.25</v>
      </c>
      <c r="K258" s="77">
        <v>36045.291666666664</v>
      </c>
      <c r="L258" s="77">
        <v>36045.333333333336</v>
      </c>
      <c r="M258" s="77">
        <v>36045.375</v>
      </c>
      <c r="N258" s="77">
        <v>36045.416666666664</v>
      </c>
      <c r="O258" s="77">
        <v>36045.458333333336</v>
      </c>
      <c r="P258" s="77">
        <v>36045.5</v>
      </c>
      <c r="Q258" s="77">
        <v>36045.541666666664</v>
      </c>
      <c r="R258" s="77">
        <v>36045.583333333336</v>
      </c>
      <c r="S258" s="77">
        <v>36045.625</v>
      </c>
      <c r="T258" s="77">
        <v>36045.666666666664</v>
      </c>
      <c r="U258" s="77">
        <v>36045.708333333336</v>
      </c>
      <c r="V258" s="77">
        <v>36045.75</v>
      </c>
      <c r="W258" s="77">
        <v>36045.791666666664</v>
      </c>
      <c r="X258" s="77">
        <v>36045.833333333336</v>
      </c>
      <c r="Y258" s="77">
        <v>36045.875</v>
      </c>
      <c r="Z258" s="77">
        <v>36045.916666666664</v>
      </c>
      <c r="AA258" s="78">
        <v>36045.958333333336</v>
      </c>
      <c r="AC258" s="12">
        <f t="shared" si="31"/>
        <v>249</v>
      </c>
      <c r="AD258" s="98">
        <v>250</v>
      </c>
    </row>
    <row r="259" spans="3:30">
      <c r="C259" s="76">
        <v>250</v>
      </c>
      <c r="D259" s="77">
        <v>36046</v>
      </c>
      <c r="E259" s="77">
        <v>36046.041666666664</v>
      </c>
      <c r="F259" s="77">
        <v>36046.083333333336</v>
      </c>
      <c r="G259" s="77">
        <v>36046.125</v>
      </c>
      <c r="H259" s="77">
        <v>36046.166666666664</v>
      </c>
      <c r="I259" s="77">
        <v>36046.208333333336</v>
      </c>
      <c r="J259" s="77">
        <v>36046.25</v>
      </c>
      <c r="K259" s="77">
        <v>36046.291666666664</v>
      </c>
      <c r="L259" s="77">
        <v>36046.333333333336</v>
      </c>
      <c r="M259" s="77">
        <v>36046.375</v>
      </c>
      <c r="N259" s="77">
        <v>36046.416666666664</v>
      </c>
      <c r="O259" s="77">
        <v>36046.458333333336</v>
      </c>
      <c r="P259" s="77">
        <v>36046.5</v>
      </c>
      <c r="Q259" s="77">
        <v>36046.541666666664</v>
      </c>
      <c r="R259" s="77">
        <v>36046.583333333336</v>
      </c>
      <c r="S259" s="77">
        <v>36046.625</v>
      </c>
      <c r="T259" s="77">
        <v>36046.666666666664</v>
      </c>
      <c r="U259" s="77">
        <v>36046.708333333336</v>
      </c>
      <c r="V259" s="77">
        <v>36046.75</v>
      </c>
      <c r="W259" s="77">
        <v>36046.791666666664</v>
      </c>
      <c r="X259" s="77">
        <v>36046.833333333336</v>
      </c>
      <c r="Y259" s="77">
        <v>36046.875</v>
      </c>
      <c r="Z259" s="77">
        <v>36046.916666666664</v>
      </c>
      <c r="AA259" s="78">
        <v>36046.958333333336</v>
      </c>
      <c r="AC259" s="12">
        <f t="shared" si="31"/>
        <v>250</v>
      </c>
      <c r="AD259" s="98">
        <v>250</v>
      </c>
    </row>
    <row r="260" spans="3:30">
      <c r="C260" s="76">
        <v>251</v>
      </c>
      <c r="D260" s="77">
        <v>36047</v>
      </c>
      <c r="E260" s="77">
        <v>36047.041666666664</v>
      </c>
      <c r="F260" s="77">
        <v>36047.083333333336</v>
      </c>
      <c r="G260" s="77">
        <v>36047.125</v>
      </c>
      <c r="H260" s="77">
        <v>36047.166666666664</v>
      </c>
      <c r="I260" s="77">
        <v>36047.208333333336</v>
      </c>
      <c r="J260" s="77">
        <v>36047.25</v>
      </c>
      <c r="K260" s="77">
        <v>36047.291666666664</v>
      </c>
      <c r="L260" s="77">
        <v>36047.333333333336</v>
      </c>
      <c r="M260" s="77">
        <v>36047.375</v>
      </c>
      <c r="N260" s="77">
        <v>36047.416666666664</v>
      </c>
      <c r="O260" s="77">
        <v>36047.458333333336</v>
      </c>
      <c r="P260" s="77">
        <v>36047.5</v>
      </c>
      <c r="Q260" s="77">
        <v>36047.541666666664</v>
      </c>
      <c r="R260" s="77">
        <v>36047.583333333336</v>
      </c>
      <c r="S260" s="77">
        <v>36047.625</v>
      </c>
      <c r="T260" s="77">
        <v>36047.666666666664</v>
      </c>
      <c r="U260" s="77">
        <v>36047.708333333336</v>
      </c>
      <c r="V260" s="77">
        <v>36047.75</v>
      </c>
      <c r="W260" s="77">
        <v>36047.791666666664</v>
      </c>
      <c r="X260" s="77">
        <v>36047.833333333336</v>
      </c>
      <c r="Y260" s="77">
        <v>36047.875</v>
      </c>
      <c r="Z260" s="77">
        <v>36047.916666666664</v>
      </c>
      <c r="AA260" s="78">
        <v>36047.958333333336</v>
      </c>
      <c r="AC260" s="12">
        <f t="shared" si="31"/>
        <v>251</v>
      </c>
      <c r="AD260" s="98">
        <v>250</v>
      </c>
    </row>
    <row r="261" spans="3:30">
      <c r="C261" s="76">
        <v>252</v>
      </c>
      <c r="D261" s="77">
        <v>36048</v>
      </c>
      <c r="E261" s="77">
        <v>36048.041666666664</v>
      </c>
      <c r="F261" s="77">
        <v>36048.083333333336</v>
      </c>
      <c r="G261" s="77">
        <v>36048.125</v>
      </c>
      <c r="H261" s="77">
        <v>36048.166666666664</v>
      </c>
      <c r="I261" s="77">
        <v>36048.208333333336</v>
      </c>
      <c r="J261" s="77">
        <v>36048.25</v>
      </c>
      <c r="K261" s="77">
        <v>36048.291666666664</v>
      </c>
      <c r="L261" s="77">
        <v>36048.333333333336</v>
      </c>
      <c r="M261" s="77">
        <v>36048.375</v>
      </c>
      <c r="N261" s="77">
        <v>36048.416666666664</v>
      </c>
      <c r="O261" s="77">
        <v>36048.458333333336</v>
      </c>
      <c r="P261" s="77">
        <v>36048.5</v>
      </c>
      <c r="Q261" s="77">
        <v>36048.541666666664</v>
      </c>
      <c r="R261" s="77">
        <v>36048.583333333336</v>
      </c>
      <c r="S261" s="77">
        <v>36048.625</v>
      </c>
      <c r="T261" s="77">
        <v>36048.666666666664</v>
      </c>
      <c r="U261" s="77">
        <v>36048.708333333336</v>
      </c>
      <c r="V261" s="77">
        <v>36048.75</v>
      </c>
      <c r="W261" s="77">
        <v>36048.791666666664</v>
      </c>
      <c r="X261" s="77">
        <v>36048.833333333336</v>
      </c>
      <c r="Y261" s="77">
        <v>36048.875</v>
      </c>
      <c r="Z261" s="77">
        <v>36048.916666666664</v>
      </c>
      <c r="AA261" s="78">
        <v>36048.958333333336</v>
      </c>
      <c r="AC261" s="12">
        <f t="shared" si="31"/>
        <v>252</v>
      </c>
      <c r="AD261" s="98">
        <v>250</v>
      </c>
    </row>
    <row r="262" spans="3:30">
      <c r="C262" s="76">
        <v>253</v>
      </c>
      <c r="D262" s="77">
        <v>36049</v>
      </c>
      <c r="E262" s="77">
        <v>36049.041666666664</v>
      </c>
      <c r="F262" s="77">
        <v>36049.083333333336</v>
      </c>
      <c r="G262" s="77">
        <v>36049.125</v>
      </c>
      <c r="H262" s="77">
        <v>36049.166666666664</v>
      </c>
      <c r="I262" s="77">
        <v>36049.208333333336</v>
      </c>
      <c r="J262" s="77">
        <v>36049.25</v>
      </c>
      <c r="K262" s="77">
        <v>36049.291666666664</v>
      </c>
      <c r="L262" s="77">
        <v>36049.333333333336</v>
      </c>
      <c r="M262" s="77">
        <v>36049.375</v>
      </c>
      <c r="N262" s="77">
        <v>36049.416666666664</v>
      </c>
      <c r="O262" s="77">
        <v>36049.458333333336</v>
      </c>
      <c r="P262" s="77">
        <v>36049.5</v>
      </c>
      <c r="Q262" s="77">
        <v>36049.541666666664</v>
      </c>
      <c r="R262" s="77">
        <v>36049.583333333336</v>
      </c>
      <c r="S262" s="77">
        <v>36049.625</v>
      </c>
      <c r="T262" s="77">
        <v>36049.666666666664</v>
      </c>
      <c r="U262" s="77">
        <v>36049.708333333336</v>
      </c>
      <c r="V262" s="77">
        <v>36049.75</v>
      </c>
      <c r="W262" s="77">
        <v>36049.791666666664</v>
      </c>
      <c r="X262" s="77">
        <v>36049.833333333336</v>
      </c>
      <c r="Y262" s="77">
        <v>36049.875</v>
      </c>
      <c r="Z262" s="77">
        <v>36049.916666666664</v>
      </c>
      <c r="AA262" s="78">
        <v>36049.958333333336</v>
      </c>
      <c r="AC262" s="12">
        <f t="shared" si="31"/>
        <v>253</v>
      </c>
      <c r="AD262" s="98">
        <v>250</v>
      </c>
    </row>
    <row r="263" spans="3:30">
      <c r="C263" s="76">
        <v>254</v>
      </c>
      <c r="D263" s="77">
        <v>36050</v>
      </c>
      <c r="E263" s="77">
        <v>36050.041666666664</v>
      </c>
      <c r="F263" s="77">
        <v>36050.083333333336</v>
      </c>
      <c r="G263" s="77">
        <v>36050.125</v>
      </c>
      <c r="H263" s="77">
        <v>36050.166666666664</v>
      </c>
      <c r="I263" s="77">
        <v>36050.208333333336</v>
      </c>
      <c r="J263" s="77">
        <v>36050.25</v>
      </c>
      <c r="K263" s="77">
        <v>36050.291666666664</v>
      </c>
      <c r="L263" s="77">
        <v>36050.333333333336</v>
      </c>
      <c r="M263" s="77">
        <v>36050.375</v>
      </c>
      <c r="N263" s="77">
        <v>36050.416666666664</v>
      </c>
      <c r="O263" s="77">
        <v>36050.458333333336</v>
      </c>
      <c r="P263" s="77">
        <v>36050.5</v>
      </c>
      <c r="Q263" s="77">
        <v>36050.541666666664</v>
      </c>
      <c r="R263" s="77">
        <v>36050.583333333336</v>
      </c>
      <c r="S263" s="77">
        <v>36050.625</v>
      </c>
      <c r="T263" s="77">
        <v>36050.666666666664</v>
      </c>
      <c r="U263" s="77">
        <v>36050.708333333336</v>
      </c>
      <c r="V263" s="77">
        <v>36050.75</v>
      </c>
      <c r="W263" s="77">
        <v>36050.791666666664</v>
      </c>
      <c r="X263" s="77">
        <v>36050.833333333336</v>
      </c>
      <c r="Y263" s="77">
        <v>36050.875</v>
      </c>
      <c r="Z263" s="77">
        <v>36050.916666666664</v>
      </c>
      <c r="AA263" s="78">
        <v>36050.958333333336</v>
      </c>
      <c r="AC263" s="12">
        <f t="shared" si="31"/>
        <v>254</v>
      </c>
      <c r="AD263" s="98">
        <v>250</v>
      </c>
    </row>
    <row r="264" spans="3:30">
      <c r="C264" s="76">
        <v>255</v>
      </c>
      <c r="D264" s="77">
        <v>36051</v>
      </c>
      <c r="E264" s="77">
        <v>36051.041666666664</v>
      </c>
      <c r="F264" s="77">
        <v>36051.083333333336</v>
      </c>
      <c r="G264" s="77">
        <v>36051.125</v>
      </c>
      <c r="H264" s="77">
        <v>36051.166666666664</v>
      </c>
      <c r="I264" s="77">
        <v>36051.208333333336</v>
      </c>
      <c r="J264" s="77">
        <v>36051.25</v>
      </c>
      <c r="K264" s="77">
        <v>36051.291666666664</v>
      </c>
      <c r="L264" s="77">
        <v>36051.333333333336</v>
      </c>
      <c r="M264" s="77">
        <v>36051.375</v>
      </c>
      <c r="N264" s="77">
        <v>36051.416666666664</v>
      </c>
      <c r="O264" s="77">
        <v>36051.458333333336</v>
      </c>
      <c r="P264" s="77">
        <v>36051.5</v>
      </c>
      <c r="Q264" s="77">
        <v>36051.541666666664</v>
      </c>
      <c r="R264" s="77">
        <v>36051.583333333336</v>
      </c>
      <c r="S264" s="77">
        <v>36051.625</v>
      </c>
      <c r="T264" s="77">
        <v>36051.666666666664</v>
      </c>
      <c r="U264" s="77">
        <v>36051.708333333336</v>
      </c>
      <c r="V264" s="77">
        <v>36051.75</v>
      </c>
      <c r="W264" s="77">
        <v>36051.791666666664</v>
      </c>
      <c r="X264" s="77">
        <v>36051.833333333336</v>
      </c>
      <c r="Y264" s="77">
        <v>36051.875</v>
      </c>
      <c r="Z264" s="77">
        <v>36051.916666666664</v>
      </c>
      <c r="AA264" s="78">
        <v>36051.958333333336</v>
      </c>
      <c r="AC264" s="12">
        <f t="shared" si="31"/>
        <v>255</v>
      </c>
      <c r="AD264" s="98">
        <v>250</v>
      </c>
    </row>
    <row r="265" spans="3:30">
      <c r="C265" s="76">
        <v>256</v>
      </c>
      <c r="D265" s="77">
        <v>36052</v>
      </c>
      <c r="E265" s="77">
        <v>36052.041666666664</v>
      </c>
      <c r="F265" s="77">
        <v>36052.083333333336</v>
      </c>
      <c r="G265" s="77">
        <v>36052.125</v>
      </c>
      <c r="H265" s="77">
        <v>36052.166666666664</v>
      </c>
      <c r="I265" s="77">
        <v>36052.208333333336</v>
      </c>
      <c r="J265" s="77">
        <v>36052.25</v>
      </c>
      <c r="K265" s="77">
        <v>36052.291666666664</v>
      </c>
      <c r="L265" s="77">
        <v>36052.333333333336</v>
      </c>
      <c r="M265" s="77">
        <v>36052.375</v>
      </c>
      <c r="N265" s="77">
        <v>36052.416666666664</v>
      </c>
      <c r="O265" s="77">
        <v>36052.458333333336</v>
      </c>
      <c r="P265" s="77">
        <v>36052.5</v>
      </c>
      <c r="Q265" s="77">
        <v>36052.541666666664</v>
      </c>
      <c r="R265" s="77">
        <v>36052.583333333336</v>
      </c>
      <c r="S265" s="77">
        <v>36052.625</v>
      </c>
      <c r="T265" s="77">
        <v>36052.666666666664</v>
      </c>
      <c r="U265" s="77">
        <v>36052.708333333336</v>
      </c>
      <c r="V265" s="77">
        <v>36052.75</v>
      </c>
      <c r="W265" s="77">
        <v>36052.791666666664</v>
      </c>
      <c r="X265" s="77">
        <v>36052.833333333336</v>
      </c>
      <c r="Y265" s="77">
        <v>36052.875</v>
      </c>
      <c r="Z265" s="77">
        <v>36052.916666666664</v>
      </c>
      <c r="AA265" s="78">
        <v>36052.958333333336</v>
      </c>
      <c r="AC265" s="12">
        <f t="shared" ref="AC265:AC328" si="32">C265</f>
        <v>256</v>
      </c>
      <c r="AD265" s="98">
        <v>250</v>
      </c>
    </row>
    <row r="266" spans="3:30">
      <c r="C266" s="76">
        <v>257</v>
      </c>
      <c r="D266" s="77">
        <v>36053</v>
      </c>
      <c r="E266" s="77">
        <v>36053.041666666664</v>
      </c>
      <c r="F266" s="77">
        <v>36053.083333333336</v>
      </c>
      <c r="G266" s="77">
        <v>36053.125</v>
      </c>
      <c r="H266" s="77">
        <v>36053.166666666664</v>
      </c>
      <c r="I266" s="77">
        <v>36053.208333333336</v>
      </c>
      <c r="J266" s="77">
        <v>36053.25</v>
      </c>
      <c r="K266" s="77">
        <v>36053.291666666664</v>
      </c>
      <c r="L266" s="77">
        <v>36053.333333333336</v>
      </c>
      <c r="M266" s="77">
        <v>36053.375</v>
      </c>
      <c r="N266" s="77">
        <v>36053.416666666664</v>
      </c>
      <c r="O266" s="77">
        <v>36053.458333333336</v>
      </c>
      <c r="P266" s="77">
        <v>36053.5</v>
      </c>
      <c r="Q266" s="77">
        <v>36053.541666666664</v>
      </c>
      <c r="R266" s="77">
        <v>36053.583333333336</v>
      </c>
      <c r="S266" s="77">
        <v>36053.625</v>
      </c>
      <c r="T266" s="77">
        <v>36053.666666666664</v>
      </c>
      <c r="U266" s="77">
        <v>36053.708333333336</v>
      </c>
      <c r="V266" s="77">
        <v>36053.75</v>
      </c>
      <c r="W266" s="77">
        <v>36053.791666666664</v>
      </c>
      <c r="X266" s="77">
        <v>36053.833333333336</v>
      </c>
      <c r="Y266" s="77">
        <v>36053.875</v>
      </c>
      <c r="Z266" s="77">
        <v>36053.916666666664</v>
      </c>
      <c r="AA266" s="78">
        <v>36053.958333333336</v>
      </c>
      <c r="AC266" s="12">
        <f t="shared" si="32"/>
        <v>257</v>
      </c>
      <c r="AD266" s="98">
        <v>250</v>
      </c>
    </row>
    <row r="267" spans="3:30">
      <c r="C267" s="76">
        <v>258</v>
      </c>
      <c r="D267" s="77">
        <v>36054</v>
      </c>
      <c r="E267" s="77">
        <v>36054.041666666664</v>
      </c>
      <c r="F267" s="77">
        <v>36054.083333333336</v>
      </c>
      <c r="G267" s="77">
        <v>36054.125</v>
      </c>
      <c r="H267" s="77">
        <v>36054.166666666664</v>
      </c>
      <c r="I267" s="77">
        <v>36054.208333333336</v>
      </c>
      <c r="J267" s="77">
        <v>36054.25</v>
      </c>
      <c r="K267" s="77">
        <v>36054.291666666664</v>
      </c>
      <c r="L267" s="77">
        <v>36054.333333333336</v>
      </c>
      <c r="M267" s="77">
        <v>36054.375</v>
      </c>
      <c r="N267" s="77">
        <v>36054.416666666664</v>
      </c>
      <c r="O267" s="77">
        <v>36054.458333333336</v>
      </c>
      <c r="P267" s="77">
        <v>36054.5</v>
      </c>
      <c r="Q267" s="77">
        <v>36054.541666666664</v>
      </c>
      <c r="R267" s="77">
        <v>36054.583333333336</v>
      </c>
      <c r="S267" s="77">
        <v>36054.625</v>
      </c>
      <c r="T267" s="77">
        <v>36054.666666666664</v>
      </c>
      <c r="U267" s="77">
        <v>36054.708333333336</v>
      </c>
      <c r="V267" s="77">
        <v>36054.75</v>
      </c>
      <c r="W267" s="77">
        <v>36054.791666666664</v>
      </c>
      <c r="X267" s="77">
        <v>36054.833333333336</v>
      </c>
      <c r="Y267" s="77">
        <v>36054.875</v>
      </c>
      <c r="Z267" s="77">
        <v>36054.916666666664</v>
      </c>
      <c r="AA267" s="78">
        <v>36054.958333333336</v>
      </c>
      <c r="AC267" s="12">
        <f t="shared" si="32"/>
        <v>258</v>
      </c>
      <c r="AD267" s="98">
        <v>250</v>
      </c>
    </row>
    <row r="268" spans="3:30">
      <c r="C268" s="76">
        <v>259</v>
      </c>
      <c r="D268" s="77">
        <v>36055</v>
      </c>
      <c r="E268" s="77">
        <v>36055.041666666664</v>
      </c>
      <c r="F268" s="77">
        <v>36055.083333333336</v>
      </c>
      <c r="G268" s="77">
        <v>36055.125</v>
      </c>
      <c r="H268" s="77">
        <v>36055.166666666664</v>
      </c>
      <c r="I268" s="77">
        <v>36055.208333333336</v>
      </c>
      <c r="J268" s="77">
        <v>36055.25</v>
      </c>
      <c r="K268" s="77">
        <v>36055.291666666664</v>
      </c>
      <c r="L268" s="77">
        <v>36055.333333333336</v>
      </c>
      <c r="M268" s="77">
        <v>36055.375</v>
      </c>
      <c r="N268" s="77">
        <v>36055.416666666664</v>
      </c>
      <c r="O268" s="77">
        <v>36055.458333333336</v>
      </c>
      <c r="P268" s="77">
        <v>36055.5</v>
      </c>
      <c r="Q268" s="77">
        <v>36055.541666666664</v>
      </c>
      <c r="R268" s="77">
        <v>36055.583333333336</v>
      </c>
      <c r="S268" s="77">
        <v>36055.625</v>
      </c>
      <c r="T268" s="77">
        <v>36055.666666666664</v>
      </c>
      <c r="U268" s="77">
        <v>36055.708333333336</v>
      </c>
      <c r="V268" s="77">
        <v>36055.75</v>
      </c>
      <c r="W268" s="77">
        <v>36055.791666666664</v>
      </c>
      <c r="X268" s="77">
        <v>36055.833333333336</v>
      </c>
      <c r="Y268" s="77">
        <v>36055.875</v>
      </c>
      <c r="Z268" s="77">
        <v>36055.916666666664</v>
      </c>
      <c r="AA268" s="78">
        <v>36055.958333333336</v>
      </c>
      <c r="AC268" s="12">
        <f t="shared" si="32"/>
        <v>259</v>
      </c>
      <c r="AD268" s="98">
        <v>250</v>
      </c>
    </row>
    <row r="269" spans="3:30">
      <c r="C269" s="76">
        <v>260</v>
      </c>
      <c r="D269" s="77">
        <v>36056</v>
      </c>
      <c r="E269" s="77">
        <v>36056.041666666664</v>
      </c>
      <c r="F269" s="77">
        <v>36056.083333333336</v>
      </c>
      <c r="G269" s="77">
        <v>36056.125</v>
      </c>
      <c r="H269" s="77">
        <v>36056.166666666664</v>
      </c>
      <c r="I269" s="77">
        <v>36056.208333333336</v>
      </c>
      <c r="J269" s="77">
        <v>36056.25</v>
      </c>
      <c r="K269" s="77">
        <v>36056.291666666664</v>
      </c>
      <c r="L269" s="77">
        <v>36056.333333333336</v>
      </c>
      <c r="M269" s="77">
        <v>36056.375</v>
      </c>
      <c r="N269" s="77">
        <v>36056.416666666664</v>
      </c>
      <c r="O269" s="77">
        <v>36056.458333333336</v>
      </c>
      <c r="P269" s="77">
        <v>36056.5</v>
      </c>
      <c r="Q269" s="77">
        <v>36056.541666666664</v>
      </c>
      <c r="R269" s="77">
        <v>36056.583333333336</v>
      </c>
      <c r="S269" s="77">
        <v>36056.625</v>
      </c>
      <c r="T269" s="77">
        <v>36056.666666666664</v>
      </c>
      <c r="U269" s="77">
        <v>36056.708333333336</v>
      </c>
      <c r="V269" s="77">
        <v>36056.75</v>
      </c>
      <c r="W269" s="77">
        <v>36056.791666666664</v>
      </c>
      <c r="X269" s="77">
        <v>36056.833333333336</v>
      </c>
      <c r="Y269" s="77">
        <v>36056.875</v>
      </c>
      <c r="Z269" s="77">
        <v>36056.916666666664</v>
      </c>
      <c r="AA269" s="78">
        <v>36056.958333333336</v>
      </c>
      <c r="AC269" s="12">
        <f t="shared" si="32"/>
        <v>260</v>
      </c>
      <c r="AD269" s="98">
        <v>250</v>
      </c>
    </row>
    <row r="270" spans="3:30">
      <c r="C270" s="76">
        <v>261</v>
      </c>
      <c r="D270" s="77">
        <v>36057</v>
      </c>
      <c r="E270" s="77">
        <v>36057.041666666664</v>
      </c>
      <c r="F270" s="77">
        <v>36057.083333333336</v>
      </c>
      <c r="G270" s="77">
        <v>36057.125</v>
      </c>
      <c r="H270" s="77">
        <v>36057.166666666664</v>
      </c>
      <c r="I270" s="77">
        <v>36057.208333333336</v>
      </c>
      <c r="J270" s="77">
        <v>36057.25</v>
      </c>
      <c r="K270" s="77">
        <v>36057.291666666664</v>
      </c>
      <c r="L270" s="77">
        <v>36057.333333333336</v>
      </c>
      <c r="M270" s="77">
        <v>36057.375</v>
      </c>
      <c r="N270" s="77">
        <v>36057.416666666664</v>
      </c>
      <c r="O270" s="77">
        <v>36057.458333333336</v>
      </c>
      <c r="P270" s="77">
        <v>36057.5</v>
      </c>
      <c r="Q270" s="77">
        <v>36057.541666666664</v>
      </c>
      <c r="R270" s="77">
        <v>36057.583333333336</v>
      </c>
      <c r="S270" s="77">
        <v>36057.625</v>
      </c>
      <c r="T270" s="77">
        <v>36057.666666666664</v>
      </c>
      <c r="U270" s="77">
        <v>36057.708333333336</v>
      </c>
      <c r="V270" s="77">
        <v>36057.75</v>
      </c>
      <c r="W270" s="77">
        <v>36057.791666666664</v>
      </c>
      <c r="X270" s="77">
        <v>36057.833333333336</v>
      </c>
      <c r="Y270" s="77">
        <v>36057.875</v>
      </c>
      <c r="Z270" s="77">
        <v>36057.916666666664</v>
      </c>
      <c r="AA270" s="78">
        <v>36057.958333333336</v>
      </c>
      <c r="AC270" s="12">
        <f t="shared" si="32"/>
        <v>261</v>
      </c>
      <c r="AD270" s="98">
        <v>250</v>
      </c>
    </row>
    <row r="271" spans="3:30">
      <c r="C271" s="76">
        <v>262</v>
      </c>
      <c r="D271" s="77">
        <v>36058</v>
      </c>
      <c r="E271" s="77">
        <v>36058.041666666664</v>
      </c>
      <c r="F271" s="77">
        <v>36058.083333333336</v>
      </c>
      <c r="G271" s="77">
        <v>36058.125</v>
      </c>
      <c r="H271" s="77">
        <v>36058.166666666664</v>
      </c>
      <c r="I271" s="77">
        <v>36058.208333333336</v>
      </c>
      <c r="J271" s="77">
        <v>36058.25</v>
      </c>
      <c r="K271" s="77">
        <v>36058.291666666664</v>
      </c>
      <c r="L271" s="77">
        <v>36058.333333333336</v>
      </c>
      <c r="M271" s="77">
        <v>36058.375</v>
      </c>
      <c r="N271" s="77">
        <v>36058.416666666664</v>
      </c>
      <c r="O271" s="77">
        <v>36058.458333333336</v>
      </c>
      <c r="P271" s="77">
        <v>36058.5</v>
      </c>
      <c r="Q271" s="77">
        <v>36058.541666666664</v>
      </c>
      <c r="R271" s="77">
        <v>36058.583333333336</v>
      </c>
      <c r="S271" s="77">
        <v>36058.625</v>
      </c>
      <c r="T271" s="77">
        <v>36058.666666666664</v>
      </c>
      <c r="U271" s="77">
        <v>36058.708333333336</v>
      </c>
      <c r="V271" s="77">
        <v>36058.75</v>
      </c>
      <c r="W271" s="77">
        <v>36058.791666666664</v>
      </c>
      <c r="X271" s="77">
        <v>36058.833333333336</v>
      </c>
      <c r="Y271" s="77">
        <v>36058.875</v>
      </c>
      <c r="Z271" s="77">
        <v>36058.916666666664</v>
      </c>
      <c r="AA271" s="78">
        <v>36058.958333333336</v>
      </c>
      <c r="AC271" s="12">
        <f t="shared" si="32"/>
        <v>262</v>
      </c>
      <c r="AD271" s="98">
        <v>250</v>
      </c>
    </row>
    <row r="272" spans="3:30">
      <c r="C272" s="76">
        <v>263</v>
      </c>
      <c r="D272" s="77">
        <v>36059</v>
      </c>
      <c r="E272" s="77">
        <v>36059.041666666664</v>
      </c>
      <c r="F272" s="77">
        <v>36059.083333333336</v>
      </c>
      <c r="G272" s="77">
        <v>36059.125</v>
      </c>
      <c r="H272" s="77">
        <v>36059.166666666664</v>
      </c>
      <c r="I272" s="77">
        <v>36059.208333333336</v>
      </c>
      <c r="J272" s="77">
        <v>36059.25</v>
      </c>
      <c r="K272" s="77">
        <v>36059.291666666664</v>
      </c>
      <c r="L272" s="77">
        <v>36059.333333333336</v>
      </c>
      <c r="M272" s="77">
        <v>36059.375</v>
      </c>
      <c r="N272" s="77">
        <v>36059.416666666664</v>
      </c>
      <c r="O272" s="77">
        <v>36059.458333333336</v>
      </c>
      <c r="P272" s="77">
        <v>36059.5</v>
      </c>
      <c r="Q272" s="77">
        <v>36059.541666666664</v>
      </c>
      <c r="R272" s="77">
        <v>36059.583333333336</v>
      </c>
      <c r="S272" s="77">
        <v>36059.625</v>
      </c>
      <c r="T272" s="77">
        <v>36059.666666666664</v>
      </c>
      <c r="U272" s="77">
        <v>36059.708333333336</v>
      </c>
      <c r="V272" s="77">
        <v>36059.75</v>
      </c>
      <c r="W272" s="77">
        <v>36059.791666666664</v>
      </c>
      <c r="X272" s="77">
        <v>36059.833333333336</v>
      </c>
      <c r="Y272" s="77">
        <v>36059.875</v>
      </c>
      <c r="Z272" s="77">
        <v>36059.916666666664</v>
      </c>
      <c r="AA272" s="78">
        <v>36059.958333333336</v>
      </c>
      <c r="AC272" s="12">
        <f t="shared" si="32"/>
        <v>263</v>
      </c>
      <c r="AD272" s="98">
        <v>250</v>
      </c>
    </row>
    <row r="273" spans="3:30">
      <c r="C273" s="76">
        <v>264</v>
      </c>
      <c r="D273" s="77">
        <v>36060</v>
      </c>
      <c r="E273" s="77">
        <v>36060.041666666664</v>
      </c>
      <c r="F273" s="77">
        <v>36060.083333333336</v>
      </c>
      <c r="G273" s="77">
        <v>36060.125</v>
      </c>
      <c r="H273" s="77">
        <v>36060.166666666664</v>
      </c>
      <c r="I273" s="77">
        <v>36060.208333333336</v>
      </c>
      <c r="J273" s="77">
        <v>36060.25</v>
      </c>
      <c r="K273" s="77">
        <v>36060.291666666664</v>
      </c>
      <c r="L273" s="77">
        <v>36060.333333333336</v>
      </c>
      <c r="M273" s="77">
        <v>36060.375</v>
      </c>
      <c r="N273" s="77">
        <v>36060.416666666664</v>
      </c>
      <c r="O273" s="77">
        <v>36060.458333333336</v>
      </c>
      <c r="P273" s="77">
        <v>36060.5</v>
      </c>
      <c r="Q273" s="77">
        <v>36060.541666666664</v>
      </c>
      <c r="R273" s="77">
        <v>36060.583333333336</v>
      </c>
      <c r="S273" s="77">
        <v>36060.625</v>
      </c>
      <c r="T273" s="77">
        <v>36060.666666666664</v>
      </c>
      <c r="U273" s="77">
        <v>36060.708333333336</v>
      </c>
      <c r="V273" s="77">
        <v>36060.75</v>
      </c>
      <c r="W273" s="77">
        <v>36060.791666666664</v>
      </c>
      <c r="X273" s="77">
        <v>36060.833333333336</v>
      </c>
      <c r="Y273" s="77">
        <v>36060.875</v>
      </c>
      <c r="Z273" s="77">
        <v>36060.916666666664</v>
      </c>
      <c r="AA273" s="78">
        <v>36060.958333333336</v>
      </c>
      <c r="AC273" s="12">
        <f t="shared" si="32"/>
        <v>264</v>
      </c>
      <c r="AD273" s="98">
        <v>250</v>
      </c>
    </row>
    <row r="274" spans="3:30">
      <c r="C274" s="76">
        <v>265</v>
      </c>
      <c r="D274" s="77">
        <v>36061</v>
      </c>
      <c r="E274" s="77">
        <v>36061.041666666664</v>
      </c>
      <c r="F274" s="77">
        <v>36061.083333333336</v>
      </c>
      <c r="G274" s="77">
        <v>36061.125</v>
      </c>
      <c r="H274" s="77">
        <v>36061.166666666664</v>
      </c>
      <c r="I274" s="77">
        <v>36061.208333333336</v>
      </c>
      <c r="J274" s="77">
        <v>36061.25</v>
      </c>
      <c r="K274" s="77">
        <v>36061.291666666664</v>
      </c>
      <c r="L274" s="77">
        <v>36061.333333333336</v>
      </c>
      <c r="M274" s="77">
        <v>36061.375</v>
      </c>
      <c r="N274" s="77">
        <v>36061.416666666664</v>
      </c>
      <c r="O274" s="77">
        <v>36061.458333333336</v>
      </c>
      <c r="P274" s="77">
        <v>36061.5</v>
      </c>
      <c r="Q274" s="77">
        <v>36061.541666666664</v>
      </c>
      <c r="R274" s="77">
        <v>36061.583333333336</v>
      </c>
      <c r="S274" s="77">
        <v>36061.625</v>
      </c>
      <c r="T274" s="77">
        <v>36061.666666666664</v>
      </c>
      <c r="U274" s="77">
        <v>36061.708333333336</v>
      </c>
      <c r="V274" s="77">
        <v>36061.75</v>
      </c>
      <c r="W274" s="77">
        <v>36061.791666666664</v>
      </c>
      <c r="X274" s="77">
        <v>36061.833333333336</v>
      </c>
      <c r="Y274" s="77">
        <v>36061.875</v>
      </c>
      <c r="Z274" s="77">
        <v>36061.916666666664</v>
      </c>
      <c r="AA274" s="78">
        <v>36061.958333333336</v>
      </c>
      <c r="AC274" s="12">
        <f t="shared" si="32"/>
        <v>265</v>
      </c>
      <c r="AD274" s="98">
        <v>250</v>
      </c>
    </row>
    <row r="275" spans="3:30">
      <c r="C275" s="76">
        <v>266</v>
      </c>
      <c r="D275" s="77">
        <v>36062</v>
      </c>
      <c r="E275" s="77">
        <v>36062.041666666664</v>
      </c>
      <c r="F275" s="77">
        <v>36062.083333333336</v>
      </c>
      <c r="G275" s="77">
        <v>36062.125</v>
      </c>
      <c r="H275" s="77">
        <v>36062.166666666664</v>
      </c>
      <c r="I275" s="77">
        <v>36062.208333333336</v>
      </c>
      <c r="J275" s="77">
        <v>36062.25</v>
      </c>
      <c r="K275" s="77">
        <v>36062.291666666664</v>
      </c>
      <c r="L275" s="77">
        <v>36062.333333333336</v>
      </c>
      <c r="M275" s="77">
        <v>36062.375</v>
      </c>
      <c r="N275" s="77">
        <v>36062.416666666664</v>
      </c>
      <c r="O275" s="77">
        <v>36062.458333333336</v>
      </c>
      <c r="P275" s="77">
        <v>36062.5</v>
      </c>
      <c r="Q275" s="77">
        <v>36062.541666666664</v>
      </c>
      <c r="R275" s="77">
        <v>36062.583333333336</v>
      </c>
      <c r="S275" s="77">
        <v>36062.625</v>
      </c>
      <c r="T275" s="77">
        <v>36062.666666666664</v>
      </c>
      <c r="U275" s="77">
        <v>36062.708333333336</v>
      </c>
      <c r="V275" s="77">
        <v>36062.75</v>
      </c>
      <c r="W275" s="77">
        <v>36062.791666666664</v>
      </c>
      <c r="X275" s="77">
        <v>36062.833333333336</v>
      </c>
      <c r="Y275" s="77">
        <v>36062.875</v>
      </c>
      <c r="Z275" s="77">
        <v>36062.916666666664</v>
      </c>
      <c r="AA275" s="78">
        <v>36062.958333333336</v>
      </c>
      <c r="AC275" s="12">
        <f t="shared" si="32"/>
        <v>266</v>
      </c>
      <c r="AD275" s="98">
        <v>250</v>
      </c>
    </row>
    <row r="276" spans="3:30">
      <c r="C276" s="76">
        <v>267</v>
      </c>
      <c r="D276" s="77">
        <v>36063</v>
      </c>
      <c r="E276" s="77">
        <v>36063.041666666664</v>
      </c>
      <c r="F276" s="77">
        <v>36063.083333333336</v>
      </c>
      <c r="G276" s="77">
        <v>36063.125</v>
      </c>
      <c r="H276" s="77">
        <v>36063.166666666664</v>
      </c>
      <c r="I276" s="77">
        <v>36063.208333333336</v>
      </c>
      <c r="J276" s="77">
        <v>36063.25</v>
      </c>
      <c r="K276" s="77">
        <v>36063.291666666664</v>
      </c>
      <c r="L276" s="77">
        <v>36063.333333333336</v>
      </c>
      <c r="M276" s="77">
        <v>36063.375</v>
      </c>
      <c r="N276" s="77">
        <v>36063.416666666664</v>
      </c>
      <c r="O276" s="77">
        <v>36063.458333333336</v>
      </c>
      <c r="P276" s="77">
        <v>36063.5</v>
      </c>
      <c r="Q276" s="77">
        <v>36063.541666666664</v>
      </c>
      <c r="R276" s="77">
        <v>36063.583333333336</v>
      </c>
      <c r="S276" s="77">
        <v>36063.625</v>
      </c>
      <c r="T276" s="77">
        <v>36063.666666666664</v>
      </c>
      <c r="U276" s="77">
        <v>36063.708333333336</v>
      </c>
      <c r="V276" s="77">
        <v>36063.75</v>
      </c>
      <c r="W276" s="77">
        <v>36063.791666666664</v>
      </c>
      <c r="X276" s="77">
        <v>36063.833333333336</v>
      </c>
      <c r="Y276" s="77">
        <v>36063.875</v>
      </c>
      <c r="Z276" s="77">
        <v>36063.916666666664</v>
      </c>
      <c r="AA276" s="78">
        <v>36063.958333333336</v>
      </c>
      <c r="AC276" s="12">
        <f t="shared" si="32"/>
        <v>267</v>
      </c>
      <c r="AD276" s="98">
        <v>250</v>
      </c>
    </row>
    <row r="277" spans="3:30">
      <c r="C277" s="76">
        <v>268</v>
      </c>
      <c r="D277" s="77">
        <v>36064</v>
      </c>
      <c r="E277" s="77">
        <v>36064.041666666664</v>
      </c>
      <c r="F277" s="77">
        <v>36064.083333333336</v>
      </c>
      <c r="G277" s="77">
        <v>36064.125</v>
      </c>
      <c r="H277" s="77">
        <v>36064.166666666664</v>
      </c>
      <c r="I277" s="77">
        <v>36064.208333333336</v>
      </c>
      <c r="J277" s="77">
        <v>36064.25</v>
      </c>
      <c r="K277" s="77">
        <v>36064.291666666664</v>
      </c>
      <c r="L277" s="77">
        <v>36064.333333333336</v>
      </c>
      <c r="M277" s="77">
        <v>36064.375</v>
      </c>
      <c r="N277" s="77">
        <v>36064.416666666664</v>
      </c>
      <c r="O277" s="77">
        <v>36064.458333333336</v>
      </c>
      <c r="P277" s="77">
        <v>36064.5</v>
      </c>
      <c r="Q277" s="77">
        <v>36064.541666666664</v>
      </c>
      <c r="R277" s="77">
        <v>36064.583333333336</v>
      </c>
      <c r="S277" s="77">
        <v>36064.625</v>
      </c>
      <c r="T277" s="77">
        <v>36064.666666666664</v>
      </c>
      <c r="U277" s="77">
        <v>36064.708333333336</v>
      </c>
      <c r="V277" s="77">
        <v>36064.75</v>
      </c>
      <c r="W277" s="77">
        <v>36064.791666666664</v>
      </c>
      <c r="X277" s="77">
        <v>36064.833333333336</v>
      </c>
      <c r="Y277" s="77">
        <v>36064.875</v>
      </c>
      <c r="Z277" s="77">
        <v>36064.916666666664</v>
      </c>
      <c r="AA277" s="78">
        <v>36064.958333333336</v>
      </c>
      <c r="AC277" s="12">
        <f t="shared" si="32"/>
        <v>268</v>
      </c>
      <c r="AD277" s="98">
        <v>250</v>
      </c>
    </row>
    <row r="278" spans="3:30">
      <c r="C278" s="76">
        <v>269</v>
      </c>
      <c r="D278" s="77">
        <v>36065</v>
      </c>
      <c r="E278" s="77">
        <v>36065.041666666664</v>
      </c>
      <c r="F278" s="77">
        <v>36065.083333333336</v>
      </c>
      <c r="G278" s="77">
        <v>36065.125</v>
      </c>
      <c r="H278" s="77">
        <v>36065.166666666664</v>
      </c>
      <c r="I278" s="77">
        <v>36065.208333333336</v>
      </c>
      <c r="J278" s="77">
        <v>36065.25</v>
      </c>
      <c r="K278" s="77">
        <v>36065.291666666664</v>
      </c>
      <c r="L278" s="77">
        <v>36065.333333333336</v>
      </c>
      <c r="M278" s="77">
        <v>36065.375</v>
      </c>
      <c r="N278" s="77">
        <v>36065.416666666664</v>
      </c>
      <c r="O278" s="77">
        <v>36065.458333333336</v>
      </c>
      <c r="P278" s="77">
        <v>36065.5</v>
      </c>
      <c r="Q278" s="77">
        <v>36065.541666666664</v>
      </c>
      <c r="R278" s="77">
        <v>36065.583333333336</v>
      </c>
      <c r="S278" s="77">
        <v>36065.625</v>
      </c>
      <c r="T278" s="77">
        <v>36065.666666666664</v>
      </c>
      <c r="U278" s="77">
        <v>36065.708333333336</v>
      </c>
      <c r="V278" s="77">
        <v>36065.75</v>
      </c>
      <c r="W278" s="77">
        <v>36065.791666666664</v>
      </c>
      <c r="X278" s="77">
        <v>36065.833333333336</v>
      </c>
      <c r="Y278" s="77">
        <v>36065.875</v>
      </c>
      <c r="Z278" s="77">
        <v>36065.916666666664</v>
      </c>
      <c r="AA278" s="78">
        <v>36065.958333333336</v>
      </c>
      <c r="AC278" s="12">
        <f t="shared" si="32"/>
        <v>269</v>
      </c>
      <c r="AD278" s="98">
        <v>250</v>
      </c>
    </row>
    <row r="279" spans="3:30">
      <c r="C279" s="76">
        <v>270</v>
      </c>
      <c r="D279" s="77">
        <v>36066</v>
      </c>
      <c r="E279" s="77">
        <v>36066.041666666664</v>
      </c>
      <c r="F279" s="77">
        <v>36066.083333333336</v>
      </c>
      <c r="G279" s="77">
        <v>36066.125</v>
      </c>
      <c r="H279" s="77">
        <v>36066.166666666664</v>
      </c>
      <c r="I279" s="77">
        <v>36066.208333333336</v>
      </c>
      <c r="J279" s="77">
        <v>36066.25</v>
      </c>
      <c r="K279" s="77">
        <v>36066.291666666664</v>
      </c>
      <c r="L279" s="77">
        <v>36066.333333333336</v>
      </c>
      <c r="M279" s="77">
        <v>36066.375</v>
      </c>
      <c r="N279" s="77">
        <v>36066.416666666664</v>
      </c>
      <c r="O279" s="77">
        <v>36066.458333333336</v>
      </c>
      <c r="P279" s="77">
        <v>36066.5</v>
      </c>
      <c r="Q279" s="77">
        <v>36066.541666666664</v>
      </c>
      <c r="R279" s="77">
        <v>36066.583333333336</v>
      </c>
      <c r="S279" s="77">
        <v>36066.625</v>
      </c>
      <c r="T279" s="77">
        <v>36066.666666666664</v>
      </c>
      <c r="U279" s="77">
        <v>36066.708333333336</v>
      </c>
      <c r="V279" s="77">
        <v>36066.75</v>
      </c>
      <c r="W279" s="77">
        <v>36066.791666666664</v>
      </c>
      <c r="X279" s="77">
        <v>36066.833333333336</v>
      </c>
      <c r="Y279" s="77">
        <v>36066.875</v>
      </c>
      <c r="Z279" s="77">
        <v>36066.916666666664</v>
      </c>
      <c r="AA279" s="78">
        <v>36066.958333333336</v>
      </c>
      <c r="AC279" s="12">
        <f t="shared" si="32"/>
        <v>270</v>
      </c>
      <c r="AD279" s="98">
        <v>250</v>
      </c>
    </row>
    <row r="280" spans="3:30">
      <c r="C280" s="76">
        <v>271</v>
      </c>
      <c r="D280" s="77">
        <v>36067</v>
      </c>
      <c r="E280" s="77">
        <v>36067.041666666664</v>
      </c>
      <c r="F280" s="77">
        <v>36067.083333333336</v>
      </c>
      <c r="G280" s="77">
        <v>36067.125</v>
      </c>
      <c r="H280" s="77">
        <v>36067.166666666664</v>
      </c>
      <c r="I280" s="77">
        <v>36067.208333333336</v>
      </c>
      <c r="J280" s="77">
        <v>36067.25</v>
      </c>
      <c r="K280" s="77">
        <v>36067.291666666664</v>
      </c>
      <c r="L280" s="77">
        <v>36067.333333333336</v>
      </c>
      <c r="M280" s="77">
        <v>36067.375</v>
      </c>
      <c r="N280" s="77">
        <v>36067.416666666664</v>
      </c>
      <c r="O280" s="77">
        <v>36067.458333333336</v>
      </c>
      <c r="P280" s="77">
        <v>36067.5</v>
      </c>
      <c r="Q280" s="77">
        <v>36067.541666666664</v>
      </c>
      <c r="R280" s="77">
        <v>36067.583333333336</v>
      </c>
      <c r="S280" s="77">
        <v>36067.625</v>
      </c>
      <c r="T280" s="77">
        <v>36067.666666666664</v>
      </c>
      <c r="U280" s="77">
        <v>36067.708333333336</v>
      </c>
      <c r="V280" s="77">
        <v>36067.75</v>
      </c>
      <c r="W280" s="77">
        <v>36067.791666666664</v>
      </c>
      <c r="X280" s="77">
        <v>36067.833333333336</v>
      </c>
      <c r="Y280" s="77">
        <v>36067.875</v>
      </c>
      <c r="Z280" s="77">
        <v>36067.916666666664</v>
      </c>
      <c r="AA280" s="78">
        <v>36067.958333333336</v>
      </c>
      <c r="AC280" s="12">
        <f t="shared" si="32"/>
        <v>271</v>
      </c>
      <c r="AD280" s="98">
        <v>250</v>
      </c>
    </row>
    <row r="281" spans="3:30">
      <c r="C281" s="76">
        <v>272</v>
      </c>
      <c r="D281" s="77">
        <v>36068</v>
      </c>
      <c r="E281" s="77">
        <v>36068.041666666664</v>
      </c>
      <c r="F281" s="77">
        <v>36068.083333333336</v>
      </c>
      <c r="G281" s="77">
        <v>36068.125</v>
      </c>
      <c r="H281" s="77">
        <v>36068.166666666664</v>
      </c>
      <c r="I281" s="77">
        <v>36068.208333333336</v>
      </c>
      <c r="J281" s="77">
        <v>36068.25</v>
      </c>
      <c r="K281" s="77">
        <v>36068.291666666664</v>
      </c>
      <c r="L281" s="77">
        <v>36068.333333333336</v>
      </c>
      <c r="M281" s="77">
        <v>36068.375</v>
      </c>
      <c r="N281" s="77">
        <v>36068.416666666664</v>
      </c>
      <c r="O281" s="77">
        <v>36068.458333333336</v>
      </c>
      <c r="P281" s="77">
        <v>36068.5</v>
      </c>
      <c r="Q281" s="77">
        <v>36068.541666666664</v>
      </c>
      <c r="R281" s="77">
        <v>36068.583333333336</v>
      </c>
      <c r="S281" s="77">
        <v>36068.625</v>
      </c>
      <c r="T281" s="77">
        <v>36068.666666666664</v>
      </c>
      <c r="U281" s="77">
        <v>36068.708333333336</v>
      </c>
      <c r="V281" s="77">
        <v>36068.75</v>
      </c>
      <c r="W281" s="77">
        <v>36068.791666666664</v>
      </c>
      <c r="X281" s="77">
        <v>36068.833333333336</v>
      </c>
      <c r="Y281" s="77">
        <v>36068.875</v>
      </c>
      <c r="Z281" s="77">
        <v>36068.916666666664</v>
      </c>
      <c r="AA281" s="78">
        <v>36068.958333333336</v>
      </c>
      <c r="AC281" s="12">
        <f t="shared" si="32"/>
        <v>272</v>
      </c>
      <c r="AD281" s="98">
        <v>250</v>
      </c>
    </row>
    <row r="282" spans="3:30">
      <c r="C282" s="76">
        <v>273</v>
      </c>
      <c r="D282" s="77">
        <v>36069</v>
      </c>
      <c r="E282" s="77">
        <v>36069.041666666664</v>
      </c>
      <c r="F282" s="77">
        <v>36069.083333333336</v>
      </c>
      <c r="G282" s="77">
        <v>36069.125</v>
      </c>
      <c r="H282" s="77">
        <v>36069.166666666664</v>
      </c>
      <c r="I282" s="77">
        <v>36069.208333333336</v>
      </c>
      <c r="J282" s="77">
        <v>36069.25</v>
      </c>
      <c r="K282" s="77">
        <v>36069.291666666664</v>
      </c>
      <c r="L282" s="77">
        <v>36069.333333333336</v>
      </c>
      <c r="M282" s="77">
        <v>36069.375</v>
      </c>
      <c r="N282" s="77">
        <v>36069.416666666664</v>
      </c>
      <c r="O282" s="77">
        <v>36069.458333333336</v>
      </c>
      <c r="P282" s="77">
        <v>36069.5</v>
      </c>
      <c r="Q282" s="77">
        <v>36069.541666666664</v>
      </c>
      <c r="R282" s="77">
        <v>36069.583333333336</v>
      </c>
      <c r="S282" s="77">
        <v>36069.625</v>
      </c>
      <c r="T282" s="77">
        <v>36069.666666666664</v>
      </c>
      <c r="U282" s="77">
        <v>36069.708333333336</v>
      </c>
      <c r="V282" s="77">
        <v>36069.75</v>
      </c>
      <c r="W282" s="77">
        <v>36069.791666666664</v>
      </c>
      <c r="X282" s="77">
        <v>36069.833333333336</v>
      </c>
      <c r="Y282" s="77">
        <v>36069.875</v>
      </c>
      <c r="Z282" s="77">
        <v>36069.916666666664</v>
      </c>
      <c r="AA282" s="78">
        <v>36069.958333333336</v>
      </c>
      <c r="AC282" s="12">
        <f t="shared" si="32"/>
        <v>273</v>
      </c>
      <c r="AD282" s="98">
        <v>280</v>
      </c>
    </row>
    <row r="283" spans="3:30">
      <c r="C283" s="76">
        <v>274</v>
      </c>
      <c r="D283" s="77">
        <v>36070</v>
      </c>
      <c r="E283" s="77">
        <v>36070.041666666664</v>
      </c>
      <c r="F283" s="77">
        <v>36070.083333333336</v>
      </c>
      <c r="G283" s="77">
        <v>36070.125</v>
      </c>
      <c r="H283" s="77">
        <v>36070.166666666664</v>
      </c>
      <c r="I283" s="77">
        <v>36070.208333333336</v>
      </c>
      <c r="J283" s="77">
        <v>36070.25</v>
      </c>
      <c r="K283" s="77">
        <v>36070.291666666664</v>
      </c>
      <c r="L283" s="77">
        <v>36070.333333333336</v>
      </c>
      <c r="M283" s="77">
        <v>36070.375</v>
      </c>
      <c r="N283" s="77">
        <v>36070.416666666664</v>
      </c>
      <c r="O283" s="77">
        <v>36070.458333333336</v>
      </c>
      <c r="P283" s="77">
        <v>36070.5</v>
      </c>
      <c r="Q283" s="77">
        <v>36070.541666666664</v>
      </c>
      <c r="R283" s="77">
        <v>36070.583333333336</v>
      </c>
      <c r="S283" s="77">
        <v>36070.625</v>
      </c>
      <c r="T283" s="77">
        <v>36070.666666666664</v>
      </c>
      <c r="U283" s="77">
        <v>36070.708333333336</v>
      </c>
      <c r="V283" s="77">
        <v>36070.75</v>
      </c>
      <c r="W283" s="77">
        <v>36070.791666666664</v>
      </c>
      <c r="X283" s="77">
        <v>36070.833333333336</v>
      </c>
      <c r="Y283" s="77">
        <v>36070.875</v>
      </c>
      <c r="Z283" s="77">
        <v>36070.916666666664</v>
      </c>
      <c r="AA283" s="78">
        <v>36070.958333333336</v>
      </c>
      <c r="AC283" s="12">
        <f t="shared" si="32"/>
        <v>274</v>
      </c>
      <c r="AD283" s="98">
        <v>280</v>
      </c>
    </row>
    <row r="284" spans="3:30">
      <c r="C284" s="76">
        <v>275</v>
      </c>
      <c r="D284" s="77">
        <v>36071</v>
      </c>
      <c r="E284" s="77">
        <v>36071.041666666664</v>
      </c>
      <c r="F284" s="77">
        <v>36071.083333333336</v>
      </c>
      <c r="G284" s="77">
        <v>36071.125</v>
      </c>
      <c r="H284" s="77">
        <v>36071.166666666664</v>
      </c>
      <c r="I284" s="77">
        <v>36071.208333333336</v>
      </c>
      <c r="J284" s="77">
        <v>36071.25</v>
      </c>
      <c r="K284" s="77">
        <v>36071.291666666664</v>
      </c>
      <c r="L284" s="77">
        <v>36071.333333333336</v>
      </c>
      <c r="M284" s="77">
        <v>36071.375</v>
      </c>
      <c r="N284" s="77">
        <v>36071.416666666664</v>
      </c>
      <c r="O284" s="77">
        <v>36071.458333333336</v>
      </c>
      <c r="P284" s="77">
        <v>36071.5</v>
      </c>
      <c r="Q284" s="77">
        <v>36071.541666666664</v>
      </c>
      <c r="R284" s="77">
        <v>36071.583333333336</v>
      </c>
      <c r="S284" s="77">
        <v>36071.625</v>
      </c>
      <c r="T284" s="77">
        <v>36071.666666666664</v>
      </c>
      <c r="U284" s="77">
        <v>36071.708333333336</v>
      </c>
      <c r="V284" s="77">
        <v>36071.75</v>
      </c>
      <c r="W284" s="77">
        <v>36071.791666666664</v>
      </c>
      <c r="X284" s="77">
        <v>36071.833333333336</v>
      </c>
      <c r="Y284" s="77">
        <v>36071.875</v>
      </c>
      <c r="Z284" s="77">
        <v>36071.916666666664</v>
      </c>
      <c r="AA284" s="78">
        <v>36071.958333333336</v>
      </c>
      <c r="AC284" s="12">
        <f t="shared" si="32"/>
        <v>275</v>
      </c>
      <c r="AD284" s="98">
        <v>280</v>
      </c>
    </row>
    <row r="285" spans="3:30">
      <c r="C285" s="76">
        <v>276</v>
      </c>
      <c r="D285" s="77">
        <v>36072</v>
      </c>
      <c r="E285" s="77">
        <v>36072.041666666664</v>
      </c>
      <c r="F285" s="77">
        <v>36072.083333333336</v>
      </c>
      <c r="G285" s="77">
        <v>36072.125</v>
      </c>
      <c r="H285" s="77">
        <v>36072.166666666664</v>
      </c>
      <c r="I285" s="77">
        <v>36072.208333333336</v>
      </c>
      <c r="J285" s="77">
        <v>36072.25</v>
      </c>
      <c r="K285" s="77">
        <v>36072.291666666664</v>
      </c>
      <c r="L285" s="77">
        <v>36072.333333333336</v>
      </c>
      <c r="M285" s="77">
        <v>36072.375</v>
      </c>
      <c r="N285" s="77">
        <v>36072.416666666664</v>
      </c>
      <c r="O285" s="77">
        <v>36072.458333333336</v>
      </c>
      <c r="P285" s="77">
        <v>36072.5</v>
      </c>
      <c r="Q285" s="77">
        <v>36072.541666666664</v>
      </c>
      <c r="R285" s="77">
        <v>36072.583333333336</v>
      </c>
      <c r="S285" s="77">
        <v>36072.625</v>
      </c>
      <c r="T285" s="77">
        <v>36072.666666666664</v>
      </c>
      <c r="U285" s="77">
        <v>36072.708333333336</v>
      </c>
      <c r="V285" s="77">
        <v>36072.75</v>
      </c>
      <c r="W285" s="77">
        <v>36072.791666666664</v>
      </c>
      <c r="X285" s="77">
        <v>36072.833333333336</v>
      </c>
      <c r="Y285" s="77">
        <v>36072.875</v>
      </c>
      <c r="Z285" s="77">
        <v>36072.916666666664</v>
      </c>
      <c r="AA285" s="78">
        <v>36072.958333333336</v>
      </c>
      <c r="AC285" s="12">
        <f t="shared" si="32"/>
        <v>276</v>
      </c>
      <c r="AD285" s="98">
        <v>280</v>
      </c>
    </row>
    <row r="286" spans="3:30">
      <c r="C286" s="76">
        <v>277</v>
      </c>
      <c r="D286" s="77">
        <v>36073</v>
      </c>
      <c r="E286" s="77">
        <v>36073.041666666664</v>
      </c>
      <c r="F286" s="77">
        <v>36073.083333333336</v>
      </c>
      <c r="G286" s="77">
        <v>36073.125</v>
      </c>
      <c r="H286" s="77">
        <v>36073.166666666664</v>
      </c>
      <c r="I286" s="77">
        <v>36073.208333333336</v>
      </c>
      <c r="J286" s="77">
        <v>36073.25</v>
      </c>
      <c r="K286" s="77">
        <v>36073.291666666664</v>
      </c>
      <c r="L286" s="77">
        <v>36073.333333333336</v>
      </c>
      <c r="M286" s="77">
        <v>36073.375</v>
      </c>
      <c r="N286" s="77">
        <v>36073.416666666664</v>
      </c>
      <c r="O286" s="77">
        <v>36073.458333333336</v>
      </c>
      <c r="P286" s="77">
        <v>36073.5</v>
      </c>
      <c r="Q286" s="77">
        <v>36073.541666666664</v>
      </c>
      <c r="R286" s="77">
        <v>36073.583333333336</v>
      </c>
      <c r="S286" s="77">
        <v>36073.625</v>
      </c>
      <c r="T286" s="77">
        <v>36073.666666666664</v>
      </c>
      <c r="U286" s="77">
        <v>36073.708333333336</v>
      </c>
      <c r="V286" s="77">
        <v>36073.75</v>
      </c>
      <c r="W286" s="77">
        <v>36073.791666666664</v>
      </c>
      <c r="X286" s="77">
        <v>36073.833333333336</v>
      </c>
      <c r="Y286" s="77">
        <v>36073.875</v>
      </c>
      <c r="Z286" s="77">
        <v>36073.916666666664</v>
      </c>
      <c r="AA286" s="78">
        <v>36073.958333333336</v>
      </c>
      <c r="AC286" s="12">
        <f t="shared" si="32"/>
        <v>277</v>
      </c>
      <c r="AD286" s="98">
        <v>280</v>
      </c>
    </row>
    <row r="287" spans="3:30">
      <c r="C287" s="76">
        <v>278</v>
      </c>
      <c r="D287" s="77">
        <v>36074</v>
      </c>
      <c r="E287" s="77">
        <v>36074.041666666664</v>
      </c>
      <c r="F287" s="77">
        <v>36074.083333333336</v>
      </c>
      <c r="G287" s="77">
        <v>36074.125</v>
      </c>
      <c r="H287" s="77">
        <v>36074.166666666664</v>
      </c>
      <c r="I287" s="77">
        <v>36074.208333333336</v>
      </c>
      <c r="J287" s="77">
        <v>36074.25</v>
      </c>
      <c r="K287" s="77">
        <v>36074.291666666664</v>
      </c>
      <c r="L287" s="77">
        <v>36074.333333333336</v>
      </c>
      <c r="M287" s="77">
        <v>36074.375</v>
      </c>
      <c r="N287" s="77">
        <v>36074.416666666664</v>
      </c>
      <c r="O287" s="77">
        <v>36074.458333333336</v>
      </c>
      <c r="P287" s="77">
        <v>36074.5</v>
      </c>
      <c r="Q287" s="77">
        <v>36074.541666666664</v>
      </c>
      <c r="R287" s="77">
        <v>36074.583333333336</v>
      </c>
      <c r="S287" s="77">
        <v>36074.625</v>
      </c>
      <c r="T287" s="77">
        <v>36074.666666666664</v>
      </c>
      <c r="U287" s="77">
        <v>36074.708333333336</v>
      </c>
      <c r="V287" s="77">
        <v>36074.75</v>
      </c>
      <c r="W287" s="77">
        <v>36074.791666666664</v>
      </c>
      <c r="X287" s="77">
        <v>36074.833333333336</v>
      </c>
      <c r="Y287" s="77">
        <v>36074.875</v>
      </c>
      <c r="Z287" s="77">
        <v>36074.916666666664</v>
      </c>
      <c r="AA287" s="78">
        <v>36074.958333333336</v>
      </c>
      <c r="AC287" s="12">
        <f t="shared" si="32"/>
        <v>278</v>
      </c>
      <c r="AD287" s="98">
        <v>280</v>
      </c>
    </row>
    <row r="288" spans="3:30">
      <c r="C288" s="76">
        <v>279</v>
      </c>
      <c r="D288" s="77">
        <v>36075</v>
      </c>
      <c r="E288" s="77">
        <v>36075.041666666664</v>
      </c>
      <c r="F288" s="77">
        <v>36075.083333333336</v>
      </c>
      <c r="G288" s="77">
        <v>36075.125</v>
      </c>
      <c r="H288" s="77">
        <v>36075.166666666664</v>
      </c>
      <c r="I288" s="77">
        <v>36075.208333333336</v>
      </c>
      <c r="J288" s="77">
        <v>36075.25</v>
      </c>
      <c r="K288" s="77">
        <v>36075.291666666664</v>
      </c>
      <c r="L288" s="77">
        <v>36075.333333333336</v>
      </c>
      <c r="M288" s="77">
        <v>36075.375</v>
      </c>
      <c r="N288" s="77">
        <v>36075.416666666664</v>
      </c>
      <c r="O288" s="77">
        <v>36075.458333333336</v>
      </c>
      <c r="P288" s="77">
        <v>36075.5</v>
      </c>
      <c r="Q288" s="77">
        <v>36075.541666666664</v>
      </c>
      <c r="R288" s="77">
        <v>36075.583333333336</v>
      </c>
      <c r="S288" s="77">
        <v>36075.625</v>
      </c>
      <c r="T288" s="77">
        <v>36075.666666666664</v>
      </c>
      <c r="U288" s="77">
        <v>36075.708333333336</v>
      </c>
      <c r="V288" s="77">
        <v>36075.75</v>
      </c>
      <c r="W288" s="77">
        <v>36075.791666666664</v>
      </c>
      <c r="X288" s="77">
        <v>36075.833333333336</v>
      </c>
      <c r="Y288" s="77">
        <v>36075.875</v>
      </c>
      <c r="Z288" s="77">
        <v>36075.916666666664</v>
      </c>
      <c r="AA288" s="78">
        <v>36075.958333333336</v>
      </c>
      <c r="AC288" s="12">
        <f t="shared" si="32"/>
        <v>279</v>
      </c>
      <c r="AD288" s="98">
        <v>280</v>
      </c>
    </row>
    <row r="289" spans="3:30">
      <c r="C289" s="76">
        <v>280</v>
      </c>
      <c r="D289" s="77">
        <v>36076</v>
      </c>
      <c r="E289" s="77">
        <v>36076.041666666664</v>
      </c>
      <c r="F289" s="77">
        <v>36076.083333333336</v>
      </c>
      <c r="G289" s="77">
        <v>36076.125</v>
      </c>
      <c r="H289" s="77">
        <v>36076.166666666664</v>
      </c>
      <c r="I289" s="77">
        <v>36076.208333333336</v>
      </c>
      <c r="J289" s="77">
        <v>36076.25</v>
      </c>
      <c r="K289" s="77">
        <v>36076.291666666664</v>
      </c>
      <c r="L289" s="77">
        <v>36076.333333333336</v>
      </c>
      <c r="M289" s="77">
        <v>36076.375</v>
      </c>
      <c r="N289" s="77">
        <v>36076.416666666664</v>
      </c>
      <c r="O289" s="77">
        <v>36076.458333333336</v>
      </c>
      <c r="P289" s="77">
        <v>36076.5</v>
      </c>
      <c r="Q289" s="77">
        <v>36076.541666666664</v>
      </c>
      <c r="R289" s="77">
        <v>36076.583333333336</v>
      </c>
      <c r="S289" s="77">
        <v>36076.625</v>
      </c>
      <c r="T289" s="77">
        <v>36076.666666666664</v>
      </c>
      <c r="U289" s="77">
        <v>36076.708333333336</v>
      </c>
      <c r="V289" s="77">
        <v>36076.75</v>
      </c>
      <c r="W289" s="77">
        <v>36076.791666666664</v>
      </c>
      <c r="X289" s="77">
        <v>36076.833333333336</v>
      </c>
      <c r="Y289" s="77">
        <v>36076.875</v>
      </c>
      <c r="Z289" s="77">
        <v>36076.916666666664</v>
      </c>
      <c r="AA289" s="78">
        <v>36076.958333333336</v>
      </c>
      <c r="AC289" s="12">
        <f t="shared" si="32"/>
        <v>280</v>
      </c>
      <c r="AD289" s="98">
        <v>280</v>
      </c>
    </row>
    <row r="290" spans="3:30">
      <c r="C290" s="76">
        <v>281</v>
      </c>
      <c r="D290" s="77">
        <v>36077</v>
      </c>
      <c r="E290" s="77">
        <v>36077.041666666664</v>
      </c>
      <c r="F290" s="77">
        <v>36077.083333333336</v>
      </c>
      <c r="G290" s="77">
        <v>36077.125</v>
      </c>
      <c r="H290" s="77">
        <v>36077.166666666664</v>
      </c>
      <c r="I290" s="77">
        <v>36077.208333333336</v>
      </c>
      <c r="J290" s="77">
        <v>36077.25</v>
      </c>
      <c r="K290" s="77">
        <v>36077.291666666664</v>
      </c>
      <c r="L290" s="77">
        <v>36077.333333333336</v>
      </c>
      <c r="M290" s="77">
        <v>36077.375</v>
      </c>
      <c r="N290" s="77">
        <v>36077.416666666664</v>
      </c>
      <c r="O290" s="77">
        <v>36077.458333333336</v>
      </c>
      <c r="P290" s="77">
        <v>36077.5</v>
      </c>
      <c r="Q290" s="77">
        <v>36077.541666666664</v>
      </c>
      <c r="R290" s="77">
        <v>36077.583333333336</v>
      </c>
      <c r="S290" s="77">
        <v>36077.625</v>
      </c>
      <c r="T290" s="77">
        <v>36077.666666666664</v>
      </c>
      <c r="U290" s="77">
        <v>36077.708333333336</v>
      </c>
      <c r="V290" s="77">
        <v>36077.75</v>
      </c>
      <c r="W290" s="77">
        <v>36077.791666666664</v>
      </c>
      <c r="X290" s="77">
        <v>36077.833333333336</v>
      </c>
      <c r="Y290" s="77">
        <v>36077.875</v>
      </c>
      <c r="Z290" s="77">
        <v>36077.916666666664</v>
      </c>
      <c r="AA290" s="78">
        <v>36077.958333333336</v>
      </c>
      <c r="AC290" s="12">
        <f t="shared" si="32"/>
        <v>281</v>
      </c>
      <c r="AD290" s="98">
        <v>280</v>
      </c>
    </row>
    <row r="291" spans="3:30">
      <c r="C291" s="76">
        <v>282</v>
      </c>
      <c r="D291" s="77">
        <v>36078</v>
      </c>
      <c r="E291" s="77">
        <v>36078.041666666664</v>
      </c>
      <c r="F291" s="77">
        <v>36078.083333333336</v>
      </c>
      <c r="G291" s="77">
        <v>36078.125</v>
      </c>
      <c r="H291" s="77">
        <v>36078.166666666664</v>
      </c>
      <c r="I291" s="77">
        <v>36078.208333333336</v>
      </c>
      <c r="J291" s="77">
        <v>36078.25</v>
      </c>
      <c r="K291" s="77">
        <v>36078.291666666664</v>
      </c>
      <c r="L291" s="77">
        <v>36078.333333333336</v>
      </c>
      <c r="M291" s="77">
        <v>36078.375</v>
      </c>
      <c r="N291" s="77">
        <v>36078.416666666664</v>
      </c>
      <c r="O291" s="77">
        <v>36078.458333333336</v>
      </c>
      <c r="P291" s="77">
        <v>36078.5</v>
      </c>
      <c r="Q291" s="77">
        <v>36078.541666666664</v>
      </c>
      <c r="R291" s="77">
        <v>36078.583333333336</v>
      </c>
      <c r="S291" s="77">
        <v>36078.625</v>
      </c>
      <c r="T291" s="77">
        <v>36078.666666666664</v>
      </c>
      <c r="U291" s="77">
        <v>36078.708333333336</v>
      </c>
      <c r="V291" s="77">
        <v>36078.75</v>
      </c>
      <c r="W291" s="77">
        <v>36078.791666666664</v>
      </c>
      <c r="X291" s="77">
        <v>36078.833333333336</v>
      </c>
      <c r="Y291" s="77">
        <v>36078.875</v>
      </c>
      <c r="Z291" s="77">
        <v>36078.916666666664</v>
      </c>
      <c r="AA291" s="78">
        <v>36078.958333333336</v>
      </c>
      <c r="AC291" s="12">
        <f t="shared" si="32"/>
        <v>282</v>
      </c>
      <c r="AD291" s="98">
        <v>280</v>
      </c>
    </row>
    <row r="292" spans="3:30">
      <c r="C292" s="76">
        <v>283</v>
      </c>
      <c r="D292" s="77">
        <v>36079</v>
      </c>
      <c r="E292" s="77">
        <v>36079.041666666664</v>
      </c>
      <c r="F292" s="77">
        <v>36079.083333333336</v>
      </c>
      <c r="G292" s="77">
        <v>36079.125</v>
      </c>
      <c r="H292" s="77">
        <v>36079.166666666664</v>
      </c>
      <c r="I292" s="77">
        <v>36079.208333333336</v>
      </c>
      <c r="J292" s="77">
        <v>36079.25</v>
      </c>
      <c r="K292" s="77">
        <v>36079.291666666664</v>
      </c>
      <c r="L292" s="77">
        <v>36079.333333333336</v>
      </c>
      <c r="M292" s="77">
        <v>36079.375</v>
      </c>
      <c r="N292" s="77">
        <v>36079.416666666664</v>
      </c>
      <c r="O292" s="77">
        <v>36079.458333333336</v>
      </c>
      <c r="P292" s="77">
        <v>36079.5</v>
      </c>
      <c r="Q292" s="77">
        <v>36079.541666666664</v>
      </c>
      <c r="R292" s="77">
        <v>36079.583333333336</v>
      </c>
      <c r="S292" s="77">
        <v>36079.625</v>
      </c>
      <c r="T292" s="77">
        <v>36079.666666666664</v>
      </c>
      <c r="U292" s="77">
        <v>36079.708333333336</v>
      </c>
      <c r="V292" s="77">
        <v>36079.75</v>
      </c>
      <c r="W292" s="77">
        <v>36079.791666666664</v>
      </c>
      <c r="X292" s="77">
        <v>36079.833333333336</v>
      </c>
      <c r="Y292" s="77">
        <v>36079.875</v>
      </c>
      <c r="Z292" s="77">
        <v>36079.916666666664</v>
      </c>
      <c r="AA292" s="78">
        <v>36079.958333333336</v>
      </c>
      <c r="AC292" s="12">
        <f t="shared" si="32"/>
        <v>283</v>
      </c>
      <c r="AD292" s="98">
        <v>280</v>
      </c>
    </row>
    <row r="293" spans="3:30">
      <c r="C293" s="76">
        <v>284</v>
      </c>
      <c r="D293" s="77">
        <v>36080</v>
      </c>
      <c r="E293" s="77">
        <v>36080.041666666664</v>
      </c>
      <c r="F293" s="77">
        <v>36080.083333333336</v>
      </c>
      <c r="G293" s="77">
        <v>36080.125</v>
      </c>
      <c r="H293" s="77">
        <v>36080.166666666664</v>
      </c>
      <c r="I293" s="77">
        <v>36080.208333333336</v>
      </c>
      <c r="J293" s="77">
        <v>36080.25</v>
      </c>
      <c r="K293" s="77">
        <v>36080.291666666664</v>
      </c>
      <c r="L293" s="77">
        <v>36080.333333333336</v>
      </c>
      <c r="M293" s="77">
        <v>36080.375</v>
      </c>
      <c r="N293" s="77">
        <v>36080.416666666664</v>
      </c>
      <c r="O293" s="77">
        <v>36080.458333333336</v>
      </c>
      <c r="P293" s="77">
        <v>36080.5</v>
      </c>
      <c r="Q293" s="77">
        <v>36080.541666666664</v>
      </c>
      <c r="R293" s="77">
        <v>36080.583333333336</v>
      </c>
      <c r="S293" s="77">
        <v>36080.625</v>
      </c>
      <c r="T293" s="77">
        <v>36080.666666666664</v>
      </c>
      <c r="U293" s="77">
        <v>36080.708333333336</v>
      </c>
      <c r="V293" s="77">
        <v>36080.75</v>
      </c>
      <c r="W293" s="77">
        <v>36080.791666666664</v>
      </c>
      <c r="X293" s="77">
        <v>36080.833333333336</v>
      </c>
      <c r="Y293" s="77">
        <v>36080.875</v>
      </c>
      <c r="Z293" s="77">
        <v>36080.916666666664</v>
      </c>
      <c r="AA293" s="78">
        <v>36080.958333333336</v>
      </c>
      <c r="AC293" s="12">
        <f t="shared" si="32"/>
        <v>284</v>
      </c>
      <c r="AD293" s="98">
        <v>280</v>
      </c>
    </row>
    <row r="294" spans="3:30">
      <c r="C294" s="76">
        <v>285</v>
      </c>
      <c r="D294" s="77">
        <v>36081</v>
      </c>
      <c r="E294" s="77">
        <v>36081.041666666664</v>
      </c>
      <c r="F294" s="77">
        <v>36081.083333333336</v>
      </c>
      <c r="G294" s="77">
        <v>36081.125</v>
      </c>
      <c r="H294" s="77">
        <v>36081.166666666664</v>
      </c>
      <c r="I294" s="77">
        <v>36081.208333333336</v>
      </c>
      <c r="J294" s="77">
        <v>36081.25</v>
      </c>
      <c r="K294" s="77">
        <v>36081.291666666664</v>
      </c>
      <c r="L294" s="77">
        <v>36081.333333333336</v>
      </c>
      <c r="M294" s="77">
        <v>36081.375</v>
      </c>
      <c r="N294" s="77">
        <v>36081.416666666664</v>
      </c>
      <c r="O294" s="77">
        <v>36081.458333333336</v>
      </c>
      <c r="P294" s="77">
        <v>36081.5</v>
      </c>
      <c r="Q294" s="77">
        <v>36081.541666666664</v>
      </c>
      <c r="R294" s="77">
        <v>36081.583333333336</v>
      </c>
      <c r="S294" s="77">
        <v>36081.625</v>
      </c>
      <c r="T294" s="77">
        <v>36081.666666666664</v>
      </c>
      <c r="U294" s="77">
        <v>36081.708333333336</v>
      </c>
      <c r="V294" s="77">
        <v>36081.75</v>
      </c>
      <c r="W294" s="77">
        <v>36081.791666666664</v>
      </c>
      <c r="X294" s="77">
        <v>36081.833333333336</v>
      </c>
      <c r="Y294" s="77">
        <v>36081.875</v>
      </c>
      <c r="Z294" s="77">
        <v>36081.916666666664</v>
      </c>
      <c r="AA294" s="78">
        <v>36081.958333333336</v>
      </c>
      <c r="AC294" s="12">
        <f t="shared" si="32"/>
        <v>285</v>
      </c>
      <c r="AD294" s="98">
        <v>280</v>
      </c>
    </row>
    <row r="295" spans="3:30">
      <c r="C295" s="76">
        <v>286</v>
      </c>
      <c r="D295" s="77">
        <v>36082</v>
      </c>
      <c r="E295" s="77">
        <v>36082.041666666664</v>
      </c>
      <c r="F295" s="77">
        <v>36082.083333333336</v>
      </c>
      <c r="G295" s="77">
        <v>36082.125</v>
      </c>
      <c r="H295" s="77">
        <v>36082.166666666664</v>
      </c>
      <c r="I295" s="77">
        <v>36082.208333333336</v>
      </c>
      <c r="J295" s="77">
        <v>36082.25</v>
      </c>
      <c r="K295" s="77">
        <v>36082.291666666664</v>
      </c>
      <c r="L295" s="77">
        <v>36082.333333333336</v>
      </c>
      <c r="M295" s="77">
        <v>36082.375</v>
      </c>
      <c r="N295" s="77">
        <v>36082.416666666664</v>
      </c>
      <c r="O295" s="77">
        <v>36082.458333333336</v>
      </c>
      <c r="P295" s="77">
        <v>36082.5</v>
      </c>
      <c r="Q295" s="77">
        <v>36082.541666666664</v>
      </c>
      <c r="R295" s="77">
        <v>36082.583333333336</v>
      </c>
      <c r="S295" s="77">
        <v>36082.625</v>
      </c>
      <c r="T295" s="77">
        <v>36082.666666666664</v>
      </c>
      <c r="U295" s="77">
        <v>36082.708333333336</v>
      </c>
      <c r="V295" s="77">
        <v>36082.75</v>
      </c>
      <c r="W295" s="77">
        <v>36082.791666666664</v>
      </c>
      <c r="X295" s="77">
        <v>36082.833333333336</v>
      </c>
      <c r="Y295" s="77">
        <v>36082.875</v>
      </c>
      <c r="Z295" s="77">
        <v>36082.916666666664</v>
      </c>
      <c r="AA295" s="78">
        <v>36082.958333333336</v>
      </c>
      <c r="AC295" s="12">
        <f t="shared" si="32"/>
        <v>286</v>
      </c>
      <c r="AD295" s="98">
        <v>280</v>
      </c>
    </row>
    <row r="296" spans="3:30">
      <c r="C296" s="76">
        <v>287</v>
      </c>
      <c r="D296" s="77">
        <v>36083</v>
      </c>
      <c r="E296" s="77">
        <v>36083.041666666664</v>
      </c>
      <c r="F296" s="77">
        <v>36083.083333333336</v>
      </c>
      <c r="G296" s="77">
        <v>36083.125</v>
      </c>
      <c r="H296" s="77">
        <v>36083.166666666664</v>
      </c>
      <c r="I296" s="77">
        <v>36083.208333333336</v>
      </c>
      <c r="J296" s="77">
        <v>36083.25</v>
      </c>
      <c r="K296" s="77">
        <v>36083.291666666664</v>
      </c>
      <c r="L296" s="77">
        <v>36083.333333333336</v>
      </c>
      <c r="M296" s="77">
        <v>36083.375</v>
      </c>
      <c r="N296" s="77">
        <v>36083.416666666664</v>
      </c>
      <c r="O296" s="77">
        <v>36083.458333333336</v>
      </c>
      <c r="P296" s="77">
        <v>36083.5</v>
      </c>
      <c r="Q296" s="77">
        <v>36083.541666666664</v>
      </c>
      <c r="R296" s="77">
        <v>36083.583333333336</v>
      </c>
      <c r="S296" s="77">
        <v>36083.625</v>
      </c>
      <c r="T296" s="77">
        <v>36083.666666666664</v>
      </c>
      <c r="U296" s="77">
        <v>36083.708333333336</v>
      </c>
      <c r="V296" s="77">
        <v>36083.75</v>
      </c>
      <c r="W296" s="77">
        <v>36083.791666666664</v>
      </c>
      <c r="X296" s="77">
        <v>36083.833333333336</v>
      </c>
      <c r="Y296" s="77">
        <v>36083.875</v>
      </c>
      <c r="Z296" s="77">
        <v>36083.916666666664</v>
      </c>
      <c r="AA296" s="78">
        <v>36083.958333333336</v>
      </c>
      <c r="AC296" s="12">
        <f t="shared" si="32"/>
        <v>287</v>
      </c>
      <c r="AD296" s="98">
        <v>280</v>
      </c>
    </row>
    <row r="297" spans="3:30">
      <c r="C297" s="76">
        <v>288</v>
      </c>
      <c r="D297" s="77">
        <v>36084</v>
      </c>
      <c r="E297" s="77">
        <v>36084.041666666664</v>
      </c>
      <c r="F297" s="77">
        <v>36084.083333333336</v>
      </c>
      <c r="G297" s="77">
        <v>36084.125</v>
      </c>
      <c r="H297" s="77">
        <v>36084.166666666664</v>
      </c>
      <c r="I297" s="77">
        <v>36084.208333333336</v>
      </c>
      <c r="J297" s="77">
        <v>36084.25</v>
      </c>
      <c r="K297" s="77">
        <v>36084.291666666664</v>
      </c>
      <c r="L297" s="77">
        <v>36084.333333333336</v>
      </c>
      <c r="M297" s="77">
        <v>36084.375</v>
      </c>
      <c r="N297" s="77">
        <v>36084.416666666664</v>
      </c>
      <c r="O297" s="77">
        <v>36084.458333333336</v>
      </c>
      <c r="P297" s="77">
        <v>36084.5</v>
      </c>
      <c r="Q297" s="77">
        <v>36084.541666666664</v>
      </c>
      <c r="R297" s="77">
        <v>36084.583333333336</v>
      </c>
      <c r="S297" s="77">
        <v>36084.625</v>
      </c>
      <c r="T297" s="77">
        <v>36084.666666666664</v>
      </c>
      <c r="U297" s="77">
        <v>36084.708333333336</v>
      </c>
      <c r="V297" s="77">
        <v>36084.75</v>
      </c>
      <c r="W297" s="77">
        <v>36084.791666666664</v>
      </c>
      <c r="X297" s="77">
        <v>36084.833333333336</v>
      </c>
      <c r="Y297" s="77">
        <v>36084.875</v>
      </c>
      <c r="Z297" s="77">
        <v>36084.916666666664</v>
      </c>
      <c r="AA297" s="78">
        <v>36084.958333333336</v>
      </c>
      <c r="AC297" s="12">
        <f t="shared" si="32"/>
        <v>288</v>
      </c>
      <c r="AD297" s="98">
        <v>280</v>
      </c>
    </row>
    <row r="298" spans="3:30">
      <c r="C298" s="76">
        <v>289</v>
      </c>
      <c r="D298" s="77">
        <v>36085</v>
      </c>
      <c r="E298" s="77">
        <v>36085.041666666664</v>
      </c>
      <c r="F298" s="77">
        <v>36085.083333333336</v>
      </c>
      <c r="G298" s="77">
        <v>36085.125</v>
      </c>
      <c r="H298" s="77">
        <v>36085.166666666664</v>
      </c>
      <c r="I298" s="77">
        <v>36085.208333333336</v>
      </c>
      <c r="J298" s="77">
        <v>36085.25</v>
      </c>
      <c r="K298" s="77">
        <v>36085.291666666664</v>
      </c>
      <c r="L298" s="77">
        <v>36085.333333333336</v>
      </c>
      <c r="M298" s="77">
        <v>36085.375</v>
      </c>
      <c r="N298" s="77">
        <v>36085.416666666664</v>
      </c>
      <c r="O298" s="77">
        <v>36085.458333333336</v>
      </c>
      <c r="P298" s="77">
        <v>36085.5</v>
      </c>
      <c r="Q298" s="77">
        <v>36085.541666666664</v>
      </c>
      <c r="R298" s="77">
        <v>36085.583333333336</v>
      </c>
      <c r="S298" s="77">
        <v>36085.625</v>
      </c>
      <c r="T298" s="77">
        <v>36085.666666666664</v>
      </c>
      <c r="U298" s="77">
        <v>36085.708333333336</v>
      </c>
      <c r="V298" s="77">
        <v>36085.75</v>
      </c>
      <c r="W298" s="77">
        <v>36085.791666666664</v>
      </c>
      <c r="X298" s="77">
        <v>36085.833333333336</v>
      </c>
      <c r="Y298" s="77">
        <v>36085.875</v>
      </c>
      <c r="Z298" s="77">
        <v>36085.916666666664</v>
      </c>
      <c r="AA298" s="78">
        <v>36085.958333333336</v>
      </c>
      <c r="AC298" s="12">
        <f t="shared" si="32"/>
        <v>289</v>
      </c>
      <c r="AD298" s="98">
        <v>280</v>
      </c>
    </row>
    <row r="299" spans="3:30">
      <c r="C299" s="76">
        <v>290</v>
      </c>
      <c r="D299" s="77">
        <v>36086</v>
      </c>
      <c r="E299" s="77">
        <v>36086.041666666664</v>
      </c>
      <c r="F299" s="77">
        <v>36086.083333333336</v>
      </c>
      <c r="G299" s="77">
        <v>36086.125</v>
      </c>
      <c r="H299" s="77">
        <v>36086.166666666664</v>
      </c>
      <c r="I299" s="77">
        <v>36086.208333333336</v>
      </c>
      <c r="J299" s="77">
        <v>36086.25</v>
      </c>
      <c r="K299" s="77">
        <v>36086.291666666664</v>
      </c>
      <c r="L299" s="77">
        <v>36086.333333333336</v>
      </c>
      <c r="M299" s="77">
        <v>36086.375</v>
      </c>
      <c r="N299" s="77">
        <v>36086.416666666664</v>
      </c>
      <c r="O299" s="77">
        <v>36086.458333333336</v>
      </c>
      <c r="P299" s="77">
        <v>36086.5</v>
      </c>
      <c r="Q299" s="77">
        <v>36086.541666666664</v>
      </c>
      <c r="R299" s="77">
        <v>36086.583333333336</v>
      </c>
      <c r="S299" s="77">
        <v>36086.625</v>
      </c>
      <c r="T299" s="77">
        <v>36086.666666666664</v>
      </c>
      <c r="U299" s="77">
        <v>36086.708333333336</v>
      </c>
      <c r="V299" s="77">
        <v>36086.75</v>
      </c>
      <c r="W299" s="77">
        <v>36086.791666666664</v>
      </c>
      <c r="X299" s="77">
        <v>36086.833333333336</v>
      </c>
      <c r="Y299" s="77">
        <v>36086.875</v>
      </c>
      <c r="Z299" s="77">
        <v>36086.916666666664</v>
      </c>
      <c r="AA299" s="78">
        <v>36086.958333333336</v>
      </c>
      <c r="AC299" s="12">
        <f t="shared" si="32"/>
        <v>290</v>
      </c>
      <c r="AD299" s="98">
        <v>280</v>
      </c>
    </row>
    <row r="300" spans="3:30">
      <c r="C300" s="76">
        <v>291</v>
      </c>
      <c r="D300" s="77">
        <v>36087</v>
      </c>
      <c r="E300" s="77">
        <v>36087.041666666664</v>
      </c>
      <c r="F300" s="77">
        <v>36087.083333333336</v>
      </c>
      <c r="G300" s="77">
        <v>36087.125</v>
      </c>
      <c r="H300" s="77">
        <v>36087.166666666664</v>
      </c>
      <c r="I300" s="77">
        <v>36087.208333333336</v>
      </c>
      <c r="J300" s="77">
        <v>36087.25</v>
      </c>
      <c r="K300" s="77">
        <v>36087.291666666664</v>
      </c>
      <c r="L300" s="77">
        <v>36087.333333333336</v>
      </c>
      <c r="M300" s="77">
        <v>36087.375</v>
      </c>
      <c r="N300" s="77">
        <v>36087.416666666664</v>
      </c>
      <c r="O300" s="77">
        <v>36087.458333333336</v>
      </c>
      <c r="P300" s="77">
        <v>36087.5</v>
      </c>
      <c r="Q300" s="77">
        <v>36087.541666666664</v>
      </c>
      <c r="R300" s="77">
        <v>36087.583333333336</v>
      </c>
      <c r="S300" s="77">
        <v>36087.625</v>
      </c>
      <c r="T300" s="77">
        <v>36087.666666666664</v>
      </c>
      <c r="U300" s="77">
        <v>36087.708333333336</v>
      </c>
      <c r="V300" s="77">
        <v>36087.75</v>
      </c>
      <c r="W300" s="77">
        <v>36087.791666666664</v>
      </c>
      <c r="X300" s="77">
        <v>36087.833333333336</v>
      </c>
      <c r="Y300" s="77">
        <v>36087.875</v>
      </c>
      <c r="Z300" s="77">
        <v>36087.916666666664</v>
      </c>
      <c r="AA300" s="78">
        <v>36087.958333333336</v>
      </c>
      <c r="AC300" s="12">
        <f t="shared" si="32"/>
        <v>291</v>
      </c>
      <c r="AD300" s="98">
        <v>280</v>
      </c>
    </row>
    <row r="301" spans="3:30">
      <c r="C301" s="76">
        <v>292</v>
      </c>
      <c r="D301" s="77">
        <v>36088</v>
      </c>
      <c r="E301" s="77">
        <v>36088.041666666664</v>
      </c>
      <c r="F301" s="77">
        <v>36088.083333333336</v>
      </c>
      <c r="G301" s="77">
        <v>36088.125</v>
      </c>
      <c r="H301" s="77">
        <v>36088.166666666664</v>
      </c>
      <c r="I301" s="77">
        <v>36088.208333333336</v>
      </c>
      <c r="J301" s="77">
        <v>36088.25</v>
      </c>
      <c r="K301" s="77">
        <v>36088.291666666664</v>
      </c>
      <c r="L301" s="77">
        <v>36088.333333333336</v>
      </c>
      <c r="M301" s="77">
        <v>36088.375</v>
      </c>
      <c r="N301" s="77">
        <v>36088.416666666664</v>
      </c>
      <c r="O301" s="77">
        <v>36088.458333333336</v>
      </c>
      <c r="P301" s="77">
        <v>36088.5</v>
      </c>
      <c r="Q301" s="77">
        <v>36088.541666666664</v>
      </c>
      <c r="R301" s="77">
        <v>36088.583333333336</v>
      </c>
      <c r="S301" s="77">
        <v>36088.625</v>
      </c>
      <c r="T301" s="77">
        <v>36088.666666666664</v>
      </c>
      <c r="U301" s="77">
        <v>36088.708333333336</v>
      </c>
      <c r="V301" s="77">
        <v>36088.75</v>
      </c>
      <c r="W301" s="77">
        <v>36088.791666666664</v>
      </c>
      <c r="X301" s="77">
        <v>36088.833333333336</v>
      </c>
      <c r="Y301" s="77">
        <v>36088.875</v>
      </c>
      <c r="Z301" s="77">
        <v>36088.916666666664</v>
      </c>
      <c r="AA301" s="78">
        <v>36088.958333333336</v>
      </c>
      <c r="AC301" s="12">
        <f t="shared" si="32"/>
        <v>292</v>
      </c>
      <c r="AD301" s="98">
        <v>280</v>
      </c>
    </row>
    <row r="302" spans="3:30">
      <c r="C302" s="76">
        <v>293</v>
      </c>
      <c r="D302" s="77">
        <v>36089</v>
      </c>
      <c r="E302" s="77">
        <v>36089.041666666664</v>
      </c>
      <c r="F302" s="77">
        <v>36089.083333333336</v>
      </c>
      <c r="G302" s="77">
        <v>36089.125</v>
      </c>
      <c r="H302" s="77">
        <v>36089.166666666664</v>
      </c>
      <c r="I302" s="77">
        <v>36089.208333333336</v>
      </c>
      <c r="J302" s="77">
        <v>36089.25</v>
      </c>
      <c r="K302" s="77">
        <v>36089.291666666664</v>
      </c>
      <c r="L302" s="77">
        <v>36089.333333333336</v>
      </c>
      <c r="M302" s="77">
        <v>36089.375</v>
      </c>
      <c r="N302" s="77">
        <v>36089.416666666664</v>
      </c>
      <c r="O302" s="77">
        <v>36089.458333333336</v>
      </c>
      <c r="P302" s="77">
        <v>36089.5</v>
      </c>
      <c r="Q302" s="77">
        <v>36089.541666666664</v>
      </c>
      <c r="R302" s="77">
        <v>36089.583333333336</v>
      </c>
      <c r="S302" s="77">
        <v>36089.625</v>
      </c>
      <c r="T302" s="77">
        <v>36089.666666666664</v>
      </c>
      <c r="U302" s="77">
        <v>36089.708333333336</v>
      </c>
      <c r="V302" s="77">
        <v>36089.75</v>
      </c>
      <c r="W302" s="77">
        <v>36089.791666666664</v>
      </c>
      <c r="X302" s="77">
        <v>36089.833333333336</v>
      </c>
      <c r="Y302" s="77">
        <v>36089.875</v>
      </c>
      <c r="Z302" s="77">
        <v>36089.916666666664</v>
      </c>
      <c r="AA302" s="78">
        <v>36089.958333333336</v>
      </c>
      <c r="AC302" s="12">
        <f t="shared" si="32"/>
        <v>293</v>
      </c>
      <c r="AD302" s="98">
        <v>280</v>
      </c>
    </row>
    <row r="303" spans="3:30">
      <c r="C303" s="76">
        <v>294</v>
      </c>
      <c r="D303" s="77">
        <v>36090</v>
      </c>
      <c r="E303" s="77">
        <v>36090.041666666664</v>
      </c>
      <c r="F303" s="77">
        <v>36090.083333333336</v>
      </c>
      <c r="G303" s="77">
        <v>36090.125</v>
      </c>
      <c r="H303" s="77">
        <v>36090.166666666664</v>
      </c>
      <c r="I303" s="77">
        <v>36090.208333333336</v>
      </c>
      <c r="J303" s="77">
        <v>36090.25</v>
      </c>
      <c r="K303" s="77">
        <v>36090.291666666664</v>
      </c>
      <c r="L303" s="77">
        <v>36090.333333333336</v>
      </c>
      <c r="M303" s="77">
        <v>36090.375</v>
      </c>
      <c r="N303" s="77">
        <v>36090.416666666664</v>
      </c>
      <c r="O303" s="77">
        <v>36090.458333333336</v>
      </c>
      <c r="P303" s="77">
        <v>36090.5</v>
      </c>
      <c r="Q303" s="77">
        <v>36090.541666666664</v>
      </c>
      <c r="R303" s="77">
        <v>36090.583333333336</v>
      </c>
      <c r="S303" s="77">
        <v>36090.625</v>
      </c>
      <c r="T303" s="77">
        <v>36090.666666666664</v>
      </c>
      <c r="U303" s="77">
        <v>36090.708333333336</v>
      </c>
      <c r="V303" s="77">
        <v>36090.75</v>
      </c>
      <c r="W303" s="77">
        <v>36090.791666666664</v>
      </c>
      <c r="X303" s="77">
        <v>36090.833333333336</v>
      </c>
      <c r="Y303" s="77">
        <v>36090.875</v>
      </c>
      <c r="Z303" s="77">
        <v>36090.916666666664</v>
      </c>
      <c r="AA303" s="78">
        <v>36090.958333333336</v>
      </c>
      <c r="AC303" s="12">
        <f t="shared" si="32"/>
        <v>294</v>
      </c>
      <c r="AD303" s="98">
        <v>280</v>
      </c>
    </row>
    <row r="304" spans="3:30">
      <c r="C304" s="76">
        <v>295</v>
      </c>
      <c r="D304" s="77">
        <v>36091</v>
      </c>
      <c r="E304" s="77">
        <v>36091.041666666664</v>
      </c>
      <c r="F304" s="77">
        <v>36091.083333333336</v>
      </c>
      <c r="G304" s="77">
        <v>36091.125</v>
      </c>
      <c r="H304" s="77">
        <v>36091.166666666664</v>
      </c>
      <c r="I304" s="77">
        <v>36091.208333333336</v>
      </c>
      <c r="J304" s="77">
        <v>36091.25</v>
      </c>
      <c r="K304" s="77">
        <v>36091.291666666664</v>
      </c>
      <c r="L304" s="77">
        <v>36091.333333333336</v>
      </c>
      <c r="M304" s="77">
        <v>36091.375</v>
      </c>
      <c r="N304" s="77">
        <v>36091.416666666664</v>
      </c>
      <c r="O304" s="77">
        <v>36091.458333333336</v>
      </c>
      <c r="P304" s="77">
        <v>36091.5</v>
      </c>
      <c r="Q304" s="77">
        <v>36091.541666666664</v>
      </c>
      <c r="R304" s="77">
        <v>36091.583333333336</v>
      </c>
      <c r="S304" s="77">
        <v>36091.625</v>
      </c>
      <c r="T304" s="77">
        <v>36091.666666666664</v>
      </c>
      <c r="U304" s="77">
        <v>36091.708333333336</v>
      </c>
      <c r="V304" s="77">
        <v>36091.75</v>
      </c>
      <c r="W304" s="77">
        <v>36091.791666666664</v>
      </c>
      <c r="X304" s="77">
        <v>36091.833333333336</v>
      </c>
      <c r="Y304" s="77">
        <v>36091.875</v>
      </c>
      <c r="Z304" s="77">
        <v>36091.916666666664</v>
      </c>
      <c r="AA304" s="78">
        <v>36091.958333333336</v>
      </c>
      <c r="AC304" s="12">
        <f t="shared" si="32"/>
        <v>295</v>
      </c>
      <c r="AD304" s="98">
        <v>280</v>
      </c>
    </row>
    <row r="305" spans="3:30">
      <c r="C305" s="76">
        <v>296</v>
      </c>
      <c r="D305" s="77">
        <v>36092</v>
      </c>
      <c r="E305" s="77">
        <v>36092.041666666664</v>
      </c>
      <c r="F305" s="77">
        <v>36092.083333333336</v>
      </c>
      <c r="G305" s="77">
        <v>36092.125</v>
      </c>
      <c r="H305" s="77">
        <v>36092.166666666664</v>
      </c>
      <c r="I305" s="77">
        <v>36092.208333333336</v>
      </c>
      <c r="J305" s="77">
        <v>36092.25</v>
      </c>
      <c r="K305" s="77">
        <v>36092.291666666664</v>
      </c>
      <c r="L305" s="77">
        <v>36092.333333333336</v>
      </c>
      <c r="M305" s="77">
        <v>36092.375</v>
      </c>
      <c r="N305" s="77">
        <v>36092.416666666664</v>
      </c>
      <c r="O305" s="77">
        <v>36092.458333333336</v>
      </c>
      <c r="P305" s="77">
        <v>36092.5</v>
      </c>
      <c r="Q305" s="77">
        <v>36092.541666666664</v>
      </c>
      <c r="R305" s="77">
        <v>36092.583333333336</v>
      </c>
      <c r="S305" s="77">
        <v>36092.625</v>
      </c>
      <c r="T305" s="77">
        <v>36092.666666666664</v>
      </c>
      <c r="U305" s="77">
        <v>36092.708333333336</v>
      </c>
      <c r="V305" s="77">
        <v>36092.75</v>
      </c>
      <c r="W305" s="77">
        <v>36092.791666666664</v>
      </c>
      <c r="X305" s="77">
        <v>36092.833333333336</v>
      </c>
      <c r="Y305" s="77">
        <v>36092.875</v>
      </c>
      <c r="Z305" s="77">
        <v>36092.916666666664</v>
      </c>
      <c r="AA305" s="78">
        <v>36092.958333333336</v>
      </c>
      <c r="AC305" s="12">
        <f t="shared" si="32"/>
        <v>296</v>
      </c>
      <c r="AD305" s="98">
        <v>280</v>
      </c>
    </row>
    <row r="306" spans="3:30">
      <c r="C306" s="76">
        <v>297</v>
      </c>
      <c r="D306" s="77">
        <v>36093</v>
      </c>
      <c r="E306" s="77">
        <v>36093.041666666664</v>
      </c>
      <c r="F306" s="77">
        <v>36093.083333333336</v>
      </c>
      <c r="G306" s="77">
        <v>36093.125</v>
      </c>
      <c r="H306" s="77">
        <v>36093.166666666664</v>
      </c>
      <c r="I306" s="77">
        <v>36093.208333333336</v>
      </c>
      <c r="J306" s="77">
        <v>36093.25</v>
      </c>
      <c r="K306" s="77">
        <v>36093.291666666664</v>
      </c>
      <c r="L306" s="77">
        <v>36093.333333333336</v>
      </c>
      <c r="M306" s="77">
        <v>36093.375</v>
      </c>
      <c r="N306" s="77">
        <v>36093.416666666664</v>
      </c>
      <c r="O306" s="77">
        <v>36093.458333333336</v>
      </c>
      <c r="P306" s="77">
        <v>36093.5</v>
      </c>
      <c r="Q306" s="77">
        <v>36093.541666666664</v>
      </c>
      <c r="R306" s="77">
        <v>36093.583333333336</v>
      </c>
      <c r="S306" s="77">
        <v>36093.625</v>
      </c>
      <c r="T306" s="77">
        <v>36093.666666666664</v>
      </c>
      <c r="U306" s="77">
        <v>36093.708333333336</v>
      </c>
      <c r="V306" s="77">
        <v>36093.75</v>
      </c>
      <c r="W306" s="77">
        <v>36093.791666666664</v>
      </c>
      <c r="X306" s="77">
        <v>36093.833333333336</v>
      </c>
      <c r="Y306" s="77">
        <v>36093.875</v>
      </c>
      <c r="Z306" s="77">
        <v>36093.916666666664</v>
      </c>
      <c r="AA306" s="78">
        <v>36093.958333333336</v>
      </c>
      <c r="AC306" s="12">
        <f t="shared" si="32"/>
        <v>297</v>
      </c>
      <c r="AD306" s="98">
        <v>280</v>
      </c>
    </row>
    <row r="307" spans="3:30">
      <c r="C307" s="76">
        <v>298</v>
      </c>
      <c r="D307" s="77">
        <v>36094</v>
      </c>
      <c r="E307" s="77">
        <v>36094.041666666664</v>
      </c>
      <c r="F307" s="77">
        <v>36094.083333333336</v>
      </c>
      <c r="G307" s="77">
        <v>36094.125</v>
      </c>
      <c r="H307" s="77">
        <v>36094.166666666664</v>
      </c>
      <c r="I307" s="77">
        <v>36094.208333333336</v>
      </c>
      <c r="J307" s="77">
        <v>36094.25</v>
      </c>
      <c r="K307" s="77">
        <v>36094.291666666664</v>
      </c>
      <c r="L307" s="77">
        <v>36094.333333333336</v>
      </c>
      <c r="M307" s="77">
        <v>36094.375</v>
      </c>
      <c r="N307" s="77">
        <v>36094.416666666664</v>
      </c>
      <c r="O307" s="77">
        <v>36094.458333333336</v>
      </c>
      <c r="P307" s="77">
        <v>36094.5</v>
      </c>
      <c r="Q307" s="77">
        <v>36094.541666666664</v>
      </c>
      <c r="R307" s="77">
        <v>36094.583333333336</v>
      </c>
      <c r="S307" s="77">
        <v>36094.625</v>
      </c>
      <c r="T307" s="77">
        <v>36094.666666666664</v>
      </c>
      <c r="U307" s="77">
        <v>36094.708333333336</v>
      </c>
      <c r="V307" s="77">
        <v>36094.75</v>
      </c>
      <c r="W307" s="77">
        <v>36094.791666666664</v>
      </c>
      <c r="X307" s="77">
        <v>36094.833333333336</v>
      </c>
      <c r="Y307" s="77">
        <v>36094.875</v>
      </c>
      <c r="Z307" s="77">
        <v>36094.916666666664</v>
      </c>
      <c r="AA307" s="78">
        <v>36094.958333333336</v>
      </c>
      <c r="AC307" s="12">
        <f t="shared" si="32"/>
        <v>298</v>
      </c>
      <c r="AD307" s="98">
        <v>280</v>
      </c>
    </row>
    <row r="308" spans="3:30">
      <c r="C308" s="76">
        <v>299</v>
      </c>
      <c r="D308" s="77">
        <v>36095</v>
      </c>
      <c r="E308" s="77">
        <v>36095.041666666664</v>
      </c>
      <c r="F308" s="77">
        <v>36095.083333333336</v>
      </c>
      <c r="G308" s="77">
        <v>36095.125</v>
      </c>
      <c r="H308" s="77">
        <v>36095.166666666664</v>
      </c>
      <c r="I308" s="77">
        <v>36095.208333333336</v>
      </c>
      <c r="J308" s="77">
        <v>36095.25</v>
      </c>
      <c r="K308" s="77">
        <v>36095.291666666664</v>
      </c>
      <c r="L308" s="77">
        <v>36095.333333333336</v>
      </c>
      <c r="M308" s="77">
        <v>36095.375</v>
      </c>
      <c r="N308" s="77">
        <v>36095.416666666664</v>
      </c>
      <c r="O308" s="77">
        <v>36095.458333333336</v>
      </c>
      <c r="P308" s="77">
        <v>36095.5</v>
      </c>
      <c r="Q308" s="77">
        <v>36095.541666666664</v>
      </c>
      <c r="R308" s="77">
        <v>36095.583333333336</v>
      </c>
      <c r="S308" s="77">
        <v>36095.625</v>
      </c>
      <c r="T308" s="77">
        <v>36095.666666666664</v>
      </c>
      <c r="U308" s="77">
        <v>36095.708333333336</v>
      </c>
      <c r="V308" s="77">
        <v>36095.75</v>
      </c>
      <c r="W308" s="77">
        <v>36095.791666666664</v>
      </c>
      <c r="X308" s="77">
        <v>36095.833333333336</v>
      </c>
      <c r="Y308" s="77">
        <v>36095.875</v>
      </c>
      <c r="Z308" s="77">
        <v>36095.916666666664</v>
      </c>
      <c r="AA308" s="78">
        <v>36095.958333333336</v>
      </c>
      <c r="AC308" s="12">
        <f t="shared" si="32"/>
        <v>299</v>
      </c>
      <c r="AD308" s="98">
        <v>280</v>
      </c>
    </row>
    <row r="309" spans="3:30">
      <c r="C309" s="76">
        <v>300</v>
      </c>
      <c r="D309" s="77">
        <v>36096</v>
      </c>
      <c r="E309" s="77">
        <v>36096.041666666664</v>
      </c>
      <c r="F309" s="77">
        <v>36096.083333333336</v>
      </c>
      <c r="G309" s="77">
        <v>36096.125</v>
      </c>
      <c r="H309" s="77">
        <v>36096.166666666664</v>
      </c>
      <c r="I309" s="77">
        <v>36096.208333333336</v>
      </c>
      <c r="J309" s="77">
        <v>36096.25</v>
      </c>
      <c r="K309" s="77">
        <v>36096.291666666664</v>
      </c>
      <c r="L309" s="77">
        <v>36096.333333333336</v>
      </c>
      <c r="M309" s="77">
        <v>36096.375</v>
      </c>
      <c r="N309" s="77">
        <v>36096.416666666664</v>
      </c>
      <c r="O309" s="77">
        <v>36096.458333333336</v>
      </c>
      <c r="P309" s="77">
        <v>36096.5</v>
      </c>
      <c r="Q309" s="77">
        <v>36096.541666666664</v>
      </c>
      <c r="R309" s="77">
        <v>36096.583333333336</v>
      </c>
      <c r="S309" s="77">
        <v>36096.625</v>
      </c>
      <c r="T309" s="77">
        <v>36096.666666666664</v>
      </c>
      <c r="U309" s="77">
        <v>36096.708333333336</v>
      </c>
      <c r="V309" s="77">
        <v>36096.75</v>
      </c>
      <c r="W309" s="77">
        <v>36096.791666666664</v>
      </c>
      <c r="X309" s="77">
        <v>36096.833333333336</v>
      </c>
      <c r="Y309" s="77">
        <v>36096.875</v>
      </c>
      <c r="Z309" s="77">
        <v>36096.916666666664</v>
      </c>
      <c r="AA309" s="78">
        <v>36096.958333333336</v>
      </c>
      <c r="AC309" s="12">
        <f t="shared" si="32"/>
        <v>300</v>
      </c>
      <c r="AD309" s="98">
        <v>280</v>
      </c>
    </row>
    <row r="310" spans="3:30">
      <c r="C310" s="76">
        <v>301</v>
      </c>
      <c r="D310" s="77">
        <v>36097</v>
      </c>
      <c r="E310" s="77">
        <v>36097.041666666664</v>
      </c>
      <c r="F310" s="77">
        <v>36097.083333333336</v>
      </c>
      <c r="G310" s="77">
        <v>36097.125</v>
      </c>
      <c r="H310" s="77">
        <v>36097.166666666664</v>
      </c>
      <c r="I310" s="77">
        <v>36097.208333333336</v>
      </c>
      <c r="J310" s="77">
        <v>36097.25</v>
      </c>
      <c r="K310" s="77">
        <v>36097.291666666664</v>
      </c>
      <c r="L310" s="77">
        <v>36097.333333333336</v>
      </c>
      <c r="M310" s="77">
        <v>36097.375</v>
      </c>
      <c r="N310" s="77">
        <v>36097.416666666664</v>
      </c>
      <c r="O310" s="77">
        <v>36097.458333333336</v>
      </c>
      <c r="P310" s="77">
        <v>36097.5</v>
      </c>
      <c r="Q310" s="77">
        <v>36097.541666666664</v>
      </c>
      <c r="R310" s="77">
        <v>36097.583333333336</v>
      </c>
      <c r="S310" s="77">
        <v>36097.625</v>
      </c>
      <c r="T310" s="77">
        <v>36097.666666666664</v>
      </c>
      <c r="U310" s="77">
        <v>36097.708333333336</v>
      </c>
      <c r="V310" s="77">
        <v>36097.75</v>
      </c>
      <c r="W310" s="77">
        <v>36097.791666666664</v>
      </c>
      <c r="X310" s="77">
        <v>36097.833333333336</v>
      </c>
      <c r="Y310" s="77">
        <v>36097.875</v>
      </c>
      <c r="Z310" s="77">
        <v>36097.916666666664</v>
      </c>
      <c r="AA310" s="78">
        <v>36097.958333333336</v>
      </c>
      <c r="AC310" s="12">
        <f t="shared" si="32"/>
        <v>301</v>
      </c>
      <c r="AD310" s="98">
        <v>280</v>
      </c>
    </row>
    <row r="311" spans="3:30">
      <c r="C311" s="76">
        <v>302</v>
      </c>
      <c r="D311" s="77">
        <v>36098</v>
      </c>
      <c r="E311" s="77">
        <v>36098.041666666664</v>
      </c>
      <c r="F311" s="77">
        <v>36098.083333333336</v>
      </c>
      <c r="G311" s="77">
        <v>36098.125</v>
      </c>
      <c r="H311" s="77">
        <v>36098.166666666664</v>
      </c>
      <c r="I311" s="77">
        <v>36098.208333333336</v>
      </c>
      <c r="J311" s="77">
        <v>36098.25</v>
      </c>
      <c r="K311" s="77">
        <v>36098.291666666664</v>
      </c>
      <c r="L311" s="77">
        <v>36098.333333333336</v>
      </c>
      <c r="M311" s="77">
        <v>36098.375</v>
      </c>
      <c r="N311" s="77">
        <v>36098.416666666664</v>
      </c>
      <c r="O311" s="77">
        <v>36098.458333333336</v>
      </c>
      <c r="P311" s="77">
        <v>36098.5</v>
      </c>
      <c r="Q311" s="77">
        <v>36098.541666666664</v>
      </c>
      <c r="R311" s="77">
        <v>36098.583333333336</v>
      </c>
      <c r="S311" s="77">
        <v>36098.625</v>
      </c>
      <c r="T311" s="77">
        <v>36098.666666666664</v>
      </c>
      <c r="U311" s="77">
        <v>36098.708333333336</v>
      </c>
      <c r="V311" s="77">
        <v>36098.75</v>
      </c>
      <c r="W311" s="77">
        <v>36098.791666666664</v>
      </c>
      <c r="X311" s="77">
        <v>36098.833333333336</v>
      </c>
      <c r="Y311" s="77">
        <v>36098.875</v>
      </c>
      <c r="Z311" s="77">
        <v>36098.916666666664</v>
      </c>
      <c r="AA311" s="78">
        <v>36098.958333333336</v>
      </c>
      <c r="AC311" s="12">
        <f t="shared" si="32"/>
        <v>302</v>
      </c>
      <c r="AD311" s="98">
        <v>280</v>
      </c>
    </row>
    <row r="312" spans="3:30">
      <c r="C312" s="76">
        <v>303</v>
      </c>
      <c r="D312" s="77">
        <v>36099</v>
      </c>
      <c r="E312" s="77">
        <v>36099.041666666664</v>
      </c>
      <c r="F312" s="77">
        <v>36099.083333333336</v>
      </c>
      <c r="G312" s="77">
        <v>36099.125</v>
      </c>
      <c r="H312" s="77">
        <v>36099.166666666664</v>
      </c>
      <c r="I312" s="77">
        <v>36099.208333333336</v>
      </c>
      <c r="J312" s="77">
        <v>36099.25</v>
      </c>
      <c r="K312" s="77">
        <v>36099.291666666664</v>
      </c>
      <c r="L312" s="77">
        <v>36099.333333333336</v>
      </c>
      <c r="M312" s="77">
        <v>36099.375</v>
      </c>
      <c r="N312" s="77">
        <v>36099.416666666664</v>
      </c>
      <c r="O312" s="77">
        <v>36099.458333333336</v>
      </c>
      <c r="P312" s="77">
        <v>36099.5</v>
      </c>
      <c r="Q312" s="77">
        <v>36099.541666666664</v>
      </c>
      <c r="R312" s="77">
        <v>36099.583333333336</v>
      </c>
      <c r="S312" s="77">
        <v>36099.625</v>
      </c>
      <c r="T312" s="77">
        <v>36099.666666666664</v>
      </c>
      <c r="U312" s="77">
        <v>36099.708333333336</v>
      </c>
      <c r="V312" s="77">
        <v>36099.75</v>
      </c>
      <c r="W312" s="77">
        <v>36099.791666666664</v>
      </c>
      <c r="X312" s="77">
        <v>36099.833333333336</v>
      </c>
      <c r="Y312" s="77">
        <v>36099.875</v>
      </c>
      <c r="Z312" s="77">
        <v>36099.916666666664</v>
      </c>
      <c r="AA312" s="78">
        <v>36099.958333333336</v>
      </c>
      <c r="AC312" s="12">
        <f t="shared" si="32"/>
        <v>303</v>
      </c>
      <c r="AD312" s="98">
        <v>280</v>
      </c>
    </row>
    <row r="313" spans="3:30">
      <c r="C313" s="76">
        <v>304</v>
      </c>
      <c r="D313" s="77">
        <v>36100</v>
      </c>
      <c r="E313" s="77">
        <v>36100.041666666664</v>
      </c>
      <c r="F313" s="77">
        <v>36100.083333333336</v>
      </c>
      <c r="G313" s="77">
        <v>36100.125</v>
      </c>
      <c r="H313" s="77">
        <v>36100.166666666664</v>
      </c>
      <c r="I313" s="77">
        <v>36100.208333333336</v>
      </c>
      <c r="J313" s="77">
        <v>36100.25</v>
      </c>
      <c r="K313" s="77">
        <v>36100.291666666664</v>
      </c>
      <c r="L313" s="77">
        <v>36100.333333333336</v>
      </c>
      <c r="M313" s="77">
        <v>36100.375</v>
      </c>
      <c r="N313" s="77">
        <v>36100.416666666664</v>
      </c>
      <c r="O313" s="77">
        <v>36100.458333333336</v>
      </c>
      <c r="P313" s="77">
        <v>36100.5</v>
      </c>
      <c r="Q313" s="77">
        <v>36100.541666666664</v>
      </c>
      <c r="R313" s="77">
        <v>36100.583333333336</v>
      </c>
      <c r="S313" s="77">
        <v>36100.625</v>
      </c>
      <c r="T313" s="77">
        <v>36100.666666666664</v>
      </c>
      <c r="U313" s="77">
        <v>36100.708333333336</v>
      </c>
      <c r="V313" s="77">
        <v>36100.75</v>
      </c>
      <c r="W313" s="77">
        <v>36100.791666666664</v>
      </c>
      <c r="X313" s="77">
        <v>36100.833333333336</v>
      </c>
      <c r="Y313" s="77">
        <v>36100.875</v>
      </c>
      <c r="Z313" s="77">
        <v>36100.916666666664</v>
      </c>
      <c r="AA313" s="78">
        <v>36100.958333333336</v>
      </c>
      <c r="AC313" s="12">
        <f t="shared" si="32"/>
        <v>304</v>
      </c>
      <c r="AD313" s="98">
        <v>310</v>
      </c>
    </row>
    <row r="314" spans="3:30">
      <c r="C314" s="76">
        <v>305</v>
      </c>
      <c r="D314" s="77">
        <v>36101</v>
      </c>
      <c r="E314" s="77">
        <v>36101.041666666664</v>
      </c>
      <c r="F314" s="77">
        <v>36101.083333333336</v>
      </c>
      <c r="G314" s="77">
        <v>36101.125</v>
      </c>
      <c r="H314" s="77">
        <v>36101.166666666664</v>
      </c>
      <c r="I314" s="77">
        <v>36101.208333333336</v>
      </c>
      <c r="J314" s="77">
        <v>36101.25</v>
      </c>
      <c r="K314" s="77">
        <v>36101.291666666664</v>
      </c>
      <c r="L314" s="77">
        <v>36101.333333333336</v>
      </c>
      <c r="M314" s="77">
        <v>36101.375</v>
      </c>
      <c r="N314" s="77">
        <v>36101.416666666664</v>
      </c>
      <c r="O314" s="77">
        <v>36101.458333333336</v>
      </c>
      <c r="P314" s="77">
        <v>36101.5</v>
      </c>
      <c r="Q314" s="77">
        <v>36101.541666666664</v>
      </c>
      <c r="R314" s="77">
        <v>36101.583333333336</v>
      </c>
      <c r="S314" s="77">
        <v>36101.625</v>
      </c>
      <c r="T314" s="77">
        <v>36101.666666666664</v>
      </c>
      <c r="U314" s="77">
        <v>36101.708333333336</v>
      </c>
      <c r="V314" s="77">
        <v>36101.75</v>
      </c>
      <c r="W314" s="77">
        <v>36101.791666666664</v>
      </c>
      <c r="X314" s="77">
        <v>36101.833333333336</v>
      </c>
      <c r="Y314" s="77">
        <v>36101.875</v>
      </c>
      <c r="Z314" s="77">
        <v>36101.916666666664</v>
      </c>
      <c r="AA314" s="78">
        <v>36101.958333333336</v>
      </c>
      <c r="AC314" s="12">
        <f t="shared" si="32"/>
        <v>305</v>
      </c>
      <c r="AD314" s="98">
        <v>310</v>
      </c>
    </row>
    <row r="315" spans="3:30">
      <c r="C315" s="76">
        <v>306</v>
      </c>
      <c r="D315" s="77">
        <v>36102</v>
      </c>
      <c r="E315" s="77">
        <v>36102.041666666664</v>
      </c>
      <c r="F315" s="77">
        <v>36102.083333333336</v>
      </c>
      <c r="G315" s="77">
        <v>36102.125</v>
      </c>
      <c r="H315" s="77">
        <v>36102.166666666664</v>
      </c>
      <c r="I315" s="77">
        <v>36102.208333333336</v>
      </c>
      <c r="J315" s="77">
        <v>36102.25</v>
      </c>
      <c r="K315" s="77">
        <v>36102.291666666664</v>
      </c>
      <c r="L315" s="77">
        <v>36102.333333333336</v>
      </c>
      <c r="M315" s="77">
        <v>36102.375</v>
      </c>
      <c r="N315" s="77">
        <v>36102.416666666664</v>
      </c>
      <c r="O315" s="77">
        <v>36102.458333333336</v>
      </c>
      <c r="P315" s="77">
        <v>36102.5</v>
      </c>
      <c r="Q315" s="77">
        <v>36102.541666666664</v>
      </c>
      <c r="R315" s="77">
        <v>36102.583333333336</v>
      </c>
      <c r="S315" s="77">
        <v>36102.625</v>
      </c>
      <c r="T315" s="77">
        <v>36102.666666666664</v>
      </c>
      <c r="U315" s="77">
        <v>36102.708333333336</v>
      </c>
      <c r="V315" s="77">
        <v>36102.75</v>
      </c>
      <c r="W315" s="77">
        <v>36102.791666666664</v>
      </c>
      <c r="X315" s="77">
        <v>36102.833333333336</v>
      </c>
      <c r="Y315" s="77">
        <v>36102.875</v>
      </c>
      <c r="Z315" s="77">
        <v>36102.916666666664</v>
      </c>
      <c r="AA315" s="78">
        <v>36102.958333333336</v>
      </c>
      <c r="AC315" s="12">
        <f t="shared" si="32"/>
        <v>306</v>
      </c>
      <c r="AD315" s="98">
        <v>310</v>
      </c>
    </row>
    <row r="316" spans="3:30">
      <c r="C316" s="76">
        <v>307</v>
      </c>
      <c r="D316" s="77">
        <v>36103</v>
      </c>
      <c r="E316" s="77">
        <v>36103.041666666664</v>
      </c>
      <c r="F316" s="77">
        <v>36103.083333333336</v>
      </c>
      <c r="G316" s="77">
        <v>36103.125</v>
      </c>
      <c r="H316" s="77">
        <v>36103.166666666664</v>
      </c>
      <c r="I316" s="77">
        <v>36103.208333333336</v>
      </c>
      <c r="J316" s="77">
        <v>36103.25</v>
      </c>
      <c r="K316" s="77">
        <v>36103.291666666664</v>
      </c>
      <c r="L316" s="77">
        <v>36103.333333333336</v>
      </c>
      <c r="M316" s="77">
        <v>36103.375</v>
      </c>
      <c r="N316" s="77">
        <v>36103.416666666664</v>
      </c>
      <c r="O316" s="77">
        <v>36103.458333333336</v>
      </c>
      <c r="P316" s="77">
        <v>36103.5</v>
      </c>
      <c r="Q316" s="77">
        <v>36103.541666666664</v>
      </c>
      <c r="R316" s="77">
        <v>36103.583333333336</v>
      </c>
      <c r="S316" s="77">
        <v>36103.625</v>
      </c>
      <c r="T316" s="77">
        <v>36103.666666666664</v>
      </c>
      <c r="U316" s="77">
        <v>36103.708333333336</v>
      </c>
      <c r="V316" s="77">
        <v>36103.75</v>
      </c>
      <c r="W316" s="77">
        <v>36103.791666666664</v>
      </c>
      <c r="X316" s="77">
        <v>36103.833333333336</v>
      </c>
      <c r="Y316" s="77">
        <v>36103.875</v>
      </c>
      <c r="Z316" s="77">
        <v>36103.916666666664</v>
      </c>
      <c r="AA316" s="78">
        <v>36103.958333333336</v>
      </c>
      <c r="AC316" s="12">
        <f t="shared" si="32"/>
        <v>307</v>
      </c>
      <c r="AD316" s="98">
        <v>310</v>
      </c>
    </row>
    <row r="317" spans="3:30">
      <c r="C317" s="76">
        <v>308</v>
      </c>
      <c r="D317" s="77">
        <v>36104</v>
      </c>
      <c r="E317" s="77">
        <v>36104.041666666664</v>
      </c>
      <c r="F317" s="77">
        <v>36104.083333333336</v>
      </c>
      <c r="G317" s="77">
        <v>36104.125</v>
      </c>
      <c r="H317" s="77">
        <v>36104.166666666664</v>
      </c>
      <c r="I317" s="77">
        <v>36104.208333333336</v>
      </c>
      <c r="J317" s="77">
        <v>36104.25</v>
      </c>
      <c r="K317" s="77">
        <v>36104.291666666664</v>
      </c>
      <c r="L317" s="77">
        <v>36104.333333333336</v>
      </c>
      <c r="M317" s="77">
        <v>36104.375</v>
      </c>
      <c r="N317" s="77">
        <v>36104.416666666664</v>
      </c>
      <c r="O317" s="77">
        <v>36104.458333333336</v>
      </c>
      <c r="P317" s="77">
        <v>36104.5</v>
      </c>
      <c r="Q317" s="77">
        <v>36104.541666666664</v>
      </c>
      <c r="R317" s="77">
        <v>36104.583333333336</v>
      </c>
      <c r="S317" s="77">
        <v>36104.625</v>
      </c>
      <c r="T317" s="77">
        <v>36104.666666666664</v>
      </c>
      <c r="U317" s="77">
        <v>36104.708333333336</v>
      </c>
      <c r="V317" s="77">
        <v>36104.75</v>
      </c>
      <c r="W317" s="77">
        <v>36104.791666666664</v>
      </c>
      <c r="X317" s="77">
        <v>36104.833333333336</v>
      </c>
      <c r="Y317" s="77">
        <v>36104.875</v>
      </c>
      <c r="Z317" s="77">
        <v>36104.916666666664</v>
      </c>
      <c r="AA317" s="78">
        <v>36104.958333333336</v>
      </c>
      <c r="AC317" s="12">
        <f t="shared" si="32"/>
        <v>308</v>
      </c>
      <c r="AD317" s="98">
        <v>310</v>
      </c>
    </row>
    <row r="318" spans="3:30">
      <c r="C318" s="76">
        <v>309</v>
      </c>
      <c r="D318" s="77">
        <v>36105</v>
      </c>
      <c r="E318" s="77">
        <v>36105.041666666664</v>
      </c>
      <c r="F318" s="77">
        <v>36105.083333333336</v>
      </c>
      <c r="G318" s="77">
        <v>36105.125</v>
      </c>
      <c r="H318" s="77">
        <v>36105.166666666664</v>
      </c>
      <c r="I318" s="77">
        <v>36105.208333333336</v>
      </c>
      <c r="J318" s="77">
        <v>36105.25</v>
      </c>
      <c r="K318" s="77">
        <v>36105.291666666664</v>
      </c>
      <c r="L318" s="77">
        <v>36105.333333333336</v>
      </c>
      <c r="M318" s="77">
        <v>36105.375</v>
      </c>
      <c r="N318" s="77">
        <v>36105.416666666664</v>
      </c>
      <c r="O318" s="77">
        <v>36105.458333333336</v>
      </c>
      <c r="P318" s="77">
        <v>36105.5</v>
      </c>
      <c r="Q318" s="77">
        <v>36105.541666666664</v>
      </c>
      <c r="R318" s="77">
        <v>36105.583333333336</v>
      </c>
      <c r="S318" s="77">
        <v>36105.625</v>
      </c>
      <c r="T318" s="77">
        <v>36105.666666666664</v>
      </c>
      <c r="U318" s="77">
        <v>36105.708333333336</v>
      </c>
      <c r="V318" s="77">
        <v>36105.75</v>
      </c>
      <c r="W318" s="77">
        <v>36105.791666666664</v>
      </c>
      <c r="X318" s="77">
        <v>36105.833333333336</v>
      </c>
      <c r="Y318" s="77">
        <v>36105.875</v>
      </c>
      <c r="Z318" s="77">
        <v>36105.916666666664</v>
      </c>
      <c r="AA318" s="78">
        <v>36105.958333333336</v>
      </c>
      <c r="AC318" s="12">
        <f t="shared" si="32"/>
        <v>309</v>
      </c>
      <c r="AD318" s="98">
        <v>310</v>
      </c>
    </row>
    <row r="319" spans="3:30">
      <c r="C319" s="76">
        <v>310</v>
      </c>
      <c r="D319" s="77">
        <v>36106</v>
      </c>
      <c r="E319" s="77">
        <v>36106.041666666664</v>
      </c>
      <c r="F319" s="77">
        <v>36106.083333333336</v>
      </c>
      <c r="G319" s="77">
        <v>36106.125</v>
      </c>
      <c r="H319" s="77">
        <v>36106.166666666664</v>
      </c>
      <c r="I319" s="77">
        <v>36106.208333333336</v>
      </c>
      <c r="J319" s="77">
        <v>36106.25</v>
      </c>
      <c r="K319" s="77">
        <v>36106.291666666664</v>
      </c>
      <c r="L319" s="77">
        <v>36106.333333333336</v>
      </c>
      <c r="M319" s="77">
        <v>36106.375</v>
      </c>
      <c r="N319" s="77">
        <v>36106.416666666664</v>
      </c>
      <c r="O319" s="77">
        <v>36106.458333333336</v>
      </c>
      <c r="P319" s="77">
        <v>36106.5</v>
      </c>
      <c r="Q319" s="77">
        <v>36106.541666666664</v>
      </c>
      <c r="R319" s="77">
        <v>36106.583333333336</v>
      </c>
      <c r="S319" s="77">
        <v>36106.625</v>
      </c>
      <c r="T319" s="77">
        <v>36106.666666666664</v>
      </c>
      <c r="U319" s="77">
        <v>36106.708333333336</v>
      </c>
      <c r="V319" s="77">
        <v>36106.75</v>
      </c>
      <c r="W319" s="77">
        <v>36106.791666666664</v>
      </c>
      <c r="X319" s="77">
        <v>36106.833333333336</v>
      </c>
      <c r="Y319" s="77">
        <v>36106.875</v>
      </c>
      <c r="Z319" s="77">
        <v>36106.916666666664</v>
      </c>
      <c r="AA319" s="78">
        <v>36106.958333333336</v>
      </c>
      <c r="AC319" s="12">
        <f t="shared" si="32"/>
        <v>310</v>
      </c>
      <c r="AD319" s="98">
        <v>310</v>
      </c>
    </row>
    <row r="320" spans="3:30">
      <c r="C320" s="76">
        <v>311</v>
      </c>
      <c r="D320" s="77">
        <v>36107</v>
      </c>
      <c r="E320" s="77">
        <v>36107.041666666664</v>
      </c>
      <c r="F320" s="77">
        <v>36107.083333333336</v>
      </c>
      <c r="G320" s="77">
        <v>36107.125</v>
      </c>
      <c r="H320" s="77">
        <v>36107.166666666664</v>
      </c>
      <c r="I320" s="77">
        <v>36107.208333333336</v>
      </c>
      <c r="J320" s="77">
        <v>36107.25</v>
      </c>
      <c r="K320" s="77">
        <v>36107.291666666664</v>
      </c>
      <c r="L320" s="77">
        <v>36107.333333333336</v>
      </c>
      <c r="M320" s="77">
        <v>36107.375</v>
      </c>
      <c r="N320" s="77">
        <v>36107.416666666664</v>
      </c>
      <c r="O320" s="77">
        <v>36107.458333333336</v>
      </c>
      <c r="P320" s="77">
        <v>36107.5</v>
      </c>
      <c r="Q320" s="77">
        <v>36107.541666666664</v>
      </c>
      <c r="R320" s="77">
        <v>36107.583333333336</v>
      </c>
      <c r="S320" s="77">
        <v>36107.625</v>
      </c>
      <c r="T320" s="77">
        <v>36107.666666666664</v>
      </c>
      <c r="U320" s="77">
        <v>36107.708333333336</v>
      </c>
      <c r="V320" s="77">
        <v>36107.75</v>
      </c>
      <c r="W320" s="77">
        <v>36107.791666666664</v>
      </c>
      <c r="X320" s="77">
        <v>36107.833333333336</v>
      </c>
      <c r="Y320" s="77">
        <v>36107.875</v>
      </c>
      <c r="Z320" s="77">
        <v>36107.916666666664</v>
      </c>
      <c r="AA320" s="78">
        <v>36107.958333333336</v>
      </c>
      <c r="AC320" s="12">
        <f t="shared" si="32"/>
        <v>311</v>
      </c>
      <c r="AD320" s="98">
        <v>310</v>
      </c>
    </row>
    <row r="321" spans="3:30">
      <c r="C321" s="76">
        <v>312</v>
      </c>
      <c r="D321" s="77">
        <v>36108</v>
      </c>
      <c r="E321" s="77">
        <v>36108.041666666664</v>
      </c>
      <c r="F321" s="77">
        <v>36108.083333333336</v>
      </c>
      <c r="G321" s="77">
        <v>36108.125</v>
      </c>
      <c r="H321" s="77">
        <v>36108.166666666664</v>
      </c>
      <c r="I321" s="77">
        <v>36108.208333333336</v>
      </c>
      <c r="J321" s="77">
        <v>36108.25</v>
      </c>
      <c r="K321" s="77">
        <v>36108.291666666664</v>
      </c>
      <c r="L321" s="77">
        <v>36108.333333333336</v>
      </c>
      <c r="M321" s="77">
        <v>36108.375</v>
      </c>
      <c r="N321" s="77">
        <v>36108.416666666664</v>
      </c>
      <c r="O321" s="77">
        <v>36108.458333333336</v>
      </c>
      <c r="P321" s="77">
        <v>36108.5</v>
      </c>
      <c r="Q321" s="77">
        <v>36108.541666666664</v>
      </c>
      <c r="R321" s="77">
        <v>36108.583333333336</v>
      </c>
      <c r="S321" s="77">
        <v>36108.625</v>
      </c>
      <c r="T321" s="77">
        <v>36108.666666666664</v>
      </c>
      <c r="U321" s="77">
        <v>36108.708333333336</v>
      </c>
      <c r="V321" s="77">
        <v>36108.75</v>
      </c>
      <c r="W321" s="77">
        <v>36108.791666666664</v>
      </c>
      <c r="X321" s="77">
        <v>36108.833333333336</v>
      </c>
      <c r="Y321" s="77">
        <v>36108.875</v>
      </c>
      <c r="Z321" s="77">
        <v>36108.916666666664</v>
      </c>
      <c r="AA321" s="78">
        <v>36108.958333333336</v>
      </c>
      <c r="AC321" s="12">
        <f t="shared" si="32"/>
        <v>312</v>
      </c>
      <c r="AD321" s="98">
        <v>310</v>
      </c>
    </row>
    <row r="322" spans="3:30">
      <c r="C322" s="76">
        <v>313</v>
      </c>
      <c r="D322" s="77">
        <v>36109</v>
      </c>
      <c r="E322" s="77">
        <v>36109.041666666664</v>
      </c>
      <c r="F322" s="77">
        <v>36109.083333333336</v>
      </c>
      <c r="G322" s="77">
        <v>36109.125</v>
      </c>
      <c r="H322" s="77">
        <v>36109.166666666664</v>
      </c>
      <c r="I322" s="77">
        <v>36109.208333333336</v>
      </c>
      <c r="J322" s="77">
        <v>36109.25</v>
      </c>
      <c r="K322" s="77">
        <v>36109.291666666664</v>
      </c>
      <c r="L322" s="77">
        <v>36109.333333333336</v>
      </c>
      <c r="M322" s="77">
        <v>36109.375</v>
      </c>
      <c r="N322" s="77">
        <v>36109.416666666664</v>
      </c>
      <c r="O322" s="77">
        <v>36109.458333333336</v>
      </c>
      <c r="P322" s="77">
        <v>36109.5</v>
      </c>
      <c r="Q322" s="77">
        <v>36109.541666666664</v>
      </c>
      <c r="R322" s="77">
        <v>36109.583333333336</v>
      </c>
      <c r="S322" s="77">
        <v>36109.625</v>
      </c>
      <c r="T322" s="77">
        <v>36109.666666666664</v>
      </c>
      <c r="U322" s="77">
        <v>36109.708333333336</v>
      </c>
      <c r="V322" s="77">
        <v>36109.75</v>
      </c>
      <c r="W322" s="77">
        <v>36109.791666666664</v>
      </c>
      <c r="X322" s="77">
        <v>36109.833333333336</v>
      </c>
      <c r="Y322" s="77">
        <v>36109.875</v>
      </c>
      <c r="Z322" s="77">
        <v>36109.916666666664</v>
      </c>
      <c r="AA322" s="78">
        <v>36109.958333333336</v>
      </c>
      <c r="AC322" s="12">
        <f t="shared" si="32"/>
        <v>313</v>
      </c>
      <c r="AD322" s="98">
        <v>310</v>
      </c>
    </row>
    <row r="323" spans="3:30">
      <c r="C323" s="76">
        <v>314</v>
      </c>
      <c r="D323" s="77">
        <v>36110</v>
      </c>
      <c r="E323" s="77">
        <v>36110.041666666664</v>
      </c>
      <c r="F323" s="77">
        <v>36110.083333333336</v>
      </c>
      <c r="G323" s="77">
        <v>36110.125</v>
      </c>
      <c r="H323" s="77">
        <v>36110.166666666664</v>
      </c>
      <c r="I323" s="77">
        <v>36110.208333333336</v>
      </c>
      <c r="J323" s="77">
        <v>36110.25</v>
      </c>
      <c r="K323" s="77">
        <v>36110.291666666664</v>
      </c>
      <c r="L323" s="77">
        <v>36110.333333333336</v>
      </c>
      <c r="M323" s="77">
        <v>36110.375</v>
      </c>
      <c r="N323" s="77">
        <v>36110.416666666664</v>
      </c>
      <c r="O323" s="77">
        <v>36110.458333333336</v>
      </c>
      <c r="P323" s="77">
        <v>36110.5</v>
      </c>
      <c r="Q323" s="77">
        <v>36110.541666666664</v>
      </c>
      <c r="R323" s="77">
        <v>36110.583333333336</v>
      </c>
      <c r="S323" s="77">
        <v>36110.625</v>
      </c>
      <c r="T323" s="77">
        <v>36110.666666666664</v>
      </c>
      <c r="U323" s="77">
        <v>36110.708333333336</v>
      </c>
      <c r="V323" s="77">
        <v>36110.75</v>
      </c>
      <c r="W323" s="77">
        <v>36110.791666666664</v>
      </c>
      <c r="X323" s="77">
        <v>36110.833333333336</v>
      </c>
      <c r="Y323" s="77">
        <v>36110.875</v>
      </c>
      <c r="Z323" s="77">
        <v>36110.916666666664</v>
      </c>
      <c r="AA323" s="78">
        <v>36110.958333333336</v>
      </c>
      <c r="AC323" s="12">
        <f t="shared" si="32"/>
        <v>314</v>
      </c>
      <c r="AD323" s="98">
        <v>310</v>
      </c>
    </row>
    <row r="324" spans="3:30">
      <c r="C324" s="76">
        <v>315</v>
      </c>
      <c r="D324" s="77">
        <v>36111</v>
      </c>
      <c r="E324" s="77">
        <v>36111.041666666664</v>
      </c>
      <c r="F324" s="77">
        <v>36111.083333333336</v>
      </c>
      <c r="G324" s="77">
        <v>36111.125</v>
      </c>
      <c r="H324" s="77">
        <v>36111.166666666664</v>
      </c>
      <c r="I324" s="77">
        <v>36111.208333333336</v>
      </c>
      <c r="J324" s="77">
        <v>36111.25</v>
      </c>
      <c r="K324" s="77">
        <v>36111.291666666664</v>
      </c>
      <c r="L324" s="77">
        <v>36111.333333333336</v>
      </c>
      <c r="M324" s="77">
        <v>36111.375</v>
      </c>
      <c r="N324" s="77">
        <v>36111.416666666664</v>
      </c>
      <c r="O324" s="77">
        <v>36111.458333333336</v>
      </c>
      <c r="P324" s="77">
        <v>36111.5</v>
      </c>
      <c r="Q324" s="77">
        <v>36111.541666666664</v>
      </c>
      <c r="R324" s="77">
        <v>36111.583333333336</v>
      </c>
      <c r="S324" s="77">
        <v>36111.625</v>
      </c>
      <c r="T324" s="77">
        <v>36111.666666666664</v>
      </c>
      <c r="U324" s="77">
        <v>36111.708333333336</v>
      </c>
      <c r="V324" s="77">
        <v>36111.75</v>
      </c>
      <c r="W324" s="77">
        <v>36111.791666666664</v>
      </c>
      <c r="X324" s="77">
        <v>36111.833333333336</v>
      </c>
      <c r="Y324" s="77">
        <v>36111.875</v>
      </c>
      <c r="Z324" s="77">
        <v>36111.916666666664</v>
      </c>
      <c r="AA324" s="78">
        <v>36111.958333333336</v>
      </c>
      <c r="AC324" s="12">
        <f t="shared" si="32"/>
        <v>315</v>
      </c>
      <c r="AD324" s="98">
        <v>310</v>
      </c>
    </row>
    <row r="325" spans="3:30">
      <c r="C325" s="76">
        <v>316</v>
      </c>
      <c r="D325" s="77">
        <v>36112</v>
      </c>
      <c r="E325" s="77">
        <v>36112.041666666664</v>
      </c>
      <c r="F325" s="77">
        <v>36112.083333333336</v>
      </c>
      <c r="G325" s="77">
        <v>36112.125</v>
      </c>
      <c r="H325" s="77">
        <v>36112.166666666664</v>
      </c>
      <c r="I325" s="77">
        <v>36112.208333333336</v>
      </c>
      <c r="J325" s="77">
        <v>36112.25</v>
      </c>
      <c r="K325" s="77">
        <v>36112.291666666664</v>
      </c>
      <c r="L325" s="77">
        <v>36112.333333333336</v>
      </c>
      <c r="M325" s="77">
        <v>36112.375</v>
      </c>
      <c r="N325" s="77">
        <v>36112.416666666664</v>
      </c>
      <c r="O325" s="77">
        <v>36112.458333333336</v>
      </c>
      <c r="P325" s="77">
        <v>36112.5</v>
      </c>
      <c r="Q325" s="77">
        <v>36112.541666666664</v>
      </c>
      <c r="R325" s="77">
        <v>36112.583333333336</v>
      </c>
      <c r="S325" s="77">
        <v>36112.625</v>
      </c>
      <c r="T325" s="77">
        <v>36112.666666666664</v>
      </c>
      <c r="U325" s="77">
        <v>36112.708333333336</v>
      </c>
      <c r="V325" s="77">
        <v>36112.75</v>
      </c>
      <c r="W325" s="77">
        <v>36112.791666666664</v>
      </c>
      <c r="X325" s="77">
        <v>36112.833333333336</v>
      </c>
      <c r="Y325" s="77">
        <v>36112.875</v>
      </c>
      <c r="Z325" s="77">
        <v>36112.916666666664</v>
      </c>
      <c r="AA325" s="78">
        <v>36112.958333333336</v>
      </c>
      <c r="AC325" s="12">
        <f t="shared" si="32"/>
        <v>316</v>
      </c>
      <c r="AD325" s="98">
        <v>310</v>
      </c>
    </row>
    <row r="326" spans="3:30">
      <c r="C326" s="76">
        <v>317</v>
      </c>
      <c r="D326" s="77">
        <v>36113</v>
      </c>
      <c r="E326" s="77">
        <v>36113.041666666664</v>
      </c>
      <c r="F326" s="77">
        <v>36113.083333333336</v>
      </c>
      <c r="G326" s="77">
        <v>36113.125</v>
      </c>
      <c r="H326" s="77">
        <v>36113.166666666664</v>
      </c>
      <c r="I326" s="77">
        <v>36113.208333333336</v>
      </c>
      <c r="J326" s="77">
        <v>36113.25</v>
      </c>
      <c r="K326" s="77">
        <v>36113.291666666664</v>
      </c>
      <c r="L326" s="77">
        <v>36113.333333333336</v>
      </c>
      <c r="M326" s="77">
        <v>36113.375</v>
      </c>
      <c r="N326" s="77">
        <v>36113.416666666664</v>
      </c>
      <c r="O326" s="77">
        <v>36113.458333333336</v>
      </c>
      <c r="P326" s="77">
        <v>36113.5</v>
      </c>
      <c r="Q326" s="77">
        <v>36113.541666666664</v>
      </c>
      <c r="R326" s="77">
        <v>36113.583333333336</v>
      </c>
      <c r="S326" s="77">
        <v>36113.625</v>
      </c>
      <c r="T326" s="77">
        <v>36113.666666666664</v>
      </c>
      <c r="U326" s="77">
        <v>36113.708333333336</v>
      </c>
      <c r="V326" s="77">
        <v>36113.75</v>
      </c>
      <c r="W326" s="77">
        <v>36113.791666666664</v>
      </c>
      <c r="X326" s="77">
        <v>36113.833333333336</v>
      </c>
      <c r="Y326" s="77">
        <v>36113.875</v>
      </c>
      <c r="Z326" s="77">
        <v>36113.916666666664</v>
      </c>
      <c r="AA326" s="78">
        <v>36113.958333333336</v>
      </c>
      <c r="AC326" s="12">
        <f t="shared" si="32"/>
        <v>317</v>
      </c>
      <c r="AD326" s="98">
        <v>310</v>
      </c>
    </row>
    <row r="327" spans="3:30">
      <c r="C327" s="76">
        <v>318</v>
      </c>
      <c r="D327" s="77">
        <v>36114</v>
      </c>
      <c r="E327" s="77">
        <v>36114.041666666664</v>
      </c>
      <c r="F327" s="77">
        <v>36114.083333333336</v>
      </c>
      <c r="G327" s="77">
        <v>36114.125</v>
      </c>
      <c r="H327" s="77">
        <v>36114.166666666664</v>
      </c>
      <c r="I327" s="77">
        <v>36114.208333333336</v>
      </c>
      <c r="J327" s="77">
        <v>36114.25</v>
      </c>
      <c r="K327" s="77">
        <v>36114.291666666664</v>
      </c>
      <c r="L327" s="77">
        <v>36114.333333333336</v>
      </c>
      <c r="M327" s="77">
        <v>36114.375</v>
      </c>
      <c r="N327" s="77">
        <v>36114.416666666664</v>
      </c>
      <c r="O327" s="77">
        <v>36114.458333333336</v>
      </c>
      <c r="P327" s="77">
        <v>36114.5</v>
      </c>
      <c r="Q327" s="77">
        <v>36114.541666666664</v>
      </c>
      <c r="R327" s="77">
        <v>36114.583333333336</v>
      </c>
      <c r="S327" s="77">
        <v>36114.625</v>
      </c>
      <c r="T327" s="77">
        <v>36114.666666666664</v>
      </c>
      <c r="U327" s="77">
        <v>36114.708333333336</v>
      </c>
      <c r="V327" s="77">
        <v>36114.75</v>
      </c>
      <c r="W327" s="77">
        <v>36114.791666666664</v>
      </c>
      <c r="X327" s="77">
        <v>36114.833333333336</v>
      </c>
      <c r="Y327" s="77">
        <v>36114.875</v>
      </c>
      <c r="Z327" s="77">
        <v>36114.916666666664</v>
      </c>
      <c r="AA327" s="78">
        <v>36114.958333333336</v>
      </c>
      <c r="AC327" s="12">
        <f t="shared" si="32"/>
        <v>318</v>
      </c>
      <c r="AD327" s="98">
        <v>310</v>
      </c>
    </row>
    <row r="328" spans="3:30">
      <c r="C328" s="76">
        <v>319</v>
      </c>
      <c r="D328" s="77">
        <v>36115</v>
      </c>
      <c r="E328" s="77">
        <v>36115.041666666664</v>
      </c>
      <c r="F328" s="77">
        <v>36115.083333333336</v>
      </c>
      <c r="G328" s="77">
        <v>36115.125</v>
      </c>
      <c r="H328" s="77">
        <v>36115.166666666664</v>
      </c>
      <c r="I328" s="77">
        <v>36115.208333333336</v>
      </c>
      <c r="J328" s="77">
        <v>36115.25</v>
      </c>
      <c r="K328" s="77">
        <v>36115.291666666664</v>
      </c>
      <c r="L328" s="77">
        <v>36115.333333333336</v>
      </c>
      <c r="M328" s="77">
        <v>36115.375</v>
      </c>
      <c r="N328" s="77">
        <v>36115.416666666664</v>
      </c>
      <c r="O328" s="77">
        <v>36115.458333333336</v>
      </c>
      <c r="P328" s="77">
        <v>36115.5</v>
      </c>
      <c r="Q328" s="77">
        <v>36115.541666666664</v>
      </c>
      <c r="R328" s="77">
        <v>36115.583333333336</v>
      </c>
      <c r="S328" s="77">
        <v>36115.625</v>
      </c>
      <c r="T328" s="77">
        <v>36115.666666666664</v>
      </c>
      <c r="U328" s="77">
        <v>36115.708333333336</v>
      </c>
      <c r="V328" s="77">
        <v>36115.75</v>
      </c>
      <c r="W328" s="77">
        <v>36115.791666666664</v>
      </c>
      <c r="X328" s="77">
        <v>36115.833333333336</v>
      </c>
      <c r="Y328" s="77">
        <v>36115.875</v>
      </c>
      <c r="Z328" s="77">
        <v>36115.916666666664</v>
      </c>
      <c r="AA328" s="78">
        <v>36115.958333333336</v>
      </c>
      <c r="AC328" s="12">
        <f t="shared" si="32"/>
        <v>319</v>
      </c>
      <c r="AD328" s="98">
        <v>310</v>
      </c>
    </row>
    <row r="329" spans="3:30">
      <c r="C329" s="76">
        <v>320</v>
      </c>
      <c r="D329" s="77">
        <v>36116</v>
      </c>
      <c r="E329" s="77">
        <v>36116.041666666664</v>
      </c>
      <c r="F329" s="77">
        <v>36116.083333333336</v>
      </c>
      <c r="G329" s="77">
        <v>36116.125</v>
      </c>
      <c r="H329" s="77">
        <v>36116.166666666664</v>
      </c>
      <c r="I329" s="77">
        <v>36116.208333333336</v>
      </c>
      <c r="J329" s="77">
        <v>36116.25</v>
      </c>
      <c r="K329" s="77">
        <v>36116.291666666664</v>
      </c>
      <c r="L329" s="77">
        <v>36116.333333333336</v>
      </c>
      <c r="M329" s="77">
        <v>36116.375</v>
      </c>
      <c r="N329" s="77">
        <v>36116.416666666664</v>
      </c>
      <c r="O329" s="77">
        <v>36116.458333333336</v>
      </c>
      <c r="P329" s="77">
        <v>36116.5</v>
      </c>
      <c r="Q329" s="77">
        <v>36116.541666666664</v>
      </c>
      <c r="R329" s="77">
        <v>36116.583333333336</v>
      </c>
      <c r="S329" s="77">
        <v>36116.625</v>
      </c>
      <c r="T329" s="77">
        <v>36116.666666666664</v>
      </c>
      <c r="U329" s="77">
        <v>36116.708333333336</v>
      </c>
      <c r="V329" s="77">
        <v>36116.75</v>
      </c>
      <c r="W329" s="77">
        <v>36116.791666666664</v>
      </c>
      <c r="X329" s="77">
        <v>36116.833333333336</v>
      </c>
      <c r="Y329" s="77">
        <v>36116.875</v>
      </c>
      <c r="Z329" s="77">
        <v>36116.916666666664</v>
      </c>
      <c r="AA329" s="78">
        <v>36116.958333333336</v>
      </c>
      <c r="AC329" s="12">
        <f t="shared" ref="AC329:AC373" si="33">C329</f>
        <v>320</v>
      </c>
      <c r="AD329" s="98">
        <v>310</v>
      </c>
    </row>
    <row r="330" spans="3:30">
      <c r="C330" s="76">
        <v>321</v>
      </c>
      <c r="D330" s="77">
        <v>36117</v>
      </c>
      <c r="E330" s="77">
        <v>36117.041666666664</v>
      </c>
      <c r="F330" s="77">
        <v>36117.083333333336</v>
      </c>
      <c r="G330" s="77">
        <v>36117.125</v>
      </c>
      <c r="H330" s="77">
        <v>36117.166666666664</v>
      </c>
      <c r="I330" s="77">
        <v>36117.208333333336</v>
      </c>
      <c r="J330" s="77">
        <v>36117.25</v>
      </c>
      <c r="K330" s="77">
        <v>36117.291666666664</v>
      </c>
      <c r="L330" s="77">
        <v>36117.333333333336</v>
      </c>
      <c r="M330" s="77">
        <v>36117.375</v>
      </c>
      <c r="N330" s="77">
        <v>36117.416666666664</v>
      </c>
      <c r="O330" s="77">
        <v>36117.458333333336</v>
      </c>
      <c r="P330" s="77">
        <v>36117.5</v>
      </c>
      <c r="Q330" s="77">
        <v>36117.541666666664</v>
      </c>
      <c r="R330" s="77">
        <v>36117.583333333336</v>
      </c>
      <c r="S330" s="77">
        <v>36117.625</v>
      </c>
      <c r="T330" s="77">
        <v>36117.666666666664</v>
      </c>
      <c r="U330" s="77">
        <v>36117.708333333336</v>
      </c>
      <c r="V330" s="77">
        <v>36117.75</v>
      </c>
      <c r="W330" s="77">
        <v>36117.791666666664</v>
      </c>
      <c r="X330" s="77">
        <v>36117.833333333336</v>
      </c>
      <c r="Y330" s="77">
        <v>36117.875</v>
      </c>
      <c r="Z330" s="77">
        <v>36117.916666666664</v>
      </c>
      <c r="AA330" s="78">
        <v>36117.958333333336</v>
      </c>
      <c r="AC330" s="12">
        <f t="shared" si="33"/>
        <v>321</v>
      </c>
      <c r="AD330" s="98">
        <v>310</v>
      </c>
    </row>
    <row r="331" spans="3:30">
      <c r="C331" s="76">
        <v>322</v>
      </c>
      <c r="D331" s="77">
        <v>36118</v>
      </c>
      <c r="E331" s="77">
        <v>36118.041666666664</v>
      </c>
      <c r="F331" s="77">
        <v>36118.083333333336</v>
      </c>
      <c r="G331" s="77">
        <v>36118.125</v>
      </c>
      <c r="H331" s="77">
        <v>36118.166666666664</v>
      </c>
      <c r="I331" s="77">
        <v>36118.208333333336</v>
      </c>
      <c r="J331" s="77">
        <v>36118.25</v>
      </c>
      <c r="K331" s="77">
        <v>36118.291666666664</v>
      </c>
      <c r="L331" s="77">
        <v>36118.333333333336</v>
      </c>
      <c r="M331" s="77">
        <v>36118.375</v>
      </c>
      <c r="N331" s="77">
        <v>36118.416666666664</v>
      </c>
      <c r="O331" s="77">
        <v>36118.458333333336</v>
      </c>
      <c r="P331" s="77">
        <v>36118.5</v>
      </c>
      <c r="Q331" s="77">
        <v>36118.541666666664</v>
      </c>
      <c r="R331" s="77">
        <v>36118.583333333336</v>
      </c>
      <c r="S331" s="77">
        <v>36118.625</v>
      </c>
      <c r="T331" s="77">
        <v>36118.666666666664</v>
      </c>
      <c r="U331" s="77">
        <v>36118.708333333336</v>
      </c>
      <c r="V331" s="77">
        <v>36118.75</v>
      </c>
      <c r="W331" s="77">
        <v>36118.791666666664</v>
      </c>
      <c r="X331" s="77">
        <v>36118.833333333336</v>
      </c>
      <c r="Y331" s="77">
        <v>36118.875</v>
      </c>
      <c r="Z331" s="77">
        <v>36118.916666666664</v>
      </c>
      <c r="AA331" s="78">
        <v>36118.958333333336</v>
      </c>
      <c r="AC331" s="12">
        <f t="shared" si="33"/>
        <v>322</v>
      </c>
      <c r="AD331" s="98">
        <v>310</v>
      </c>
    </row>
    <row r="332" spans="3:30">
      <c r="C332" s="76">
        <v>323</v>
      </c>
      <c r="D332" s="77">
        <v>36119</v>
      </c>
      <c r="E332" s="77">
        <v>36119.041666666664</v>
      </c>
      <c r="F332" s="77">
        <v>36119.083333333336</v>
      </c>
      <c r="G332" s="77">
        <v>36119.125</v>
      </c>
      <c r="H332" s="77">
        <v>36119.166666666664</v>
      </c>
      <c r="I332" s="77">
        <v>36119.208333333336</v>
      </c>
      <c r="J332" s="77">
        <v>36119.25</v>
      </c>
      <c r="K332" s="77">
        <v>36119.291666666664</v>
      </c>
      <c r="L332" s="77">
        <v>36119.333333333336</v>
      </c>
      <c r="M332" s="77">
        <v>36119.375</v>
      </c>
      <c r="N332" s="77">
        <v>36119.416666666664</v>
      </c>
      <c r="O332" s="77">
        <v>36119.458333333336</v>
      </c>
      <c r="P332" s="77">
        <v>36119.5</v>
      </c>
      <c r="Q332" s="77">
        <v>36119.541666666664</v>
      </c>
      <c r="R332" s="77">
        <v>36119.583333333336</v>
      </c>
      <c r="S332" s="77">
        <v>36119.625</v>
      </c>
      <c r="T332" s="77">
        <v>36119.666666666664</v>
      </c>
      <c r="U332" s="77">
        <v>36119.708333333336</v>
      </c>
      <c r="V332" s="77">
        <v>36119.75</v>
      </c>
      <c r="W332" s="77">
        <v>36119.791666666664</v>
      </c>
      <c r="X332" s="77">
        <v>36119.833333333336</v>
      </c>
      <c r="Y332" s="77">
        <v>36119.875</v>
      </c>
      <c r="Z332" s="77">
        <v>36119.916666666664</v>
      </c>
      <c r="AA332" s="78">
        <v>36119.958333333336</v>
      </c>
      <c r="AC332" s="12">
        <f t="shared" si="33"/>
        <v>323</v>
      </c>
      <c r="AD332" s="98">
        <v>310</v>
      </c>
    </row>
    <row r="333" spans="3:30">
      <c r="C333" s="76">
        <v>324</v>
      </c>
      <c r="D333" s="77">
        <v>36120</v>
      </c>
      <c r="E333" s="77">
        <v>36120.041666666664</v>
      </c>
      <c r="F333" s="77">
        <v>36120.083333333336</v>
      </c>
      <c r="G333" s="77">
        <v>36120.125</v>
      </c>
      <c r="H333" s="77">
        <v>36120.166666666664</v>
      </c>
      <c r="I333" s="77">
        <v>36120.208333333336</v>
      </c>
      <c r="J333" s="77">
        <v>36120.25</v>
      </c>
      <c r="K333" s="77">
        <v>36120.291666666664</v>
      </c>
      <c r="L333" s="77">
        <v>36120.333333333336</v>
      </c>
      <c r="M333" s="77">
        <v>36120.375</v>
      </c>
      <c r="N333" s="77">
        <v>36120.416666666664</v>
      </c>
      <c r="O333" s="77">
        <v>36120.458333333336</v>
      </c>
      <c r="P333" s="77">
        <v>36120.5</v>
      </c>
      <c r="Q333" s="77">
        <v>36120.541666666664</v>
      </c>
      <c r="R333" s="77">
        <v>36120.583333333336</v>
      </c>
      <c r="S333" s="77">
        <v>36120.625</v>
      </c>
      <c r="T333" s="77">
        <v>36120.666666666664</v>
      </c>
      <c r="U333" s="77">
        <v>36120.708333333336</v>
      </c>
      <c r="V333" s="77">
        <v>36120.75</v>
      </c>
      <c r="W333" s="77">
        <v>36120.791666666664</v>
      </c>
      <c r="X333" s="77">
        <v>36120.833333333336</v>
      </c>
      <c r="Y333" s="77">
        <v>36120.875</v>
      </c>
      <c r="Z333" s="77">
        <v>36120.916666666664</v>
      </c>
      <c r="AA333" s="78">
        <v>36120.958333333336</v>
      </c>
      <c r="AC333" s="12">
        <f t="shared" si="33"/>
        <v>324</v>
      </c>
      <c r="AD333" s="98">
        <v>310</v>
      </c>
    </row>
    <row r="334" spans="3:30">
      <c r="C334" s="76">
        <v>325</v>
      </c>
      <c r="D334" s="77">
        <v>36121</v>
      </c>
      <c r="E334" s="77">
        <v>36121.041666666664</v>
      </c>
      <c r="F334" s="77">
        <v>36121.083333333336</v>
      </c>
      <c r="G334" s="77">
        <v>36121.125</v>
      </c>
      <c r="H334" s="77">
        <v>36121.166666666664</v>
      </c>
      <c r="I334" s="77">
        <v>36121.208333333336</v>
      </c>
      <c r="J334" s="77">
        <v>36121.25</v>
      </c>
      <c r="K334" s="77">
        <v>36121.291666666664</v>
      </c>
      <c r="L334" s="77">
        <v>36121.333333333336</v>
      </c>
      <c r="M334" s="77">
        <v>36121.375</v>
      </c>
      <c r="N334" s="77">
        <v>36121.416666666664</v>
      </c>
      <c r="O334" s="77">
        <v>36121.458333333336</v>
      </c>
      <c r="P334" s="77">
        <v>36121.5</v>
      </c>
      <c r="Q334" s="77">
        <v>36121.541666666664</v>
      </c>
      <c r="R334" s="77">
        <v>36121.583333333336</v>
      </c>
      <c r="S334" s="77">
        <v>36121.625</v>
      </c>
      <c r="T334" s="77">
        <v>36121.666666666664</v>
      </c>
      <c r="U334" s="77">
        <v>36121.708333333336</v>
      </c>
      <c r="V334" s="77">
        <v>36121.75</v>
      </c>
      <c r="W334" s="77">
        <v>36121.791666666664</v>
      </c>
      <c r="X334" s="77">
        <v>36121.833333333336</v>
      </c>
      <c r="Y334" s="77">
        <v>36121.875</v>
      </c>
      <c r="Z334" s="77">
        <v>36121.916666666664</v>
      </c>
      <c r="AA334" s="78">
        <v>36121.958333333336</v>
      </c>
      <c r="AC334" s="12">
        <f t="shared" si="33"/>
        <v>325</v>
      </c>
      <c r="AD334" s="98">
        <v>310</v>
      </c>
    </row>
    <row r="335" spans="3:30">
      <c r="C335" s="76">
        <v>326</v>
      </c>
      <c r="D335" s="77">
        <v>36122</v>
      </c>
      <c r="E335" s="77">
        <v>36122.041666666664</v>
      </c>
      <c r="F335" s="77">
        <v>36122.083333333336</v>
      </c>
      <c r="G335" s="77">
        <v>36122.125</v>
      </c>
      <c r="H335" s="77">
        <v>36122.166666666664</v>
      </c>
      <c r="I335" s="77">
        <v>36122.208333333336</v>
      </c>
      <c r="J335" s="77">
        <v>36122.25</v>
      </c>
      <c r="K335" s="77">
        <v>36122.291666666664</v>
      </c>
      <c r="L335" s="77">
        <v>36122.333333333336</v>
      </c>
      <c r="M335" s="77">
        <v>36122.375</v>
      </c>
      <c r="N335" s="77">
        <v>36122.416666666664</v>
      </c>
      <c r="O335" s="77">
        <v>36122.458333333336</v>
      </c>
      <c r="P335" s="77">
        <v>36122.5</v>
      </c>
      <c r="Q335" s="77">
        <v>36122.541666666664</v>
      </c>
      <c r="R335" s="77">
        <v>36122.583333333336</v>
      </c>
      <c r="S335" s="77">
        <v>36122.625</v>
      </c>
      <c r="T335" s="77">
        <v>36122.666666666664</v>
      </c>
      <c r="U335" s="77">
        <v>36122.708333333336</v>
      </c>
      <c r="V335" s="77">
        <v>36122.75</v>
      </c>
      <c r="W335" s="77">
        <v>36122.791666666664</v>
      </c>
      <c r="X335" s="77">
        <v>36122.833333333336</v>
      </c>
      <c r="Y335" s="77">
        <v>36122.875</v>
      </c>
      <c r="Z335" s="77">
        <v>36122.916666666664</v>
      </c>
      <c r="AA335" s="78">
        <v>36122.958333333336</v>
      </c>
      <c r="AC335" s="12">
        <f t="shared" si="33"/>
        <v>326</v>
      </c>
      <c r="AD335" s="98">
        <v>310</v>
      </c>
    </row>
    <row r="336" spans="3:30">
      <c r="C336" s="76">
        <v>327</v>
      </c>
      <c r="D336" s="77">
        <v>36123</v>
      </c>
      <c r="E336" s="77">
        <v>36123.041666666664</v>
      </c>
      <c r="F336" s="77">
        <v>36123.083333333336</v>
      </c>
      <c r="G336" s="77">
        <v>36123.125</v>
      </c>
      <c r="H336" s="77">
        <v>36123.166666666664</v>
      </c>
      <c r="I336" s="77">
        <v>36123.208333333336</v>
      </c>
      <c r="J336" s="77">
        <v>36123.25</v>
      </c>
      <c r="K336" s="77">
        <v>36123.291666666664</v>
      </c>
      <c r="L336" s="77">
        <v>36123.333333333336</v>
      </c>
      <c r="M336" s="77">
        <v>36123.375</v>
      </c>
      <c r="N336" s="77">
        <v>36123.416666666664</v>
      </c>
      <c r="O336" s="77">
        <v>36123.458333333336</v>
      </c>
      <c r="P336" s="77">
        <v>36123.5</v>
      </c>
      <c r="Q336" s="77">
        <v>36123.541666666664</v>
      </c>
      <c r="R336" s="77">
        <v>36123.583333333336</v>
      </c>
      <c r="S336" s="77">
        <v>36123.625</v>
      </c>
      <c r="T336" s="77">
        <v>36123.666666666664</v>
      </c>
      <c r="U336" s="77">
        <v>36123.708333333336</v>
      </c>
      <c r="V336" s="77">
        <v>36123.75</v>
      </c>
      <c r="W336" s="77">
        <v>36123.791666666664</v>
      </c>
      <c r="X336" s="77">
        <v>36123.833333333336</v>
      </c>
      <c r="Y336" s="77">
        <v>36123.875</v>
      </c>
      <c r="Z336" s="77">
        <v>36123.916666666664</v>
      </c>
      <c r="AA336" s="78">
        <v>36123.958333333336</v>
      </c>
      <c r="AC336" s="12">
        <f t="shared" si="33"/>
        <v>327</v>
      </c>
      <c r="AD336" s="98">
        <v>310</v>
      </c>
    </row>
    <row r="337" spans="3:30">
      <c r="C337" s="76">
        <v>328</v>
      </c>
      <c r="D337" s="77">
        <v>36124</v>
      </c>
      <c r="E337" s="77">
        <v>36124.041666666664</v>
      </c>
      <c r="F337" s="77">
        <v>36124.083333333336</v>
      </c>
      <c r="G337" s="77">
        <v>36124.125</v>
      </c>
      <c r="H337" s="77">
        <v>36124.166666666664</v>
      </c>
      <c r="I337" s="77">
        <v>36124.208333333336</v>
      </c>
      <c r="J337" s="77">
        <v>36124.25</v>
      </c>
      <c r="K337" s="77">
        <v>36124.291666666664</v>
      </c>
      <c r="L337" s="77">
        <v>36124.333333333336</v>
      </c>
      <c r="M337" s="77">
        <v>36124.375</v>
      </c>
      <c r="N337" s="77">
        <v>36124.416666666664</v>
      </c>
      <c r="O337" s="77">
        <v>36124.458333333336</v>
      </c>
      <c r="P337" s="77">
        <v>36124.5</v>
      </c>
      <c r="Q337" s="77">
        <v>36124.541666666664</v>
      </c>
      <c r="R337" s="77">
        <v>36124.583333333336</v>
      </c>
      <c r="S337" s="77">
        <v>36124.625</v>
      </c>
      <c r="T337" s="77">
        <v>36124.666666666664</v>
      </c>
      <c r="U337" s="77">
        <v>36124.708333333336</v>
      </c>
      <c r="V337" s="77">
        <v>36124.75</v>
      </c>
      <c r="W337" s="77">
        <v>36124.791666666664</v>
      </c>
      <c r="X337" s="77">
        <v>36124.833333333336</v>
      </c>
      <c r="Y337" s="77">
        <v>36124.875</v>
      </c>
      <c r="Z337" s="77">
        <v>36124.916666666664</v>
      </c>
      <c r="AA337" s="78">
        <v>36124.958333333336</v>
      </c>
      <c r="AC337" s="12">
        <f t="shared" si="33"/>
        <v>328</v>
      </c>
      <c r="AD337" s="98">
        <v>310</v>
      </c>
    </row>
    <row r="338" spans="3:30">
      <c r="C338" s="76">
        <v>329</v>
      </c>
      <c r="D338" s="77">
        <v>36125</v>
      </c>
      <c r="E338" s="77">
        <v>36125.041666666664</v>
      </c>
      <c r="F338" s="77">
        <v>36125.083333333336</v>
      </c>
      <c r="G338" s="77">
        <v>36125.125</v>
      </c>
      <c r="H338" s="77">
        <v>36125.166666666664</v>
      </c>
      <c r="I338" s="77">
        <v>36125.208333333336</v>
      </c>
      <c r="J338" s="77">
        <v>36125.25</v>
      </c>
      <c r="K338" s="77">
        <v>36125.291666666664</v>
      </c>
      <c r="L338" s="77">
        <v>36125.333333333336</v>
      </c>
      <c r="M338" s="77">
        <v>36125.375</v>
      </c>
      <c r="N338" s="77">
        <v>36125.416666666664</v>
      </c>
      <c r="O338" s="77">
        <v>36125.458333333336</v>
      </c>
      <c r="P338" s="77">
        <v>36125.5</v>
      </c>
      <c r="Q338" s="77">
        <v>36125.541666666664</v>
      </c>
      <c r="R338" s="77">
        <v>36125.583333333336</v>
      </c>
      <c r="S338" s="77">
        <v>36125.625</v>
      </c>
      <c r="T338" s="77">
        <v>36125.666666666664</v>
      </c>
      <c r="U338" s="77">
        <v>36125.708333333336</v>
      </c>
      <c r="V338" s="77">
        <v>36125.75</v>
      </c>
      <c r="W338" s="77">
        <v>36125.791666666664</v>
      </c>
      <c r="X338" s="77">
        <v>36125.833333333336</v>
      </c>
      <c r="Y338" s="77">
        <v>36125.875</v>
      </c>
      <c r="Z338" s="77">
        <v>36125.916666666664</v>
      </c>
      <c r="AA338" s="78">
        <v>36125.958333333336</v>
      </c>
      <c r="AC338" s="12">
        <f t="shared" si="33"/>
        <v>329</v>
      </c>
      <c r="AD338" s="98">
        <v>310</v>
      </c>
    </row>
    <row r="339" spans="3:30">
      <c r="C339" s="76">
        <v>330</v>
      </c>
      <c r="D339" s="77">
        <v>36126</v>
      </c>
      <c r="E339" s="77">
        <v>36126.041666666664</v>
      </c>
      <c r="F339" s="77">
        <v>36126.083333333336</v>
      </c>
      <c r="G339" s="77">
        <v>36126.125</v>
      </c>
      <c r="H339" s="77">
        <v>36126.166666666664</v>
      </c>
      <c r="I339" s="77">
        <v>36126.208333333336</v>
      </c>
      <c r="J339" s="77">
        <v>36126.25</v>
      </c>
      <c r="K339" s="77">
        <v>36126.291666666664</v>
      </c>
      <c r="L339" s="77">
        <v>36126.333333333336</v>
      </c>
      <c r="M339" s="77">
        <v>36126.375</v>
      </c>
      <c r="N339" s="77">
        <v>36126.416666666664</v>
      </c>
      <c r="O339" s="77">
        <v>36126.458333333336</v>
      </c>
      <c r="P339" s="77">
        <v>36126.5</v>
      </c>
      <c r="Q339" s="77">
        <v>36126.541666666664</v>
      </c>
      <c r="R339" s="77">
        <v>36126.583333333336</v>
      </c>
      <c r="S339" s="77">
        <v>36126.625</v>
      </c>
      <c r="T339" s="77">
        <v>36126.666666666664</v>
      </c>
      <c r="U339" s="77">
        <v>36126.708333333336</v>
      </c>
      <c r="V339" s="77">
        <v>36126.75</v>
      </c>
      <c r="W339" s="77">
        <v>36126.791666666664</v>
      </c>
      <c r="X339" s="77">
        <v>36126.833333333336</v>
      </c>
      <c r="Y339" s="77">
        <v>36126.875</v>
      </c>
      <c r="Z339" s="77">
        <v>36126.916666666664</v>
      </c>
      <c r="AA339" s="78">
        <v>36126.958333333336</v>
      </c>
      <c r="AC339" s="12">
        <f t="shared" si="33"/>
        <v>330</v>
      </c>
      <c r="AD339" s="98">
        <v>310</v>
      </c>
    </row>
    <row r="340" spans="3:30">
      <c r="C340" s="76">
        <v>331</v>
      </c>
      <c r="D340" s="77">
        <v>36127</v>
      </c>
      <c r="E340" s="77">
        <v>36127.041666666664</v>
      </c>
      <c r="F340" s="77">
        <v>36127.083333333336</v>
      </c>
      <c r="G340" s="77">
        <v>36127.125</v>
      </c>
      <c r="H340" s="77">
        <v>36127.166666666664</v>
      </c>
      <c r="I340" s="77">
        <v>36127.208333333336</v>
      </c>
      <c r="J340" s="77">
        <v>36127.25</v>
      </c>
      <c r="K340" s="77">
        <v>36127.291666666664</v>
      </c>
      <c r="L340" s="77">
        <v>36127.333333333336</v>
      </c>
      <c r="M340" s="77">
        <v>36127.375</v>
      </c>
      <c r="N340" s="77">
        <v>36127.416666666664</v>
      </c>
      <c r="O340" s="77">
        <v>36127.458333333336</v>
      </c>
      <c r="P340" s="77">
        <v>36127.5</v>
      </c>
      <c r="Q340" s="77">
        <v>36127.541666666664</v>
      </c>
      <c r="R340" s="77">
        <v>36127.583333333336</v>
      </c>
      <c r="S340" s="77">
        <v>36127.625</v>
      </c>
      <c r="T340" s="77">
        <v>36127.666666666664</v>
      </c>
      <c r="U340" s="77">
        <v>36127.708333333336</v>
      </c>
      <c r="V340" s="77">
        <v>36127.75</v>
      </c>
      <c r="W340" s="77">
        <v>36127.791666666664</v>
      </c>
      <c r="X340" s="77">
        <v>36127.833333333336</v>
      </c>
      <c r="Y340" s="77">
        <v>36127.875</v>
      </c>
      <c r="Z340" s="77">
        <v>36127.916666666664</v>
      </c>
      <c r="AA340" s="78">
        <v>36127.958333333336</v>
      </c>
      <c r="AC340" s="12">
        <f t="shared" si="33"/>
        <v>331</v>
      </c>
      <c r="AD340" s="98">
        <v>310</v>
      </c>
    </row>
    <row r="341" spans="3:30">
      <c r="C341" s="76">
        <v>332</v>
      </c>
      <c r="D341" s="77">
        <v>36128</v>
      </c>
      <c r="E341" s="77">
        <v>36128.041666666664</v>
      </c>
      <c r="F341" s="77">
        <v>36128.083333333336</v>
      </c>
      <c r="G341" s="77">
        <v>36128.125</v>
      </c>
      <c r="H341" s="77">
        <v>36128.166666666664</v>
      </c>
      <c r="I341" s="77">
        <v>36128.208333333336</v>
      </c>
      <c r="J341" s="77">
        <v>36128.25</v>
      </c>
      <c r="K341" s="77">
        <v>36128.291666666664</v>
      </c>
      <c r="L341" s="77">
        <v>36128.333333333336</v>
      </c>
      <c r="M341" s="77">
        <v>36128.375</v>
      </c>
      <c r="N341" s="77">
        <v>36128.416666666664</v>
      </c>
      <c r="O341" s="77">
        <v>36128.458333333336</v>
      </c>
      <c r="P341" s="77">
        <v>36128.5</v>
      </c>
      <c r="Q341" s="77">
        <v>36128.541666666664</v>
      </c>
      <c r="R341" s="77">
        <v>36128.583333333336</v>
      </c>
      <c r="S341" s="77">
        <v>36128.625</v>
      </c>
      <c r="T341" s="77">
        <v>36128.666666666664</v>
      </c>
      <c r="U341" s="77">
        <v>36128.708333333336</v>
      </c>
      <c r="V341" s="77">
        <v>36128.75</v>
      </c>
      <c r="W341" s="77">
        <v>36128.791666666664</v>
      </c>
      <c r="X341" s="77">
        <v>36128.833333333336</v>
      </c>
      <c r="Y341" s="77">
        <v>36128.875</v>
      </c>
      <c r="Z341" s="77">
        <v>36128.916666666664</v>
      </c>
      <c r="AA341" s="78">
        <v>36128.958333333336</v>
      </c>
      <c r="AC341" s="12">
        <f t="shared" si="33"/>
        <v>332</v>
      </c>
      <c r="AD341" s="98">
        <v>310</v>
      </c>
    </row>
    <row r="342" spans="3:30">
      <c r="C342" s="76">
        <v>333</v>
      </c>
      <c r="D342" s="77">
        <v>36129</v>
      </c>
      <c r="E342" s="77">
        <v>36129.041666666664</v>
      </c>
      <c r="F342" s="77">
        <v>36129.083333333336</v>
      </c>
      <c r="G342" s="77">
        <v>36129.125</v>
      </c>
      <c r="H342" s="77">
        <v>36129.166666666664</v>
      </c>
      <c r="I342" s="77">
        <v>36129.208333333336</v>
      </c>
      <c r="J342" s="77">
        <v>36129.25</v>
      </c>
      <c r="K342" s="77">
        <v>36129.291666666664</v>
      </c>
      <c r="L342" s="77">
        <v>36129.333333333336</v>
      </c>
      <c r="M342" s="77">
        <v>36129.375</v>
      </c>
      <c r="N342" s="77">
        <v>36129.416666666664</v>
      </c>
      <c r="O342" s="77">
        <v>36129.458333333336</v>
      </c>
      <c r="P342" s="77">
        <v>36129.5</v>
      </c>
      <c r="Q342" s="77">
        <v>36129.541666666664</v>
      </c>
      <c r="R342" s="77">
        <v>36129.583333333336</v>
      </c>
      <c r="S342" s="77">
        <v>36129.625</v>
      </c>
      <c r="T342" s="77">
        <v>36129.666666666664</v>
      </c>
      <c r="U342" s="77">
        <v>36129.708333333336</v>
      </c>
      <c r="V342" s="77">
        <v>36129.75</v>
      </c>
      <c r="W342" s="77">
        <v>36129.791666666664</v>
      </c>
      <c r="X342" s="77">
        <v>36129.833333333336</v>
      </c>
      <c r="Y342" s="77">
        <v>36129.875</v>
      </c>
      <c r="Z342" s="77">
        <v>36129.916666666664</v>
      </c>
      <c r="AA342" s="78">
        <v>36129.958333333336</v>
      </c>
      <c r="AC342" s="12">
        <f t="shared" si="33"/>
        <v>333</v>
      </c>
      <c r="AD342" s="98">
        <v>310</v>
      </c>
    </row>
    <row r="343" spans="3:30">
      <c r="C343" s="76">
        <v>334</v>
      </c>
      <c r="D343" s="77">
        <v>36130</v>
      </c>
      <c r="E343" s="77">
        <v>36130.041666666664</v>
      </c>
      <c r="F343" s="77">
        <v>36130.083333333336</v>
      </c>
      <c r="G343" s="77">
        <v>36130.125</v>
      </c>
      <c r="H343" s="77">
        <v>36130.166666666664</v>
      </c>
      <c r="I343" s="77">
        <v>36130.208333333336</v>
      </c>
      <c r="J343" s="77">
        <v>36130.25</v>
      </c>
      <c r="K343" s="77">
        <v>36130.291666666664</v>
      </c>
      <c r="L343" s="77">
        <v>36130.333333333336</v>
      </c>
      <c r="M343" s="77">
        <v>36130.375</v>
      </c>
      <c r="N343" s="77">
        <v>36130.416666666664</v>
      </c>
      <c r="O343" s="77">
        <v>36130.458333333336</v>
      </c>
      <c r="P343" s="77">
        <v>36130.5</v>
      </c>
      <c r="Q343" s="77">
        <v>36130.541666666664</v>
      </c>
      <c r="R343" s="77">
        <v>36130.583333333336</v>
      </c>
      <c r="S343" s="77">
        <v>36130.625</v>
      </c>
      <c r="T343" s="77">
        <v>36130.666666666664</v>
      </c>
      <c r="U343" s="77">
        <v>36130.708333333336</v>
      </c>
      <c r="V343" s="77">
        <v>36130.75</v>
      </c>
      <c r="W343" s="77">
        <v>36130.791666666664</v>
      </c>
      <c r="X343" s="77">
        <v>36130.833333333336</v>
      </c>
      <c r="Y343" s="77">
        <v>36130.875</v>
      </c>
      <c r="Z343" s="77">
        <v>36130.916666666664</v>
      </c>
      <c r="AA343" s="78">
        <v>36130.958333333336</v>
      </c>
      <c r="AC343" s="12">
        <f t="shared" si="33"/>
        <v>334</v>
      </c>
      <c r="AD343" s="98">
        <v>340</v>
      </c>
    </row>
    <row r="344" spans="3:30">
      <c r="C344" s="76">
        <v>335</v>
      </c>
      <c r="D344" s="77">
        <v>36131</v>
      </c>
      <c r="E344" s="77">
        <v>36131.041666666664</v>
      </c>
      <c r="F344" s="77">
        <v>36131.083333333336</v>
      </c>
      <c r="G344" s="77">
        <v>36131.125</v>
      </c>
      <c r="H344" s="77">
        <v>36131.166666666664</v>
      </c>
      <c r="I344" s="77">
        <v>36131.208333333336</v>
      </c>
      <c r="J344" s="77">
        <v>36131.25</v>
      </c>
      <c r="K344" s="77">
        <v>36131.291666666664</v>
      </c>
      <c r="L344" s="77">
        <v>36131.333333333336</v>
      </c>
      <c r="M344" s="77">
        <v>36131.375</v>
      </c>
      <c r="N344" s="77">
        <v>36131.416666666664</v>
      </c>
      <c r="O344" s="77">
        <v>36131.458333333336</v>
      </c>
      <c r="P344" s="77">
        <v>36131.5</v>
      </c>
      <c r="Q344" s="77">
        <v>36131.541666666664</v>
      </c>
      <c r="R344" s="77">
        <v>36131.583333333336</v>
      </c>
      <c r="S344" s="77">
        <v>36131.625</v>
      </c>
      <c r="T344" s="77">
        <v>36131.666666666664</v>
      </c>
      <c r="U344" s="77">
        <v>36131.708333333336</v>
      </c>
      <c r="V344" s="77">
        <v>36131.75</v>
      </c>
      <c r="W344" s="77">
        <v>36131.791666666664</v>
      </c>
      <c r="X344" s="77">
        <v>36131.833333333336</v>
      </c>
      <c r="Y344" s="77">
        <v>36131.875</v>
      </c>
      <c r="Z344" s="77">
        <v>36131.916666666664</v>
      </c>
      <c r="AA344" s="78">
        <v>36131.958333333336</v>
      </c>
      <c r="AC344" s="12">
        <f t="shared" si="33"/>
        <v>335</v>
      </c>
      <c r="AD344" s="98">
        <v>340</v>
      </c>
    </row>
    <row r="345" spans="3:30">
      <c r="C345" s="76">
        <v>336</v>
      </c>
      <c r="D345" s="77">
        <v>36132</v>
      </c>
      <c r="E345" s="77">
        <v>36132.041666666664</v>
      </c>
      <c r="F345" s="77">
        <v>36132.083333333336</v>
      </c>
      <c r="G345" s="77">
        <v>36132.125</v>
      </c>
      <c r="H345" s="77">
        <v>36132.166666666664</v>
      </c>
      <c r="I345" s="77">
        <v>36132.208333333336</v>
      </c>
      <c r="J345" s="77">
        <v>36132.25</v>
      </c>
      <c r="K345" s="77">
        <v>36132.291666666664</v>
      </c>
      <c r="L345" s="77">
        <v>36132.333333333336</v>
      </c>
      <c r="M345" s="77">
        <v>36132.375</v>
      </c>
      <c r="N345" s="77">
        <v>36132.416666666664</v>
      </c>
      <c r="O345" s="77">
        <v>36132.458333333336</v>
      </c>
      <c r="P345" s="77">
        <v>36132.5</v>
      </c>
      <c r="Q345" s="77">
        <v>36132.541666666664</v>
      </c>
      <c r="R345" s="77">
        <v>36132.583333333336</v>
      </c>
      <c r="S345" s="77">
        <v>36132.625</v>
      </c>
      <c r="T345" s="77">
        <v>36132.666666666664</v>
      </c>
      <c r="U345" s="77">
        <v>36132.708333333336</v>
      </c>
      <c r="V345" s="77">
        <v>36132.75</v>
      </c>
      <c r="W345" s="77">
        <v>36132.791666666664</v>
      </c>
      <c r="X345" s="77">
        <v>36132.833333333336</v>
      </c>
      <c r="Y345" s="77">
        <v>36132.875</v>
      </c>
      <c r="Z345" s="77">
        <v>36132.916666666664</v>
      </c>
      <c r="AA345" s="78">
        <v>36132.958333333336</v>
      </c>
      <c r="AC345" s="12">
        <f t="shared" si="33"/>
        <v>336</v>
      </c>
      <c r="AD345" s="98">
        <v>340</v>
      </c>
    </row>
    <row r="346" spans="3:30">
      <c r="C346" s="76">
        <v>337</v>
      </c>
      <c r="D346" s="77">
        <v>36133</v>
      </c>
      <c r="E346" s="77">
        <v>36133.041666666664</v>
      </c>
      <c r="F346" s="77">
        <v>36133.083333333336</v>
      </c>
      <c r="G346" s="77">
        <v>36133.125</v>
      </c>
      <c r="H346" s="77">
        <v>36133.166666666664</v>
      </c>
      <c r="I346" s="77">
        <v>36133.208333333336</v>
      </c>
      <c r="J346" s="77">
        <v>36133.25</v>
      </c>
      <c r="K346" s="77">
        <v>36133.291666666664</v>
      </c>
      <c r="L346" s="77">
        <v>36133.333333333336</v>
      </c>
      <c r="M346" s="77">
        <v>36133.375</v>
      </c>
      <c r="N346" s="77">
        <v>36133.416666666664</v>
      </c>
      <c r="O346" s="77">
        <v>36133.458333333336</v>
      </c>
      <c r="P346" s="77">
        <v>36133.5</v>
      </c>
      <c r="Q346" s="77">
        <v>36133.541666666664</v>
      </c>
      <c r="R346" s="77">
        <v>36133.583333333336</v>
      </c>
      <c r="S346" s="77">
        <v>36133.625</v>
      </c>
      <c r="T346" s="77">
        <v>36133.666666666664</v>
      </c>
      <c r="U346" s="77">
        <v>36133.708333333336</v>
      </c>
      <c r="V346" s="77">
        <v>36133.75</v>
      </c>
      <c r="W346" s="77">
        <v>36133.791666666664</v>
      </c>
      <c r="X346" s="77">
        <v>36133.833333333336</v>
      </c>
      <c r="Y346" s="77">
        <v>36133.875</v>
      </c>
      <c r="Z346" s="77">
        <v>36133.916666666664</v>
      </c>
      <c r="AA346" s="78">
        <v>36133.958333333336</v>
      </c>
      <c r="AC346" s="12">
        <f t="shared" si="33"/>
        <v>337</v>
      </c>
      <c r="AD346" s="98">
        <v>340</v>
      </c>
    </row>
    <row r="347" spans="3:30">
      <c r="C347" s="76">
        <v>338</v>
      </c>
      <c r="D347" s="77">
        <v>36134</v>
      </c>
      <c r="E347" s="77">
        <v>36134.041666666664</v>
      </c>
      <c r="F347" s="77">
        <v>36134.083333333336</v>
      </c>
      <c r="G347" s="77">
        <v>36134.125</v>
      </c>
      <c r="H347" s="77">
        <v>36134.166666666664</v>
      </c>
      <c r="I347" s="77">
        <v>36134.208333333336</v>
      </c>
      <c r="J347" s="77">
        <v>36134.25</v>
      </c>
      <c r="K347" s="77">
        <v>36134.291666666664</v>
      </c>
      <c r="L347" s="77">
        <v>36134.333333333336</v>
      </c>
      <c r="M347" s="77">
        <v>36134.375</v>
      </c>
      <c r="N347" s="77">
        <v>36134.416666666664</v>
      </c>
      <c r="O347" s="77">
        <v>36134.458333333336</v>
      </c>
      <c r="P347" s="77">
        <v>36134.5</v>
      </c>
      <c r="Q347" s="77">
        <v>36134.541666666664</v>
      </c>
      <c r="R347" s="77">
        <v>36134.583333333336</v>
      </c>
      <c r="S347" s="77">
        <v>36134.625</v>
      </c>
      <c r="T347" s="77">
        <v>36134.666666666664</v>
      </c>
      <c r="U347" s="77">
        <v>36134.708333333336</v>
      </c>
      <c r="V347" s="77">
        <v>36134.75</v>
      </c>
      <c r="W347" s="77">
        <v>36134.791666666664</v>
      </c>
      <c r="X347" s="77">
        <v>36134.833333333336</v>
      </c>
      <c r="Y347" s="77">
        <v>36134.875</v>
      </c>
      <c r="Z347" s="77">
        <v>36134.916666666664</v>
      </c>
      <c r="AA347" s="78">
        <v>36134.958333333336</v>
      </c>
      <c r="AC347" s="12">
        <f t="shared" si="33"/>
        <v>338</v>
      </c>
      <c r="AD347" s="98">
        <v>340</v>
      </c>
    </row>
    <row r="348" spans="3:30">
      <c r="C348" s="76">
        <v>339</v>
      </c>
      <c r="D348" s="77">
        <v>36135</v>
      </c>
      <c r="E348" s="77">
        <v>36135.041666666664</v>
      </c>
      <c r="F348" s="77">
        <v>36135.083333333336</v>
      </c>
      <c r="G348" s="77">
        <v>36135.125</v>
      </c>
      <c r="H348" s="77">
        <v>36135.166666666664</v>
      </c>
      <c r="I348" s="77">
        <v>36135.208333333336</v>
      </c>
      <c r="J348" s="77">
        <v>36135.25</v>
      </c>
      <c r="K348" s="77">
        <v>36135.291666666664</v>
      </c>
      <c r="L348" s="77">
        <v>36135.333333333336</v>
      </c>
      <c r="M348" s="77">
        <v>36135.375</v>
      </c>
      <c r="N348" s="77">
        <v>36135.416666666664</v>
      </c>
      <c r="O348" s="77">
        <v>36135.458333333336</v>
      </c>
      <c r="P348" s="77">
        <v>36135.5</v>
      </c>
      <c r="Q348" s="77">
        <v>36135.541666666664</v>
      </c>
      <c r="R348" s="77">
        <v>36135.583333333336</v>
      </c>
      <c r="S348" s="77">
        <v>36135.625</v>
      </c>
      <c r="T348" s="77">
        <v>36135.666666666664</v>
      </c>
      <c r="U348" s="77">
        <v>36135.708333333336</v>
      </c>
      <c r="V348" s="77">
        <v>36135.75</v>
      </c>
      <c r="W348" s="77">
        <v>36135.791666666664</v>
      </c>
      <c r="X348" s="77">
        <v>36135.833333333336</v>
      </c>
      <c r="Y348" s="77">
        <v>36135.875</v>
      </c>
      <c r="Z348" s="77">
        <v>36135.916666666664</v>
      </c>
      <c r="AA348" s="78">
        <v>36135.958333333336</v>
      </c>
      <c r="AC348" s="12">
        <f t="shared" si="33"/>
        <v>339</v>
      </c>
      <c r="AD348" s="98">
        <v>340</v>
      </c>
    </row>
    <row r="349" spans="3:30">
      <c r="C349" s="76">
        <v>340</v>
      </c>
      <c r="D349" s="77">
        <v>36136</v>
      </c>
      <c r="E349" s="77">
        <v>36136.041666666664</v>
      </c>
      <c r="F349" s="77">
        <v>36136.083333333336</v>
      </c>
      <c r="G349" s="77">
        <v>36136.125</v>
      </c>
      <c r="H349" s="77">
        <v>36136.166666666664</v>
      </c>
      <c r="I349" s="77">
        <v>36136.208333333336</v>
      </c>
      <c r="J349" s="77">
        <v>36136.25</v>
      </c>
      <c r="K349" s="77">
        <v>36136.291666666664</v>
      </c>
      <c r="L349" s="77">
        <v>36136.333333333336</v>
      </c>
      <c r="M349" s="77">
        <v>36136.375</v>
      </c>
      <c r="N349" s="77">
        <v>36136.416666666664</v>
      </c>
      <c r="O349" s="77">
        <v>36136.458333333336</v>
      </c>
      <c r="P349" s="77">
        <v>36136.5</v>
      </c>
      <c r="Q349" s="77">
        <v>36136.541666666664</v>
      </c>
      <c r="R349" s="77">
        <v>36136.583333333336</v>
      </c>
      <c r="S349" s="77">
        <v>36136.625</v>
      </c>
      <c r="T349" s="77">
        <v>36136.666666666664</v>
      </c>
      <c r="U349" s="77">
        <v>36136.708333333336</v>
      </c>
      <c r="V349" s="77">
        <v>36136.75</v>
      </c>
      <c r="W349" s="77">
        <v>36136.791666666664</v>
      </c>
      <c r="X349" s="77">
        <v>36136.833333333336</v>
      </c>
      <c r="Y349" s="77">
        <v>36136.875</v>
      </c>
      <c r="Z349" s="77">
        <v>36136.916666666664</v>
      </c>
      <c r="AA349" s="78">
        <v>36136.958333333336</v>
      </c>
      <c r="AC349" s="12">
        <f t="shared" si="33"/>
        <v>340</v>
      </c>
      <c r="AD349" s="98">
        <v>340</v>
      </c>
    </row>
    <row r="350" spans="3:30">
      <c r="C350" s="76">
        <v>341</v>
      </c>
      <c r="D350" s="77">
        <v>36137</v>
      </c>
      <c r="E350" s="77">
        <v>36137.041666666664</v>
      </c>
      <c r="F350" s="77">
        <v>36137.083333333336</v>
      </c>
      <c r="G350" s="77">
        <v>36137.125</v>
      </c>
      <c r="H350" s="77">
        <v>36137.166666666664</v>
      </c>
      <c r="I350" s="77">
        <v>36137.208333333336</v>
      </c>
      <c r="J350" s="77">
        <v>36137.25</v>
      </c>
      <c r="K350" s="77">
        <v>36137.291666666664</v>
      </c>
      <c r="L350" s="77">
        <v>36137.333333333336</v>
      </c>
      <c r="M350" s="77">
        <v>36137.375</v>
      </c>
      <c r="N350" s="77">
        <v>36137.416666666664</v>
      </c>
      <c r="O350" s="77">
        <v>36137.458333333336</v>
      </c>
      <c r="P350" s="77">
        <v>36137.5</v>
      </c>
      <c r="Q350" s="77">
        <v>36137.541666666664</v>
      </c>
      <c r="R350" s="77">
        <v>36137.583333333336</v>
      </c>
      <c r="S350" s="77">
        <v>36137.625</v>
      </c>
      <c r="T350" s="77">
        <v>36137.666666666664</v>
      </c>
      <c r="U350" s="77">
        <v>36137.708333333336</v>
      </c>
      <c r="V350" s="77">
        <v>36137.75</v>
      </c>
      <c r="W350" s="77">
        <v>36137.791666666664</v>
      </c>
      <c r="X350" s="77">
        <v>36137.833333333336</v>
      </c>
      <c r="Y350" s="77">
        <v>36137.875</v>
      </c>
      <c r="Z350" s="77">
        <v>36137.916666666664</v>
      </c>
      <c r="AA350" s="78">
        <v>36137.958333333336</v>
      </c>
      <c r="AC350" s="12">
        <f t="shared" si="33"/>
        <v>341</v>
      </c>
      <c r="AD350" s="98">
        <v>340</v>
      </c>
    </row>
    <row r="351" spans="3:30">
      <c r="C351" s="76">
        <v>342</v>
      </c>
      <c r="D351" s="77">
        <v>36138</v>
      </c>
      <c r="E351" s="77">
        <v>36138.041666666664</v>
      </c>
      <c r="F351" s="77">
        <v>36138.083333333336</v>
      </c>
      <c r="G351" s="77">
        <v>36138.125</v>
      </c>
      <c r="H351" s="77">
        <v>36138.166666666664</v>
      </c>
      <c r="I351" s="77">
        <v>36138.208333333336</v>
      </c>
      <c r="J351" s="77">
        <v>36138.25</v>
      </c>
      <c r="K351" s="77">
        <v>36138.291666666664</v>
      </c>
      <c r="L351" s="77">
        <v>36138.333333333336</v>
      </c>
      <c r="M351" s="77">
        <v>36138.375</v>
      </c>
      <c r="N351" s="77">
        <v>36138.416666666664</v>
      </c>
      <c r="O351" s="77">
        <v>36138.458333333336</v>
      </c>
      <c r="P351" s="77">
        <v>36138.5</v>
      </c>
      <c r="Q351" s="77">
        <v>36138.541666666664</v>
      </c>
      <c r="R351" s="77">
        <v>36138.583333333336</v>
      </c>
      <c r="S351" s="77">
        <v>36138.625</v>
      </c>
      <c r="T351" s="77">
        <v>36138.666666666664</v>
      </c>
      <c r="U351" s="77">
        <v>36138.708333333336</v>
      </c>
      <c r="V351" s="77">
        <v>36138.75</v>
      </c>
      <c r="W351" s="77">
        <v>36138.791666666664</v>
      </c>
      <c r="X351" s="77">
        <v>36138.833333333336</v>
      </c>
      <c r="Y351" s="77">
        <v>36138.875</v>
      </c>
      <c r="Z351" s="77">
        <v>36138.916666666664</v>
      </c>
      <c r="AA351" s="78">
        <v>36138.958333333336</v>
      </c>
      <c r="AC351" s="12">
        <f t="shared" si="33"/>
        <v>342</v>
      </c>
      <c r="AD351" s="98">
        <v>340</v>
      </c>
    </row>
    <row r="352" spans="3:30">
      <c r="C352" s="76">
        <v>343</v>
      </c>
      <c r="D352" s="77">
        <v>36139</v>
      </c>
      <c r="E352" s="77">
        <v>36139.041666666664</v>
      </c>
      <c r="F352" s="77">
        <v>36139.083333333336</v>
      </c>
      <c r="G352" s="77">
        <v>36139.125</v>
      </c>
      <c r="H352" s="77">
        <v>36139.166666666664</v>
      </c>
      <c r="I352" s="77">
        <v>36139.208333333336</v>
      </c>
      <c r="J352" s="77">
        <v>36139.25</v>
      </c>
      <c r="K352" s="77">
        <v>36139.291666666664</v>
      </c>
      <c r="L352" s="77">
        <v>36139.333333333336</v>
      </c>
      <c r="M352" s="77">
        <v>36139.375</v>
      </c>
      <c r="N352" s="77">
        <v>36139.416666666664</v>
      </c>
      <c r="O352" s="77">
        <v>36139.458333333336</v>
      </c>
      <c r="P352" s="77">
        <v>36139.5</v>
      </c>
      <c r="Q352" s="77">
        <v>36139.541666666664</v>
      </c>
      <c r="R352" s="77">
        <v>36139.583333333336</v>
      </c>
      <c r="S352" s="77">
        <v>36139.625</v>
      </c>
      <c r="T352" s="77">
        <v>36139.666666666664</v>
      </c>
      <c r="U352" s="77">
        <v>36139.708333333336</v>
      </c>
      <c r="V352" s="77">
        <v>36139.75</v>
      </c>
      <c r="W352" s="77">
        <v>36139.791666666664</v>
      </c>
      <c r="X352" s="77">
        <v>36139.833333333336</v>
      </c>
      <c r="Y352" s="77">
        <v>36139.875</v>
      </c>
      <c r="Z352" s="77">
        <v>36139.916666666664</v>
      </c>
      <c r="AA352" s="78">
        <v>36139.958333333336</v>
      </c>
      <c r="AC352" s="12">
        <f t="shared" si="33"/>
        <v>343</v>
      </c>
      <c r="AD352" s="98">
        <v>340</v>
      </c>
    </row>
    <row r="353" spans="3:30">
      <c r="C353" s="76">
        <v>344</v>
      </c>
      <c r="D353" s="77">
        <v>36140</v>
      </c>
      <c r="E353" s="77">
        <v>36140.041666666664</v>
      </c>
      <c r="F353" s="77">
        <v>36140.083333333336</v>
      </c>
      <c r="G353" s="77">
        <v>36140.125</v>
      </c>
      <c r="H353" s="77">
        <v>36140.166666666664</v>
      </c>
      <c r="I353" s="77">
        <v>36140.208333333336</v>
      </c>
      <c r="J353" s="77">
        <v>36140.25</v>
      </c>
      <c r="K353" s="77">
        <v>36140.291666666664</v>
      </c>
      <c r="L353" s="77">
        <v>36140.333333333336</v>
      </c>
      <c r="M353" s="77">
        <v>36140.375</v>
      </c>
      <c r="N353" s="77">
        <v>36140.416666666664</v>
      </c>
      <c r="O353" s="77">
        <v>36140.458333333336</v>
      </c>
      <c r="P353" s="77">
        <v>36140.5</v>
      </c>
      <c r="Q353" s="77">
        <v>36140.541666666664</v>
      </c>
      <c r="R353" s="77">
        <v>36140.583333333336</v>
      </c>
      <c r="S353" s="77">
        <v>36140.625</v>
      </c>
      <c r="T353" s="77">
        <v>36140.666666666664</v>
      </c>
      <c r="U353" s="77">
        <v>36140.708333333336</v>
      </c>
      <c r="V353" s="77">
        <v>36140.75</v>
      </c>
      <c r="W353" s="77">
        <v>36140.791666666664</v>
      </c>
      <c r="X353" s="77">
        <v>36140.833333333336</v>
      </c>
      <c r="Y353" s="77">
        <v>36140.875</v>
      </c>
      <c r="Z353" s="77">
        <v>36140.916666666664</v>
      </c>
      <c r="AA353" s="78">
        <v>36140.958333333336</v>
      </c>
      <c r="AC353" s="12">
        <f t="shared" si="33"/>
        <v>344</v>
      </c>
      <c r="AD353" s="98">
        <v>340</v>
      </c>
    </row>
    <row r="354" spans="3:30">
      <c r="C354" s="76">
        <v>345</v>
      </c>
      <c r="D354" s="77">
        <v>36141</v>
      </c>
      <c r="E354" s="77">
        <v>36141.041666666664</v>
      </c>
      <c r="F354" s="77">
        <v>36141.083333333336</v>
      </c>
      <c r="G354" s="77">
        <v>36141.125</v>
      </c>
      <c r="H354" s="77">
        <v>36141.166666666664</v>
      </c>
      <c r="I354" s="77">
        <v>36141.208333333336</v>
      </c>
      <c r="J354" s="77">
        <v>36141.25</v>
      </c>
      <c r="K354" s="77">
        <v>36141.291666666664</v>
      </c>
      <c r="L354" s="77">
        <v>36141.333333333336</v>
      </c>
      <c r="M354" s="77">
        <v>36141.375</v>
      </c>
      <c r="N354" s="77">
        <v>36141.416666666664</v>
      </c>
      <c r="O354" s="77">
        <v>36141.458333333336</v>
      </c>
      <c r="P354" s="77">
        <v>36141.5</v>
      </c>
      <c r="Q354" s="77">
        <v>36141.541666666664</v>
      </c>
      <c r="R354" s="77">
        <v>36141.583333333336</v>
      </c>
      <c r="S354" s="77">
        <v>36141.625</v>
      </c>
      <c r="T354" s="77">
        <v>36141.666666666664</v>
      </c>
      <c r="U354" s="77">
        <v>36141.708333333336</v>
      </c>
      <c r="V354" s="77">
        <v>36141.75</v>
      </c>
      <c r="W354" s="77">
        <v>36141.791666666664</v>
      </c>
      <c r="X354" s="77">
        <v>36141.833333333336</v>
      </c>
      <c r="Y354" s="77">
        <v>36141.875</v>
      </c>
      <c r="Z354" s="77">
        <v>36141.916666666664</v>
      </c>
      <c r="AA354" s="78">
        <v>36141.958333333336</v>
      </c>
      <c r="AC354" s="12">
        <f t="shared" si="33"/>
        <v>345</v>
      </c>
      <c r="AD354" s="98">
        <v>340</v>
      </c>
    </row>
    <row r="355" spans="3:30">
      <c r="C355" s="76">
        <v>346</v>
      </c>
      <c r="D355" s="77">
        <v>36142</v>
      </c>
      <c r="E355" s="77">
        <v>36142.041666666664</v>
      </c>
      <c r="F355" s="77">
        <v>36142.083333333336</v>
      </c>
      <c r="G355" s="77">
        <v>36142.125</v>
      </c>
      <c r="H355" s="77">
        <v>36142.166666666664</v>
      </c>
      <c r="I355" s="77">
        <v>36142.208333333336</v>
      </c>
      <c r="J355" s="77">
        <v>36142.25</v>
      </c>
      <c r="K355" s="77">
        <v>36142.291666666664</v>
      </c>
      <c r="L355" s="77">
        <v>36142.333333333336</v>
      </c>
      <c r="M355" s="77">
        <v>36142.375</v>
      </c>
      <c r="N355" s="77">
        <v>36142.416666666664</v>
      </c>
      <c r="O355" s="77">
        <v>36142.458333333336</v>
      </c>
      <c r="P355" s="77">
        <v>36142.5</v>
      </c>
      <c r="Q355" s="77">
        <v>36142.541666666664</v>
      </c>
      <c r="R355" s="77">
        <v>36142.583333333336</v>
      </c>
      <c r="S355" s="77">
        <v>36142.625</v>
      </c>
      <c r="T355" s="77">
        <v>36142.666666666664</v>
      </c>
      <c r="U355" s="77">
        <v>36142.708333333336</v>
      </c>
      <c r="V355" s="77">
        <v>36142.75</v>
      </c>
      <c r="W355" s="77">
        <v>36142.791666666664</v>
      </c>
      <c r="X355" s="77">
        <v>36142.833333333336</v>
      </c>
      <c r="Y355" s="77">
        <v>36142.875</v>
      </c>
      <c r="Z355" s="77">
        <v>36142.916666666664</v>
      </c>
      <c r="AA355" s="78">
        <v>36142.958333333336</v>
      </c>
      <c r="AC355" s="12">
        <f t="shared" si="33"/>
        <v>346</v>
      </c>
      <c r="AD355" s="98">
        <v>340</v>
      </c>
    </row>
    <row r="356" spans="3:30">
      <c r="C356" s="76">
        <v>347</v>
      </c>
      <c r="D356" s="77">
        <v>36143</v>
      </c>
      <c r="E356" s="77">
        <v>36143.041666666664</v>
      </c>
      <c r="F356" s="77">
        <v>36143.083333333336</v>
      </c>
      <c r="G356" s="77">
        <v>36143.125</v>
      </c>
      <c r="H356" s="77">
        <v>36143.166666666664</v>
      </c>
      <c r="I356" s="77">
        <v>36143.208333333336</v>
      </c>
      <c r="J356" s="77">
        <v>36143.25</v>
      </c>
      <c r="K356" s="77">
        <v>36143.291666666664</v>
      </c>
      <c r="L356" s="77">
        <v>36143.333333333336</v>
      </c>
      <c r="M356" s="77">
        <v>36143.375</v>
      </c>
      <c r="N356" s="77">
        <v>36143.416666666664</v>
      </c>
      <c r="O356" s="77">
        <v>36143.458333333336</v>
      </c>
      <c r="P356" s="77">
        <v>36143.5</v>
      </c>
      <c r="Q356" s="77">
        <v>36143.541666666664</v>
      </c>
      <c r="R356" s="77">
        <v>36143.583333333336</v>
      </c>
      <c r="S356" s="77">
        <v>36143.625</v>
      </c>
      <c r="T356" s="77">
        <v>36143.666666666664</v>
      </c>
      <c r="U356" s="77">
        <v>36143.708333333336</v>
      </c>
      <c r="V356" s="77">
        <v>36143.75</v>
      </c>
      <c r="W356" s="77">
        <v>36143.791666666664</v>
      </c>
      <c r="X356" s="77">
        <v>36143.833333333336</v>
      </c>
      <c r="Y356" s="77">
        <v>36143.875</v>
      </c>
      <c r="Z356" s="77">
        <v>36143.916666666664</v>
      </c>
      <c r="AA356" s="78">
        <v>36143.958333333336</v>
      </c>
      <c r="AC356" s="12">
        <f t="shared" si="33"/>
        <v>347</v>
      </c>
      <c r="AD356" s="98">
        <v>340</v>
      </c>
    </row>
    <row r="357" spans="3:30">
      <c r="C357" s="76">
        <v>348</v>
      </c>
      <c r="D357" s="77">
        <v>36144</v>
      </c>
      <c r="E357" s="77">
        <v>36144.041666666664</v>
      </c>
      <c r="F357" s="77">
        <v>36144.083333333336</v>
      </c>
      <c r="G357" s="77">
        <v>36144.125</v>
      </c>
      <c r="H357" s="77">
        <v>36144.166666666664</v>
      </c>
      <c r="I357" s="77">
        <v>36144.208333333336</v>
      </c>
      <c r="J357" s="77">
        <v>36144.25</v>
      </c>
      <c r="K357" s="77">
        <v>36144.291666666664</v>
      </c>
      <c r="L357" s="77">
        <v>36144.333333333336</v>
      </c>
      <c r="M357" s="77">
        <v>36144.375</v>
      </c>
      <c r="N357" s="77">
        <v>36144.416666666664</v>
      </c>
      <c r="O357" s="77">
        <v>36144.458333333336</v>
      </c>
      <c r="P357" s="77">
        <v>36144.5</v>
      </c>
      <c r="Q357" s="77">
        <v>36144.541666666664</v>
      </c>
      <c r="R357" s="77">
        <v>36144.583333333336</v>
      </c>
      <c r="S357" s="77">
        <v>36144.625</v>
      </c>
      <c r="T357" s="77">
        <v>36144.666666666664</v>
      </c>
      <c r="U357" s="77">
        <v>36144.708333333336</v>
      </c>
      <c r="V357" s="77">
        <v>36144.75</v>
      </c>
      <c r="W357" s="77">
        <v>36144.791666666664</v>
      </c>
      <c r="X357" s="77">
        <v>36144.833333333336</v>
      </c>
      <c r="Y357" s="77">
        <v>36144.875</v>
      </c>
      <c r="Z357" s="77">
        <v>36144.916666666664</v>
      </c>
      <c r="AA357" s="78">
        <v>36144.958333333336</v>
      </c>
      <c r="AC357" s="12">
        <f t="shared" si="33"/>
        <v>348</v>
      </c>
      <c r="AD357" s="98">
        <v>340</v>
      </c>
    </row>
    <row r="358" spans="3:30">
      <c r="C358" s="76">
        <v>349</v>
      </c>
      <c r="D358" s="77">
        <v>36145</v>
      </c>
      <c r="E358" s="77">
        <v>36145.041666666664</v>
      </c>
      <c r="F358" s="77">
        <v>36145.083333333336</v>
      </c>
      <c r="G358" s="77">
        <v>36145.125</v>
      </c>
      <c r="H358" s="77">
        <v>36145.166666666664</v>
      </c>
      <c r="I358" s="77">
        <v>36145.208333333336</v>
      </c>
      <c r="J358" s="77">
        <v>36145.25</v>
      </c>
      <c r="K358" s="77">
        <v>36145.291666666664</v>
      </c>
      <c r="L358" s="77">
        <v>36145.333333333336</v>
      </c>
      <c r="M358" s="77">
        <v>36145.375</v>
      </c>
      <c r="N358" s="77">
        <v>36145.416666666664</v>
      </c>
      <c r="O358" s="77">
        <v>36145.458333333336</v>
      </c>
      <c r="P358" s="77">
        <v>36145.5</v>
      </c>
      <c r="Q358" s="77">
        <v>36145.541666666664</v>
      </c>
      <c r="R358" s="77">
        <v>36145.583333333336</v>
      </c>
      <c r="S358" s="77">
        <v>36145.625</v>
      </c>
      <c r="T358" s="77">
        <v>36145.666666666664</v>
      </c>
      <c r="U358" s="77">
        <v>36145.708333333336</v>
      </c>
      <c r="V358" s="77">
        <v>36145.75</v>
      </c>
      <c r="W358" s="77">
        <v>36145.791666666664</v>
      </c>
      <c r="X358" s="77">
        <v>36145.833333333336</v>
      </c>
      <c r="Y358" s="77">
        <v>36145.875</v>
      </c>
      <c r="Z358" s="77">
        <v>36145.916666666664</v>
      </c>
      <c r="AA358" s="78">
        <v>36145.958333333336</v>
      </c>
      <c r="AC358" s="12">
        <f t="shared" si="33"/>
        <v>349</v>
      </c>
      <c r="AD358" s="98">
        <v>340</v>
      </c>
    </row>
    <row r="359" spans="3:30">
      <c r="C359" s="76">
        <v>350</v>
      </c>
      <c r="D359" s="77">
        <v>36146</v>
      </c>
      <c r="E359" s="77">
        <v>36146.041666666664</v>
      </c>
      <c r="F359" s="77">
        <v>36146.083333333336</v>
      </c>
      <c r="G359" s="77">
        <v>36146.125</v>
      </c>
      <c r="H359" s="77">
        <v>36146.166666666664</v>
      </c>
      <c r="I359" s="77">
        <v>36146.208333333336</v>
      </c>
      <c r="J359" s="77">
        <v>36146.25</v>
      </c>
      <c r="K359" s="77">
        <v>36146.291666666664</v>
      </c>
      <c r="L359" s="77">
        <v>36146.333333333336</v>
      </c>
      <c r="M359" s="77">
        <v>36146.375</v>
      </c>
      <c r="N359" s="77">
        <v>36146.416666666664</v>
      </c>
      <c r="O359" s="77">
        <v>36146.458333333336</v>
      </c>
      <c r="P359" s="77">
        <v>36146.5</v>
      </c>
      <c r="Q359" s="77">
        <v>36146.541666666664</v>
      </c>
      <c r="R359" s="77">
        <v>36146.583333333336</v>
      </c>
      <c r="S359" s="77">
        <v>36146.625</v>
      </c>
      <c r="T359" s="77">
        <v>36146.666666666664</v>
      </c>
      <c r="U359" s="77">
        <v>36146.708333333336</v>
      </c>
      <c r="V359" s="77">
        <v>36146.75</v>
      </c>
      <c r="W359" s="77">
        <v>36146.791666666664</v>
      </c>
      <c r="X359" s="77">
        <v>36146.833333333336</v>
      </c>
      <c r="Y359" s="77">
        <v>36146.875</v>
      </c>
      <c r="Z359" s="77">
        <v>36146.916666666664</v>
      </c>
      <c r="AA359" s="78">
        <v>36146.958333333336</v>
      </c>
      <c r="AC359" s="12">
        <f t="shared" si="33"/>
        <v>350</v>
      </c>
      <c r="AD359" s="98">
        <v>340</v>
      </c>
    </row>
    <row r="360" spans="3:30">
      <c r="C360" s="76">
        <v>351</v>
      </c>
      <c r="D360" s="77">
        <v>36147</v>
      </c>
      <c r="E360" s="77">
        <v>36147.041666666664</v>
      </c>
      <c r="F360" s="77">
        <v>36147.083333333336</v>
      </c>
      <c r="G360" s="77">
        <v>36147.125</v>
      </c>
      <c r="H360" s="77">
        <v>36147.166666666664</v>
      </c>
      <c r="I360" s="77">
        <v>36147.208333333336</v>
      </c>
      <c r="J360" s="77">
        <v>36147.25</v>
      </c>
      <c r="K360" s="77">
        <v>36147.291666666664</v>
      </c>
      <c r="L360" s="77">
        <v>36147.333333333336</v>
      </c>
      <c r="M360" s="77">
        <v>36147.375</v>
      </c>
      <c r="N360" s="77">
        <v>36147.416666666664</v>
      </c>
      <c r="O360" s="77">
        <v>36147.458333333336</v>
      </c>
      <c r="P360" s="77">
        <v>36147.5</v>
      </c>
      <c r="Q360" s="77">
        <v>36147.541666666664</v>
      </c>
      <c r="R360" s="77">
        <v>36147.583333333336</v>
      </c>
      <c r="S360" s="77">
        <v>36147.625</v>
      </c>
      <c r="T360" s="77">
        <v>36147.666666666664</v>
      </c>
      <c r="U360" s="77">
        <v>36147.708333333336</v>
      </c>
      <c r="V360" s="77">
        <v>36147.75</v>
      </c>
      <c r="W360" s="77">
        <v>36147.791666666664</v>
      </c>
      <c r="X360" s="77">
        <v>36147.833333333336</v>
      </c>
      <c r="Y360" s="77">
        <v>36147.875</v>
      </c>
      <c r="Z360" s="77">
        <v>36147.916666666664</v>
      </c>
      <c r="AA360" s="78">
        <v>36147.958333333336</v>
      </c>
      <c r="AC360" s="12">
        <f t="shared" si="33"/>
        <v>351</v>
      </c>
      <c r="AD360" s="98">
        <v>340</v>
      </c>
    </row>
    <row r="361" spans="3:30">
      <c r="C361" s="76">
        <v>352</v>
      </c>
      <c r="D361" s="77">
        <v>36148</v>
      </c>
      <c r="E361" s="77">
        <v>36148.041666666664</v>
      </c>
      <c r="F361" s="77">
        <v>36148.083333333336</v>
      </c>
      <c r="G361" s="77">
        <v>36148.125</v>
      </c>
      <c r="H361" s="77">
        <v>36148.166666666664</v>
      </c>
      <c r="I361" s="77">
        <v>36148.208333333336</v>
      </c>
      <c r="J361" s="77">
        <v>36148.25</v>
      </c>
      <c r="K361" s="77">
        <v>36148.291666666664</v>
      </c>
      <c r="L361" s="77">
        <v>36148.333333333336</v>
      </c>
      <c r="M361" s="77">
        <v>36148.375</v>
      </c>
      <c r="N361" s="77">
        <v>36148.416666666664</v>
      </c>
      <c r="O361" s="77">
        <v>36148.458333333336</v>
      </c>
      <c r="P361" s="77">
        <v>36148.5</v>
      </c>
      <c r="Q361" s="77">
        <v>36148.541666666664</v>
      </c>
      <c r="R361" s="77">
        <v>36148.583333333336</v>
      </c>
      <c r="S361" s="77">
        <v>36148.625</v>
      </c>
      <c r="T361" s="77">
        <v>36148.666666666664</v>
      </c>
      <c r="U361" s="77">
        <v>36148.708333333336</v>
      </c>
      <c r="V361" s="77">
        <v>36148.75</v>
      </c>
      <c r="W361" s="77">
        <v>36148.791666666664</v>
      </c>
      <c r="X361" s="77">
        <v>36148.833333333336</v>
      </c>
      <c r="Y361" s="77">
        <v>36148.875</v>
      </c>
      <c r="Z361" s="77">
        <v>36148.916666666664</v>
      </c>
      <c r="AA361" s="78">
        <v>36148.958333333336</v>
      </c>
      <c r="AC361" s="12">
        <f t="shared" si="33"/>
        <v>352</v>
      </c>
      <c r="AD361" s="98">
        <v>340</v>
      </c>
    </row>
    <row r="362" spans="3:30">
      <c r="C362" s="76">
        <v>353</v>
      </c>
      <c r="D362" s="77">
        <v>36149</v>
      </c>
      <c r="E362" s="77">
        <v>36149.041666666664</v>
      </c>
      <c r="F362" s="77">
        <v>36149.083333333336</v>
      </c>
      <c r="G362" s="77">
        <v>36149.125</v>
      </c>
      <c r="H362" s="77">
        <v>36149.166666666664</v>
      </c>
      <c r="I362" s="77">
        <v>36149.208333333336</v>
      </c>
      <c r="J362" s="77">
        <v>36149.25</v>
      </c>
      <c r="K362" s="77">
        <v>36149.291666666664</v>
      </c>
      <c r="L362" s="77">
        <v>36149.333333333336</v>
      </c>
      <c r="M362" s="77">
        <v>36149.375</v>
      </c>
      <c r="N362" s="77">
        <v>36149.416666666664</v>
      </c>
      <c r="O362" s="77">
        <v>36149.458333333336</v>
      </c>
      <c r="P362" s="77">
        <v>36149.5</v>
      </c>
      <c r="Q362" s="77">
        <v>36149.541666666664</v>
      </c>
      <c r="R362" s="77">
        <v>36149.583333333336</v>
      </c>
      <c r="S362" s="77">
        <v>36149.625</v>
      </c>
      <c r="T362" s="77">
        <v>36149.666666666664</v>
      </c>
      <c r="U362" s="77">
        <v>36149.708333333336</v>
      </c>
      <c r="V362" s="77">
        <v>36149.75</v>
      </c>
      <c r="W362" s="77">
        <v>36149.791666666664</v>
      </c>
      <c r="X362" s="77">
        <v>36149.833333333336</v>
      </c>
      <c r="Y362" s="77">
        <v>36149.875</v>
      </c>
      <c r="Z362" s="77">
        <v>36149.916666666664</v>
      </c>
      <c r="AA362" s="78">
        <v>36149.958333333336</v>
      </c>
      <c r="AC362" s="12">
        <f t="shared" si="33"/>
        <v>353</v>
      </c>
      <c r="AD362" s="98">
        <v>340</v>
      </c>
    </row>
    <row r="363" spans="3:30">
      <c r="C363" s="76">
        <v>354</v>
      </c>
      <c r="D363" s="77">
        <v>36150</v>
      </c>
      <c r="E363" s="77">
        <v>36150.041666666664</v>
      </c>
      <c r="F363" s="77">
        <v>36150.083333333336</v>
      </c>
      <c r="G363" s="77">
        <v>36150.125</v>
      </c>
      <c r="H363" s="77">
        <v>36150.166666666664</v>
      </c>
      <c r="I363" s="77">
        <v>36150.208333333336</v>
      </c>
      <c r="J363" s="77">
        <v>36150.25</v>
      </c>
      <c r="K363" s="77">
        <v>36150.291666666664</v>
      </c>
      <c r="L363" s="77">
        <v>36150.333333333336</v>
      </c>
      <c r="M363" s="77">
        <v>36150.375</v>
      </c>
      <c r="N363" s="77">
        <v>36150.416666666664</v>
      </c>
      <c r="O363" s="77">
        <v>36150.458333333336</v>
      </c>
      <c r="P363" s="77">
        <v>36150.5</v>
      </c>
      <c r="Q363" s="77">
        <v>36150.541666666664</v>
      </c>
      <c r="R363" s="77">
        <v>36150.583333333336</v>
      </c>
      <c r="S363" s="77">
        <v>36150.625</v>
      </c>
      <c r="T363" s="77">
        <v>36150.666666666664</v>
      </c>
      <c r="U363" s="77">
        <v>36150.708333333336</v>
      </c>
      <c r="V363" s="77">
        <v>36150.75</v>
      </c>
      <c r="W363" s="77">
        <v>36150.791666666664</v>
      </c>
      <c r="X363" s="77">
        <v>36150.833333333336</v>
      </c>
      <c r="Y363" s="77">
        <v>36150.875</v>
      </c>
      <c r="Z363" s="77">
        <v>36150.916666666664</v>
      </c>
      <c r="AA363" s="78">
        <v>36150.958333333336</v>
      </c>
      <c r="AC363" s="12">
        <f t="shared" si="33"/>
        <v>354</v>
      </c>
      <c r="AD363" s="98">
        <v>340</v>
      </c>
    </row>
    <row r="364" spans="3:30">
      <c r="C364" s="76">
        <v>355</v>
      </c>
      <c r="D364" s="77">
        <v>36151</v>
      </c>
      <c r="E364" s="77">
        <v>36151.041666666664</v>
      </c>
      <c r="F364" s="77">
        <v>36151.083333333336</v>
      </c>
      <c r="G364" s="77">
        <v>36151.125</v>
      </c>
      <c r="H364" s="77">
        <v>36151.166666666664</v>
      </c>
      <c r="I364" s="77">
        <v>36151.208333333336</v>
      </c>
      <c r="J364" s="77">
        <v>36151.25</v>
      </c>
      <c r="K364" s="77">
        <v>36151.291666666664</v>
      </c>
      <c r="L364" s="77">
        <v>36151.333333333336</v>
      </c>
      <c r="M364" s="77">
        <v>36151.375</v>
      </c>
      <c r="N364" s="77">
        <v>36151.416666666664</v>
      </c>
      <c r="O364" s="77">
        <v>36151.458333333336</v>
      </c>
      <c r="P364" s="77">
        <v>36151.5</v>
      </c>
      <c r="Q364" s="77">
        <v>36151.541666666664</v>
      </c>
      <c r="R364" s="77">
        <v>36151.583333333336</v>
      </c>
      <c r="S364" s="77">
        <v>36151.625</v>
      </c>
      <c r="T364" s="77">
        <v>36151.666666666664</v>
      </c>
      <c r="U364" s="77">
        <v>36151.708333333336</v>
      </c>
      <c r="V364" s="77">
        <v>36151.75</v>
      </c>
      <c r="W364" s="77">
        <v>36151.791666666664</v>
      </c>
      <c r="X364" s="77">
        <v>36151.833333333336</v>
      </c>
      <c r="Y364" s="77">
        <v>36151.875</v>
      </c>
      <c r="Z364" s="77">
        <v>36151.916666666664</v>
      </c>
      <c r="AA364" s="78">
        <v>36151.958333333336</v>
      </c>
      <c r="AC364" s="12">
        <f t="shared" si="33"/>
        <v>355</v>
      </c>
      <c r="AD364" s="98">
        <v>340</v>
      </c>
    </row>
    <row r="365" spans="3:30">
      <c r="C365" s="76">
        <v>356</v>
      </c>
      <c r="D365" s="77">
        <v>36152</v>
      </c>
      <c r="E365" s="77">
        <v>36152.041666666664</v>
      </c>
      <c r="F365" s="77">
        <v>36152.083333333336</v>
      </c>
      <c r="G365" s="77">
        <v>36152.125</v>
      </c>
      <c r="H365" s="77">
        <v>36152.166666666664</v>
      </c>
      <c r="I365" s="77">
        <v>36152.208333333336</v>
      </c>
      <c r="J365" s="77">
        <v>36152.25</v>
      </c>
      <c r="K365" s="77">
        <v>36152.291666666664</v>
      </c>
      <c r="L365" s="77">
        <v>36152.333333333336</v>
      </c>
      <c r="M365" s="77">
        <v>36152.375</v>
      </c>
      <c r="N365" s="77">
        <v>36152.416666666664</v>
      </c>
      <c r="O365" s="77">
        <v>36152.458333333336</v>
      </c>
      <c r="P365" s="77">
        <v>36152.5</v>
      </c>
      <c r="Q365" s="77">
        <v>36152.541666666664</v>
      </c>
      <c r="R365" s="77">
        <v>36152.583333333336</v>
      </c>
      <c r="S365" s="77">
        <v>36152.625</v>
      </c>
      <c r="T365" s="77">
        <v>36152.666666666664</v>
      </c>
      <c r="U365" s="77">
        <v>36152.708333333336</v>
      </c>
      <c r="V365" s="77">
        <v>36152.75</v>
      </c>
      <c r="W365" s="77">
        <v>36152.791666666664</v>
      </c>
      <c r="X365" s="77">
        <v>36152.833333333336</v>
      </c>
      <c r="Y365" s="77">
        <v>36152.875</v>
      </c>
      <c r="Z365" s="77">
        <v>36152.916666666664</v>
      </c>
      <c r="AA365" s="78">
        <v>36152.958333333336</v>
      </c>
      <c r="AC365" s="12">
        <f t="shared" si="33"/>
        <v>356</v>
      </c>
      <c r="AD365" s="98">
        <v>340</v>
      </c>
    </row>
    <row r="366" spans="3:30">
      <c r="C366" s="76">
        <v>357</v>
      </c>
      <c r="D366" s="77">
        <v>36153</v>
      </c>
      <c r="E366" s="77">
        <v>36153.041666666664</v>
      </c>
      <c r="F366" s="77">
        <v>36153.083333333336</v>
      </c>
      <c r="G366" s="77">
        <v>36153.125</v>
      </c>
      <c r="H366" s="77">
        <v>36153.166666666664</v>
      </c>
      <c r="I366" s="77">
        <v>36153.208333333336</v>
      </c>
      <c r="J366" s="77">
        <v>36153.25</v>
      </c>
      <c r="K366" s="77">
        <v>36153.291666666664</v>
      </c>
      <c r="L366" s="77">
        <v>36153.333333333336</v>
      </c>
      <c r="M366" s="77">
        <v>36153.375</v>
      </c>
      <c r="N366" s="77">
        <v>36153.416666666664</v>
      </c>
      <c r="O366" s="77">
        <v>36153.458333333336</v>
      </c>
      <c r="P366" s="77">
        <v>36153.5</v>
      </c>
      <c r="Q366" s="77">
        <v>36153.541666666664</v>
      </c>
      <c r="R366" s="77">
        <v>36153.583333333336</v>
      </c>
      <c r="S366" s="77">
        <v>36153.625</v>
      </c>
      <c r="T366" s="77">
        <v>36153.666666666664</v>
      </c>
      <c r="U366" s="77">
        <v>36153.708333333336</v>
      </c>
      <c r="V366" s="77">
        <v>36153.75</v>
      </c>
      <c r="W366" s="77">
        <v>36153.791666666664</v>
      </c>
      <c r="X366" s="77">
        <v>36153.833333333336</v>
      </c>
      <c r="Y366" s="77">
        <v>36153.875</v>
      </c>
      <c r="Z366" s="77">
        <v>36153.916666666664</v>
      </c>
      <c r="AA366" s="78">
        <v>36153.958333333336</v>
      </c>
      <c r="AC366" s="12">
        <f t="shared" si="33"/>
        <v>357</v>
      </c>
      <c r="AD366" s="98">
        <v>340</v>
      </c>
    </row>
    <row r="367" spans="3:30">
      <c r="C367" s="76">
        <v>358</v>
      </c>
      <c r="D367" s="77">
        <v>36154</v>
      </c>
      <c r="E367" s="77">
        <v>36154.041666666664</v>
      </c>
      <c r="F367" s="77">
        <v>36154.083333333336</v>
      </c>
      <c r="G367" s="77">
        <v>36154.125</v>
      </c>
      <c r="H367" s="77">
        <v>36154.166666666664</v>
      </c>
      <c r="I367" s="77">
        <v>36154.208333333336</v>
      </c>
      <c r="J367" s="77">
        <v>36154.25</v>
      </c>
      <c r="K367" s="77">
        <v>36154.291666666664</v>
      </c>
      <c r="L367" s="77">
        <v>36154.333333333336</v>
      </c>
      <c r="M367" s="77">
        <v>36154.375</v>
      </c>
      <c r="N367" s="77">
        <v>36154.416666666664</v>
      </c>
      <c r="O367" s="77">
        <v>36154.458333333336</v>
      </c>
      <c r="P367" s="77">
        <v>36154.5</v>
      </c>
      <c r="Q367" s="77">
        <v>36154.541666666664</v>
      </c>
      <c r="R367" s="77">
        <v>36154.583333333336</v>
      </c>
      <c r="S367" s="77">
        <v>36154.625</v>
      </c>
      <c r="T367" s="77">
        <v>36154.666666666664</v>
      </c>
      <c r="U367" s="77">
        <v>36154.708333333336</v>
      </c>
      <c r="V367" s="77">
        <v>36154.75</v>
      </c>
      <c r="W367" s="77">
        <v>36154.791666666664</v>
      </c>
      <c r="X367" s="77">
        <v>36154.833333333336</v>
      </c>
      <c r="Y367" s="77">
        <v>36154.875</v>
      </c>
      <c r="Z367" s="77">
        <v>36154.916666666664</v>
      </c>
      <c r="AA367" s="78">
        <v>36154.958333333336</v>
      </c>
      <c r="AC367" s="12">
        <f t="shared" si="33"/>
        <v>358</v>
      </c>
      <c r="AD367" s="98">
        <v>340</v>
      </c>
    </row>
    <row r="368" spans="3:30">
      <c r="C368" s="76">
        <v>359</v>
      </c>
      <c r="D368" s="77">
        <v>36155</v>
      </c>
      <c r="E368" s="77">
        <v>36155.041666666664</v>
      </c>
      <c r="F368" s="77">
        <v>36155.083333333336</v>
      </c>
      <c r="G368" s="77">
        <v>36155.125</v>
      </c>
      <c r="H368" s="77">
        <v>36155.166666666664</v>
      </c>
      <c r="I368" s="77">
        <v>36155.208333333336</v>
      </c>
      <c r="J368" s="77">
        <v>36155.25</v>
      </c>
      <c r="K368" s="77">
        <v>36155.291666666664</v>
      </c>
      <c r="L368" s="77">
        <v>36155.333333333336</v>
      </c>
      <c r="M368" s="77">
        <v>36155.375</v>
      </c>
      <c r="N368" s="77">
        <v>36155.416666666664</v>
      </c>
      <c r="O368" s="77">
        <v>36155.458333333336</v>
      </c>
      <c r="P368" s="77">
        <v>36155.5</v>
      </c>
      <c r="Q368" s="77">
        <v>36155.541666666664</v>
      </c>
      <c r="R368" s="77">
        <v>36155.583333333336</v>
      </c>
      <c r="S368" s="77">
        <v>36155.625</v>
      </c>
      <c r="T368" s="77">
        <v>36155.666666666664</v>
      </c>
      <c r="U368" s="77">
        <v>36155.708333333336</v>
      </c>
      <c r="V368" s="77">
        <v>36155.75</v>
      </c>
      <c r="W368" s="77">
        <v>36155.791666666664</v>
      </c>
      <c r="X368" s="77">
        <v>36155.833333333336</v>
      </c>
      <c r="Y368" s="77">
        <v>36155.875</v>
      </c>
      <c r="Z368" s="77">
        <v>36155.916666666664</v>
      </c>
      <c r="AA368" s="78">
        <v>36155.958333333336</v>
      </c>
      <c r="AC368" s="12">
        <f t="shared" si="33"/>
        <v>359</v>
      </c>
      <c r="AD368" s="98">
        <v>340</v>
      </c>
    </row>
    <row r="369" spans="3:30">
      <c r="C369" s="76">
        <v>360</v>
      </c>
      <c r="D369" s="77">
        <v>36156</v>
      </c>
      <c r="E369" s="77">
        <v>36156.041666666664</v>
      </c>
      <c r="F369" s="77">
        <v>36156.083333333336</v>
      </c>
      <c r="G369" s="77">
        <v>36156.125</v>
      </c>
      <c r="H369" s="77">
        <v>36156.166666666664</v>
      </c>
      <c r="I369" s="77">
        <v>36156.208333333336</v>
      </c>
      <c r="J369" s="77">
        <v>36156.25</v>
      </c>
      <c r="K369" s="77">
        <v>36156.291666666664</v>
      </c>
      <c r="L369" s="77">
        <v>36156.333333333336</v>
      </c>
      <c r="M369" s="77">
        <v>36156.375</v>
      </c>
      <c r="N369" s="77">
        <v>36156.416666666664</v>
      </c>
      <c r="O369" s="77">
        <v>36156.458333333336</v>
      </c>
      <c r="P369" s="77">
        <v>36156.5</v>
      </c>
      <c r="Q369" s="77">
        <v>36156.541666666664</v>
      </c>
      <c r="R369" s="77">
        <v>36156.583333333336</v>
      </c>
      <c r="S369" s="77">
        <v>36156.625</v>
      </c>
      <c r="T369" s="77">
        <v>36156.666666666664</v>
      </c>
      <c r="U369" s="77">
        <v>36156.708333333336</v>
      </c>
      <c r="V369" s="77">
        <v>36156.75</v>
      </c>
      <c r="W369" s="77">
        <v>36156.791666666664</v>
      </c>
      <c r="X369" s="77">
        <v>36156.833333333336</v>
      </c>
      <c r="Y369" s="77">
        <v>36156.875</v>
      </c>
      <c r="Z369" s="77">
        <v>36156.916666666664</v>
      </c>
      <c r="AA369" s="78">
        <v>36156.958333333336</v>
      </c>
      <c r="AC369" s="12">
        <f t="shared" si="33"/>
        <v>360</v>
      </c>
      <c r="AD369" s="98">
        <v>340</v>
      </c>
    </row>
    <row r="370" spans="3:30">
      <c r="C370" s="76">
        <v>361</v>
      </c>
      <c r="D370" s="77">
        <v>36157</v>
      </c>
      <c r="E370" s="77">
        <v>36157.041666666664</v>
      </c>
      <c r="F370" s="77">
        <v>36157.083333333336</v>
      </c>
      <c r="G370" s="77">
        <v>36157.125</v>
      </c>
      <c r="H370" s="77">
        <v>36157.166666666664</v>
      </c>
      <c r="I370" s="77">
        <v>36157.208333333336</v>
      </c>
      <c r="J370" s="77">
        <v>36157.25</v>
      </c>
      <c r="K370" s="77">
        <v>36157.291666666664</v>
      </c>
      <c r="L370" s="77">
        <v>36157.333333333336</v>
      </c>
      <c r="M370" s="77">
        <v>36157.375</v>
      </c>
      <c r="N370" s="77">
        <v>36157.416666666664</v>
      </c>
      <c r="O370" s="77">
        <v>36157.458333333336</v>
      </c>
      <c r="P370" s="77">
        <v>36157.5</v>
      </c>
      <c r="Q370" s="77">
        <v>36157.541666666664</v>
      </c>
      <c r="R370" s="77">
        <v>36157.583333333336</v>
      </c>
      <c r="S370" s="77">
        <v>36157.625</v>
      </c>
      <c r="T370" s="77">
        <v>36157.666666666664</v>
      </c>
      <c r="U370" s="77">
        <v>36157.708333333336</v>
      </c>
      <c r="V370" s="77">
        <v>36157.75</v>
      </c>
      <c r="W370" s="77">
        <v>36157.791666666664</v>
      </c>
      <c r="X370" s="77">
        <v>36157.833333333336</v>
      </c>
      <c r="Y370" s="77">
        <v>36157.875</v>
      </c>
      <c r="Z370" s="77">
        <v>36157.916666666664</v>
      </c>
      <c r="AA370" s="78">
        <v>36157.958333333336</v>
      </c>
      <c r="AC370" s="12">
        <f t="shared" si="33"/>
        <v>361</v>
      </c>
      <c r="AD370" s="98">
        <v>340</v>
      </c>
    </row>
    <row r="371" spans="3:30">
      <c r="C371" s="76">
        <v>362</v>
      </c>
      <c r="D371" s="77">
        <v>36158</v>
      </c>
      <c r="E371" s="77">
        <v>36158.041666666664</v>
      </c>
      <c r="F371" s="77">
        <v>36158.083333333336</v>
      </c>
      <c r="G371" s="77">
        <v>36158.125</v>
      </c>
      <c r="H371" s="77">
        <v>36158.166666666664</v>
      </c>
      <c r="I371" s="77">
        <v>36158.208333333336</v>
      </c>
      <c r="J371" s="77">
        <v>36158.25</v>
      </c>
      <c r="K371" s="77">
        <v>36158.291666666664</v>
      </c>
      <c r="L371" s="77">
        <v>36158.333333333336</v>
      </c>
      <c r="M371" s="77">
        <v>36158.375</v>
      </c>
      <c r="N371" s="77">
        <v>36158.416666666664</v>
      </c>
      <c r="O371" s="77">
        <v>36158.458333333336</v>
      </c>
      <c r="P371" s="77">
        <v>36158.5</v>
      </c>
      <c r="Q371" s="77">
        <v>36158.541666666664</v>
      </c>
      <c r="R371" s="77">
        <v>36158.583333333336</v>
      </c>
      <c r="S371" s="77">
        <v>36158.625</v>
      </c>
      <c r="T371" s="77">
        <v>36158.666666666664</v>
      </c>
      <c r="U371" s="77">
        <v>36158.708333333336</v>
      </c>
      <c r="V371" s="77">
        <v>36158.75</v>
      </c>
      <c r="W371" s="77">
        <v>36158.791666666664</v>
      </c>
      <c r="X371" s="77">
        <v>36158.833333333336</v>
      </c>
      <c r="Y371" s="77">
        <v>36158.875</v>
      </c>
      <c r="Z371" s="77">
        <v>36158.916666666664</v>
      </c>
      <c r="AA371" s="78">
        <v>36158.958333333336</v>
      </c>
      <c r="AC371" s="12">
        <f t="shared" si="33"/>
        <v>362</v>
      </c>
      <c r="AD371" s="98">
        <v>340</v>
      </c>
    </row>
    <row r="372" spans="3:30">
      <c r="C372" s="76">
        <v>363</v>
      </c>
      <c r="D372" s="77">
        <v>36159</v>
      </c>
      <c r="E372" s="77">
        <v>36159.041666666664</v>
      </c>
      <c r="F372" s="77">
        <v>36159.083333333336</v>
      </c>
      <c r="G372" s="77">
        <v>36159.125</v>
      </c>
      <c r="H372" s="77">
        <v>36159.166666666664</v>
      </c>
      <c r="I372" s="77">
        <v>36159.208333333336</v>
      </c>
      <c r="J372" s="77">
        <v>36159.25</v>
      </c>
      <c r="K372" s="77">
        <v>36159.291666666664</v>
      </c>
      <c r="L372" s="77">
        <v>36159.333333333336</v>
      </c>
      <c r="M372" s="77">
        <v>36159.375</v>
      </c>
      <c r="N372" s="77">
        <v>36159.416666666664</v>
      </c>
      <c r="O372" s="77">
        <v>36159.458333333336</v>
      </c>
      <c r="P372" s="77">
        <v>36159.5</v>
      </c>
      <c r="Q372" s="77">
        <v>36159.541666666664</v>
      </c>
      <c r="R372" s="77">
        <v>36159.583333333336</v>
      </c>
      <c r="S372" s="77">
        <v>36159.625</v>
      </c>
      <c r="T372" s="77">
        <v>36159.666666666664</v>
      </c>
      <c r="U372" s="77">
        <v>36159.708333333336</v>
      </c>
      <c r="V372" s="77">
        <v>36159.75</v>
      </c>
      <c r="W372" s="77">
        <v>36159.791666666664</v>
      </c>
      <c r="X372" s="77">
        <v>36159.833333333336</v>
      </c>
      <c r="Y372" s="77">
        <v>36159.875</v>
      </c>
      <c r="Z372" s="77">
        <v>36159.916666666664</v>
      </c>
      <c r="AA372" s="78">
        <v>36159.958333333336</v>
      </c>
      <c r="AC372" s="12">
        <f t="shared" si="33"/>
        <v>363</v>
      </c>
      <c r="AD372" s="98">
        <v>340</v>
      </c>
    </row>
    <row r="373" spans="3:30">
      <c r="C373" s="76">
        <v>364</v>
      </c>
      <c r="D373" s="77">
        <v>36160</v>
      </c>
      <c r="E373" s="77">
        <v>36160.041666666664</v>
      </c>
      <c r="F373" s="77">
        <v>36160.083333333336</v>
      </c>
      <c r="G373" s="77">
        <v>36160.125</v>
      </c>
      <c r="H373" s="77">
        <v>36160.166666666664</v>
      </c>
      <c r="I373" s="77">
        <v>36160.208333333336</v>
      </c>
      <c r="J373" s="77">
        <v>36160.25</v>
      </c>
      <c r="K373" s="77">
        <v>36160.291666666664</v>
      </c>
      <c r="L373" s="77">
        <v>36160.333333333336</v>
      </c>
      <c r="M373" s="77">
        <v>36160.375</v>
      </c>
      <c r="N373" s="77">
        <v>36160.416666666664</v>
      </c>
      <c r="O373" s="77">
        <v>36160.458333333336</v>
      </c>
      <c r="P373" s="77">
        <v>36160.5</v>
      </c>
      <c r="Q373" s="77">
        <v>36160.541666666664</v>
      </c>
      <c r="R373" s="77">
        <v>36160.583333333336</v>
      </c>
      <c r="S373" s="77">
        <v>36160.625</v>
      </c>
      <c r="T373" s="77">
        <v>36160.666666666664</v>
      </c>
      <c r="U373" s="77">
        <v>36160.708333333336</v>
      </c>
      <c r="V373" s="77">
        <v>36160.75</v>
      </c>
      <c r="W373" s="77">
        <v>36160.791666666664</v>
      </c>
      <c r="X373" s="77">
        <v>36160.833333333336</v>
      </c>
      <c r="Y373" s="77">
        <v>36160.875</v>
      </c>
      <c r="Z373" s="77">
        <v>36160.916666666664</v>
      </c>
      <c r="AA373" s="78">
        <v>36160.958333333336</v>
      </c>
      <c r="AC373" s="12">
        <f t="shared" si="33"/>
        <v>364</v>
      </c>
      <c r="AD373" s="98">
        <v>340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72792-4247-AF47-BB4D-D0D622D44412}">
  <sheetPr codeName="Sheet15">
    <tabColor theme="4" tint="0.59999389629810485"/>
  </sheetPr>
  <dimension ref="A1:CI112"/>
  <sheetViews>
    <sheetView showGridLines="0" zoomScale="68" zoomScaleNormal="90" workbookViewId="0">
      <selection activeCell="D22" sqref="D22"/>
    </sheetView>
  </sheetViews>
  <sheetFormatPr baseColWidth="10" defaultColWidth="11" defaultRowHeight="12" outlineLevelCol="2"/>
  <cols>
    <col min="2" max="2" width="49.59765625" bestFit="1" customWidth="1"/>
    <col min="3" max="3" width="59.59765625" bestFit="1" customWidth="1"/>
    <col min="4" max="4" width="59.59765625" customWidth="1"/>
    <col min="5" max="5" width="31.59765625" customWidth="1"/>
    <col min="6" max="6" width="35.796875" bestFit="1" customWidth="1"/>
    <col min="7" max="7" width="11" customWidth="1"/>
    <col min="8" max="9" width="11" hidden="1" customWidth="1" outlineLevel="1"/>
    <col min="10" max="10" width="11" customWidth="1" collapsed="1"/>
    <col min="11" max="13" width="11" customWidth="1"/>
    <col min="14" max="14" width="11" hidden="1" customWidth="1" outlineLevel="1"/>
    <col min="15" max="15" width="11" customWidth="1" collapsed="1"/>
    <col min="16" max="16" width="11" hidden="1" customWidth="1" outlineLevel="1"/>
    <col min="17" max="17" width="11" customWidth="1" collapsed="1"/>
    <col min="18" max="18" width="11" hidden="1" customWidth="1" outlineLevel="1"/>
    <col min="19" max="19" width="11" customWidth="1" collapsed="1"/>
    <col min="20" max="20" width="11" customWidth="1"/>
    <col min="21" max="21" width="11" hidden="1" customWidth="1" outlineLevel="1"/>
    <col min="22" max="22" width="11" customWidth="1" collapsed="1"/>
    <col min="23" max="25" width="11" hidden="1" customWidth="1" outlineLevel="1"/>
    <col min="26" max="26" width="11" customWidth="1" collapsed="1"/>
    <col min="27" max="27" width="11" customWidth="1"/>
    <col min="28" max="31" width="11" hidden="1" customWidth="1" outlineLevel="1"/>
    <col min="32" max="32" width="11" customWidth="1" collapsed="1"/>
    <col min="33" max="36" width="11" hidden="1" customWidth="1" outlineLevel="1"/>
    <col min="37" max="37" width="11" customWidth="1" collapsed="1"/>
    <col min="38" max="38" width="9.3984375" customWidth="1"/>
    <col min="39" max="39" width="49.59765625" bestFit="1" customWidth="1"/>
    <col min="40" max="40" width="59.59765625" bestFit="1" customWidth="1"/>
    <col min="41" max="41" width="20.796875" bestFit="1" customWidth="1"/>
    <col min="42" max="42" width="11" customWidth="1"/>
    <col min="43" max="44" width="11" hidden="1" customWidth="1" outlineLevel="1"/>
    <col min="45" max="45" width="11" customWidth="1" collapsed="1"/>
    <col min="46" max="46" width="11" customWidth="1"/>
    <col min="47" max="47" width="11" customWidth="1" collapsed="1"/>
    <col min="48" max="48" width="11" customWidth="1"/>
    <col min="49" max="49" width="11" hidden="1" customWidth="1" outlineLevel="1"/>
    <col min="50" max="50" width="11" customWidth="1" collapsed="1"/>
    <col min="51" max="51" width="11" hidden="1" customWidth="1" outlineLevel="2"/>
    <col min="52" max="52" width="11" customWidth="1" collapsed="1"/>
    <col min="53" max="53" width="11" hidden="1" customWidth="1" outlineLevel="1"/>
    <col min="54" max="54" width="11" customWidth="1" collapsed="1"/>
    <col min="55" max="55" width="11" customWidth="1"/>
    <col min="56" max="56" width="11" hidden="1" customWidth="1" outlineLevel="1"/>
    <col min="57" max="57" width="11" customWidth="1" collapsed="1"/>
    <col min="58" max="60" width="11" hidden="1" customWidth="1" outlineLevel="1"/>
    <col min="61" max="61" width="11" customWidth="1" collapsed="1"/>
    <col min="62" max="62" width="11" customWidth="1"/>
    <col min="63" max="66" width="11" hidden="1" customWidth="1" outlineLevel="1"/>
    <col min="67" max="67" width="11" customWidth="1" collapsed="1"/>
    <col min="68" max="71" width="11" hidden="1" customWidth="1" outlineLevel="1"/>
    <col min="72" max="72" width="11" customWidth="1" collapsed="1"/>
    <col min="74" max="74" width="47" bestFit="1" customWidth="1"/>
    <col min="75" max="75" width="24.3984375" bestFit="1" customWidth="1"/>
    <col min="76" max="76" width="33.796875" bestFit="1" customWidth="1"/>
    <col min="77" max="78" width="8.59765625" bestFit="1" customWidth="1"/>
    <col min="79" max="79" width="17" bestFit="1" customWidth="1"/>
    <col min="80" max="80" width="16" bestFit="1" customWidth="1"/>
    <col min="81" max="81" width="8.59765625" bestFit="1" customWidth="1"/>
    <col min="82" max="82" width="10.59765625" bestFit="1" customWidth="1"/>
    <col min="83" max="83" width="9.3984375" customWidth="1"/>
    <col min="84" max="84" width="27" bestFit="1" customWidth="1"/>
    <col min="85" max="86" width="20.796875" bestFit="1" customWidth="1"/>
    <col min="87" max="87" width="25.3984375" bestFit="1" customWidth="1"/>
  </cols>
  <sheetData>
    <row r="1" spans="1:87" s="5" customFormat="1" ht="29" thickBot="1">
      <c r="A1" s="5" t="s">
        <v>175</v>
      </c>
    </row>
    <row r="2" spans="1:87">
      <c r="A2" t="s">
        <v>176</v>
      </c>
    </row>
    <row r="3" spans="1:87">
      <c r="A3" t="s">
        <v>177</v>
      </c>
    </row>
    <row r="5" spans="1:87" ht="19" thickBot="1">
      <c r="B5" s="9" t="s">
        <v>178</v>
      </c>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V5" s="9" t="s">
        <v>179</v>
      </c>
      <c r="BW5" s="9"/>
      <c r="BX5" s="9"/>
      <c r="BY5" s="9"/>
      <c r="BZ5" s="9"/>
      <c r="CA5" s="9"/>
      <c r="CB5" s="9"/>
      <c r="CC5" s="9"/>
      <c r="CD5" s="9"/>
      <c r="CE5" s="9"/>
      <c r="CF5" s="9"/>
      <c r="CG5" s="9"/>
      <c r="CH5" s="9"/>
      <c r="CI5" s="9"/>
    </row>
    <row r="8" spans="1:87" ht="15">
      <c r="D8" s="94"/>
    </row>
    <row r="9" spans="1:87" ht="18" thickBot="1">
      <c r="B9" s="60" t="s">
        <v>180</v>
      </c>
      <c r="C9" s="60"/>
      <c r="D9" s="60"/>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M9" s="60" t="s">
        <v>181</v>
      </c>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c r="BP9" s="60"/>
      <c r="BQ9" s="60"/>
      <c r="BR9" s="60"/>
      <c r="BS9" s="60"/>
      <c r="BT9" s="60"/>
      <c r="BV9" s="60" t="s">
        <v>180</v>
      </c>
      <c r="BW9" s="60"/>
      <c r="BX9" s="60"/>
      <c r="BY9" s="60"/>
      <c r="BZ9" s="60"/>
      <c r="CA9" s="60"/>
      <c r="CB9" s="60"/>
      <c r="CC9" s="60"/>
      <c r="CD9" s="60"/>
      <c r="CF9" s="60" t="s">
        <v>181</v>
      </c>
      <c r="CG9" s="60"/>
      <c r="CH9" s="60"/>
      <c r="CI9" s="60"/>
    </row>
    <row r="11" spans="1:87" ht="13">
      <c r="G11" s="6" t="s">
        <v>182</v>
      </c>
      <c r="H11" s="6"/>
      <c r="I11" s="6"/>
      <c r="J11" s="6"/>
      <c r="K11" s="6"/>
      <c r="L11" s="6"/>
      <c r="M11" s="6"/>
      <c r="N11" s="6"/>
      <c r="O11" s="6"/>
      <c r="P11" s="6"/>
      <c r="Q11" s="6"/>
      <c r="R11" s="6"/>
      <c r="S11" s="6"/>
      <c r="T11" s="6"/>
      <c r="U11" s="6"/>
      <c r="V11" s="6"/>
      <c r="W11" s="6"/>
      <c r="X11" s="6"/>
      <c r="Y11" s="6"/>
      <c r="Z11" s="6"/>
      <c r="AA11" s="6"/>
      <c r="AB11" s="6"/>
      <c r="AC11" s="6"/>
      <c r="AD11" s="6"/>
      <c r="AE11" s="6"/>
      <c r="AF11" s="6"/>
      <c r="AG11" s="6"/>
      <c r="AH11" s="6"/>
      <c r="AI11" s="6"/>
      <c r="AJ11" s="6"/>
      <c r="AK11" s="6"/>
      <c r="AP11" s="6" t="s">
        <v>183</v>
      </c>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row>
    <row r="12" spans="1:87" ht="13">
      <c r="B12" s="6" t="s">
        <v>184</v>
      </c>
      <c r="C12" s="6" t="s">
        <v>185</v>
      </c>
      <c r="D12" s="6" t="s">
        <v>186</v>
      </c>
      <c r="E12" s="6" t="s">
        <v>187</v>
      </c>
      <c r="F12" s="6" t="s">
        <v>188</v>
      </c>
      <c r="G12" s="26">
        <v>2020</v>
      </c>
      <c r="H12" s="26">
        <f>G12+1</f>
        <v>2021</v>
      </c>
      <c r="I12" s="26">
        <f t="shared" ref="I12" si="0">H12+1</f>
        <v>2022</v>
      </c>
      <c r="J12" s="26">
        <f t="shared" ref="J12" si="1">I12+1</f>
        <v>2023</v>
      </c>
      <c r="K12" s="26">
        <f t="shared" ref="K12" si="2">J12+1</f>
        <v>2024</v>
      </c>
      <c r="L12" s="26">
        <f t="shared" ref="L12" si="3">K12+1</f>
        <v>2025</v>
      </c>
      <c r="M12" s="26">
        <f t="shared" ref="M12" si="4">L12+1</f>
        <v>2026</v>
      </c>
      <c r="N12" s="26">
        <f t="shared" ref="N12" si="5">M12+1</f>
        <v>2027</v>
      </c>
      <c r="O12" s="26">
        <f t="shared" ref="O12" si="6">N12+1</f>
        <v>2028</v>
      </c>
      <c r="P12" s="26">
        <f t="shared" ref="P12" si="7">O12+1</f>
        <v>2029</v>
      </c>
      <c r="Q12" s="26">
        <f t="shared" ref="Q12" si="8">P12+1</f>
        <v>2030</v>
      </c>
      <c r="R12" s="26">
        <f t="shared" ref="R12" si="9">Q12+1</f>
        <v>2031</v>
      </c>
      <c r="S12" s="26">
        <f t="shared" ref="S12" si="10">R12+1</f>
        <v>2032</v>
      </c>
      <c r="T12" s="26">
        <f t="shared" ref="T12" si="11">S12+1</f>
        <v>2033</v>
      </c>
      <c r="U12" s="26">
        <f t="shared" ref="U12" si="12">T12+1</f>
        <v>2034</v>
      </c>
      <c r="V12" s="26">
        <f t="shared" ref="V12" si="13">U12+1</f>
        <v>2035</v>
      </c>
      <c r="W12" s="26">
        <f t="shared" ref="W12" si="14">V12+1</f>
        <v>2036</v>
      </c>
      <c r="X12" s="26">
        <f t="shared" ref="X12" si="15">W12+1</f>
        <v>2037</v>
      </c>
      <c r="Y12" s="26">
        <f t="shared" ref="Y12" si="16">X12+1</f>
        <v>2038</v>
      </c>
      <c r="Z12" s="26">
        <f t="shared" ref="Z12" si="17">Y12+1</f>
        <v>2039</v>
      </c>
      <c r="AA12" s="26">
        <f t="shared" ref="AA12" si="18">Z12+1</f>
        <v>2040</v>
      </c>
      <c r="AB12" s="26">
        <f t="shared" ref="AB12" si="19">AA12+1</f>
        <v>2041</v>
      </c>
      <c r="AC12" s="26">
        <f t="shared" ref="AC12" si="20">AB12+1</f>
        <v>2042</v>
      </c>
      <c r="AD12" s="26">
        <f t="shared" ref="AD12" si="21">AC12+1</f>
        <v>2043</v>
      </c>
      <c r="AE12" s="26">
        <f t="shared" ref="AE12" si="22">AD12+1</f>
        <v>2044</v>
      </c>
      <c r="AF12" s="26">
        <f t="shared" ref="AF12" si="23">AE12+1</f>
        <v>2045</v>
      </c>
      <c r="AG12" s="26">
        <f t="shared" ref="AG12" si="24">AF12+1</f>
        <v>2046</v>
      </c>
      <c r="AH12" s="26">
        <f t="shared" ref="AH12" si="25">AG12+1</f>
        <v>2047</v>
      </c>
      <c r="AI12" s="26">
        <f t="shared" ref="AI12" si="26">AH12+1</f>
        <v>2048</v>
      </c>
      <c r="AJ12" s="26">
        <f t="shared" ref="AJ12" si="27">AI12+1</f>
        <v>2049</v>
      </c>
      <c r="AK12" s="26">
        <f t="shared" ref="AK12" si="28">AJ12+1</f>
        <v>2050</v>
      </c>
      <c r="AM12" s="92" t="s">
        <v>184</v>
      </c>
      <c r="AN12" s="6" t="s">
        <v>185</v>
      </c>
      <c r="AO12" s="6" t="s">
        <v>189</v>
      </c>
      <c r="AP12" s="26">
        <v>2020</v>
      </c>
      <c r="AQ12" s="26">
        <f>AP12+1</f>
        <v>2021</v>
      </c>
      <c r="AR12" s="26">
        <f t="shared" ref="AR12:BT12" si="29">AQ12+1</f>
        <v>2022</v>
      </c>
      <c r="AS12" s="26">
        <f t="shared" si="29"/>
        <v>2023</v>
      </c>
      <c r="AT12" s="26">
        <f t="shared" si="29"/>
        <v>2024</v>
      </c>
      <c r="AU12" s="26">
        <f t="shared" si="29"/>
        <v>2025</v>
      </c>
      <c r="AV12" s="26">
        <f t="shared" si="29"/>
        <v>2026</v>
      </c>
      <c r="AW12" s="26">
        <f t="shared" si="29"/>
        <v>2027</v>
      </c>
      <c r="AX12" s="26">
        <f t="shared" si="29"/>
        <v>2028</v>
      </c>
      <c r="AY12" s="26">
        <f t="shared" si="29"/>
        <v>2029</v>
      </c>
      <c r="AZ12" s="26">
        <f t="shared" si="29"/>
        <v>2030</v>
      </c>
      <c r="BA12" s="26">
        <f t="shared" si="29"/>
        <v>2031</v>
      </c>
      <c r="BB12" s="26">
        <f t="shared" si="29"/>
        <v>2032</v>
      </c>
      <c r="BC12" s="26">
        <f t="shared" si="29"/>
        <v>2033</v>
      </c>
      <c r="BD12" s="26">
        <f t="shared" si="29"/>
        <v>2034</v>
      </c>
      <c r="BE12" s="26">
        <f t="shared" si="29"/>
        <v>2035</v>
      </c>
      <c r="BF12" s="26">
        <f t="shared" si="29"/>
        <v>2036</v>
      </c>
      <c r="BG12" s="26">
        <f t="shared" si="29"/>
        <v>2037</v>
      </c>
      <c r="BH12" s="26">
        <f t="shared" si="29"/>
        <v>2038</v>
      </c>
      <c r="BI12" s="26">
        <f t="shared" si="29"/>
        <v>2039</v>
      </c>
      <c r="BJ12" s="26">
        <f t="shared" si="29"/>
        <v>2040</v>
      </c>
      <c r="BK12" s="26">
        <f t="shared" si="29"/>
        <v>2041</v>
      </c>
      <c r="BL12" s="26">
        <f t="shared" si="29"/>
        <v>2042</v>
      </c>
      <c r="BM12" s="26">
        <f t="shared" si="29"/>
        <v>2043</v>
      </c>
      <c r="BN12" s="26">
        <f t="shared" si="29"/>
        <v>2044</v>
      </c>
      <c r="BO12" s="26">
        <f t="shared" si="29"/>
        <v>2045</v>
      </c>
      <c r="BP12" s="26">
        <f t="shared" si="29"/>
        <v>2046</v>
      </c>
      <c r="BQ12" s="26">
        <f t="shared" si="29"/>
        <v>2047</v>
      </c>
      <c r="BR12" s="26">
        <f t="shared" si="29"/>
        <v>2048</v>
      </c>
      <c r="BS12" s="26">
        <f t="shared" si="29"/>
        <v>2049</v>
      </c>
      <c r="BT12" s="26">
        <f t="shared" si="29"/>
        <v>2050</v>
      </c>
      <c r="BV12" s="6" t="s">
        <v>184</v>
      </c>
      <c r="BW12" s="6" t="s">
        <v>185</v>
      </c>
      <c r="BX12" s="6" t="s">
        <v>186</v>
      </c>
      <c r="BY12" s="6" t="s">
        <v>187</v>
      </c>
      <c r="BZ12" s="6" t="s">
        <v>188</v>
      </c>
      <c r="CA12" s="6" t="s">
        <v>190</v>
      </c>
      <c r="CB12" s="6" t="s">
        <v>191</v>
      </c>
      <c r="CC12" s="6" t="s">
        <v>192</v>
      </c>
      <c r="CD12" s="6" t="s">
        <v>182</v>
      </c>
      <c r="CF12" s="6" t="s">
        <v>184</v>
      </c>
      <c r="CG12" s="6" t="s">
        <v>185</v>
      </c>
      <c r="CH12" s="6" t="s">
        <v>189</v>
      </c>
      <c r="CI12" s="6" t="s">
        <v>183</v>
      </c>
    </row>
    <row r="13" spans="1:87">
      <c r="B13" s="3"/>
      <c r="C13" s="3"/>
      <c r="D13" s="19"/>
      <c r="E13" s="3"/>
      <c r="F13" s="3"/>
      <c r="G13" s="44"/>
      <c r="H13" s="44"/>
      <c r="I13" s="44"/>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M13" s="19"/>
      <c r="AN13" s="19"/>
      <c r="AO13" s="21"/>
      <c r="AP13" s="25"/>
      <c r="AQ13" s="25"/>
      <c r="AR13" s="25"/>
      <c r="AS13" s="25"/>
      <c r="AT13" s="25"/>
      <c r="AU13" s="25"/>
      <c r="AV13" s="25"/>
      <c r="AW13" s="25"/>
      <c r="AX13" s="25"/>
      <c r="AY13" s="25"/>
      <c r="AZ13" s="25"/>
      <c r="BA13" s="25"/>
      <c r="BB13" s="25"/>
      <c r="BC13" s="25"/>
      <c r="BD13" s="25"/>
      <c r="BE13" s="25"/>
      <c r="BF13" s="25"/>
      <c r="BG13" s="25"/>
      <c r="BH13" s="25"/>
      <c r="BI13" s="25"/>
      <c r="BJ13" s="25"/>
      <c r="BK13" s="25"/>
      <c r="BL13" s="25"/>
      <c r="BM13" s="25"/>
      <c r="BN13" s="25"/>
      <c r="BO13" s="25"/>
      <c r="BP13" s="25"/>
      <c r="BQ13" s="25"/>
      <c r="BR13" s="25"/>
      <c r="BS13" s="25"/>
      <c r="BT13" s="25"/>
      <c r="BV13" s="3"/>
      <c r="BW13" s="3"/>
      <c r="BX13" s="19"/>
      <c r="BY13" s="3"/>
      <c r="BZ13" s="3"/>
      <c r="CA13" s="3"/>
      <c r="CB13" s="19"/>
      <c r="CC13" s="3"/>
      <c r="CD13" s="44"/>
      <c r="CF13" s="19"/>
      <c r="CG13" s="19"/>
      <c r="CH13" s="21"/>
      <c r="CI13" s="25"/>
    </row>
    <row r="14" spans="1:87">
      <c r="B14" s="3"/>
      <c r="C14" s="3"/>
      <c r="D14" s="19"/>
      <c r="E14" s="3"/>
      <c r="F14" s="3"/>
      <c r="G14" s="44"/>
      <c r="H14" s="44"/>
      <c r="I14" s="44"/>
      <c r="J14" s="44"/>
      <c r="K14" s="44"/>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M14" s="19"/>
      <c r="AN14" s="19"/>
      <c r="AO14" s="21"/>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V14" s="3"/>
      <c r="BW14" s="3"/>
      <c r="BX14" s="19"/>
      <c r="BY14" s="3"/>
      <c r="BZ14" s="3"/>
      <c r="CA14" s="3"/>
      <c r="CB14" s="19"/>
      <c r="CC14" s="3"/>
      <c r="CD14" s="44"/>
      <c r="CF14" s="19"/>
      <c r="CG14" s="19"/>
      <c r="CH14" s="21"/>
      <c r="CI14" s="25"/>
    </row>
    <row r="15" spans="1:87">
      <c r="B15" s="3"/>
      <c r="C15" s="3"/>
      <c r="D15" s="19"/>
      <c r="E15" s="3"/>
      <c r="F15" s="3"/>
      <c r="G15" s="44"/>
      <c r="H15" s="44"/>
      <c r="I15" s="44"/>
      <c r="J15" s="44"/>
      <c r="K15" s="44"/>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M15" s="19"/>
      <c r="AN15" s="19"/>
      <c r="AO15" s="21"/>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c r="BR15" s="25"/>
      <c r="BS15" s="25"/>
      <c r="BT15" s="25"/>
      <c r="BV15" s="3"/>
      <c r="BW15" s="3"/>
      <c r="BX15" s="19"/>
      <c r="BY15" s="3"/>
      <c r="BZ15" s="3"/>
      <c r="CA15" s="3"/>
      <c r="CB15" s="19"/>
      <c r="CC15" s="3"/>
      <c r="CD15" s="44"/>
      <c r="CF15" s="19"/>
      <c r="CG15" s="19"/>
      <c r="CH15" s="21"/>
      <c r="CI15" s="25"/>
    </row>
    <row r="16" spans="1:87">
      <c r="B16" s="3"/>
      <c r="C16" s="3"/>
      <c r="D16" s="19"/>
      <c r="E16" s="3"/>
      <c r="F16" s="3"/>
      <c r="G16" s="44"/>
      <c r="H16" s="44"/>
      <c r="I16" s="44"/>
      <c r="J16" s="44"/>
      <c r="K16" s="4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M16" s="19"/>
      <c r="AN16" s="19"/>
      <c r="AO16" s="21"/>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V16" s="3"/>
      <c r="BW16" s="3"/>
      <c r="BX16" s="19"/>
      <c r="BY16" s="3"/>
      <c r="BZ16" s="3"/>
      <c r="CA16" s="3"/>
      <c r="CB16" s="19"/>
      <c r="CC16" s="3"/>
      <c r="CD16" s="44"/>
      <c r="CF16" s="19"/>
      <c r="CG16" s="19"/>
      <c r="CH16" s="21"/>
      <c r="CI16" s="25"/>
    </row>
    <row r="17" spans="2:87">
      <c r="B17" s="3"/>
      <c r="C17" s="3"/>
      <c r="D17" s="19"/>
      <c r="E17" s="3"/>
      <c r="F17" s="3"/>
      <c r="G17" s="44"/>
      <c r="H17" s="44"/>
      <c r="I17" s="44"/>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M17" s="19"/>
      <c r="AN17" s="19"/>
      <c r="AO17" s="21"/>
      <c r="AP17" s="25"/>
      <c r="AQ17" s="25"/>
      <c r="AR17" s="25"/>
      <c r="AS17" s="25"/>
      <c r="AT17" s="25"/>
      <c r="AU17" s="25"/>
      <c r="AV17" s="25"/>
      <c r="AW17" s="25"/>
      <c r="AX17" s="25"/>
      <c r="AY17" s="25"/>
      <c r="AZ17" s="25"/>
      <c r="BA17" s="25"/>
      <c r="BB17" s="25"/>
      <c r="BC17" s="25"/>
      <c r="BD17" s="25"/>
      <c r="BE17" s="25"/>
      <c r="BF17" s="25"/>
      <c r="BG17" s="25"/>
      <c r="BH17" s="25"/>
      <c r="BI17" s="25"/>
      <c r="BJ17" s="25"/>
      <c r="BK17" s="25"/>
      <c r="BL17" s="25"/>
      <c r="BM17" s="25"/>
      <c r="BN17" s="25"/>
      <c r="BO17" s="25"/>
      <c r="BP17" s="25"/>
      <c r="BQ17" s="25"/>
      <c r="BR17" s="25"/>
      <c r="BS17" s="25"/>
      <c r="BT17" s="25"/>
      <c r="BV17" s="3"/>
      <c r="BW17" s="3"/>
      <c r="BX17" s="19"/>
      <c r="BY17" s="3"/>
      <c r="BZ17" s="3"/>
      <c r="CA17" s="3"/>
      <c r="CB17" s="19"/>
      <c r="CC17" s="3"/>
      <c r="CD17" s="44"/>
      <c r="CF17" s="19"/>
      <c r="CG17" s="19"/>
      <c r="CH17" s="21"/>
      <c r="CI17" s="25"/>
    </row>
    <row r="18" spans="2:87">
      <c r="B18" s="3"/>
      <c r="C18" s="3"/>
      <c r="D18" s="19"/>
      <c r="E18" s="3"/>
      <c r="F18" s="3"/>
      <c r="G18" s="44"/>
      <c r="H18" s="44"/>
      <c r="I18" s="44"/>
      <c r="J18" s="44"/>
      <c r="K18" s="4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M18" s="19"/>
      <c r="AN18" s="19"/>
      <c r="AO18" s="21"/>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V18" s="3"/>
      <c r="BW18" s="3"/>
      <c r="BX18" s="19"/>
      <c r="BY18" s="3"/>
      <c r="BZ18" s="3"/>
      <c r="CA18" s="3"/>
      <c r="CB18" s="19"/>
      <c r="CC18" s="3"/>
      <c r="CD18" s="44"/>
      <c r="CF18" s="19"/>
      <c r="CG18" s="19"/>
      <c r="CH18" s="21"/>
      <c r="CI18" s="25"/>
    </row>
    <row r="19" spans="2:87">
      <c r="B19" s="3"/>
      <c r="C19" s="3"/>
      <c r="D19" s="19"/>
      <c r="E19" s="3"/>
      <c r="F19" s="3"/>
      <c r="G19" s="44"/>
      <c r="H19" s="44"/>
      <c r="I19" s="44"/>
      <c r="J19" s="44"/>
      <c r="K19" s="4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M19" s="19"/>
      <c r="AN19" s="19"/>
      <c r="AO19" s="21"/>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V19" s="3"/>
      <c r="BW19" s="3"/>
      <c r="BX19" s="19"/>
      <c r="BY19" s="3"/>
      <c r="BZ19" s="3"/>
      <c r="CA19" s="3"/>
      <c r="CB19" s="19"/>
      <c r="CC19" s="3"/>
      <c r="CD19" s="44"/>
      <c r="CF19" s="19"/>
      <c r="CG19" s="19"/>
      <c r="CH19" s="21"/>
      <c r="CI19" s="25"/>
    </row>
    <row r="20" spans="2:87">
      <c r="B20" s="3"/>
      <c r="C20" s="3"/>
      <c r="D20" s="19"/>
      <c r="E20" s="3"/>
      <c r="F20" s="3"/>
      <c r="G20" s="44"/>
      <c r="H20" s="44"/>
      <c r="I20" s="44"/>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M20" s="19"/>
      <c r="AN20" s="19"/>
      <c r="AO20" s="21"/>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c r="BP20" s="25"/>
      <c r="BQ20" s="25"/>
      <c r="BR20" s="25"/>
      <c r="BS20" s="25"/>
      <c r="BT20" s="25"/>
      <c r="BV20" s="3"/>
      <c r="BW20" s="3"/>
      <c r="BX20" s="19"/>
      <c r="BY20" s="3"/>
      <c r="BZ20" s="3"/>
      <c r="CA20" s="3"/>
      <c r="CB20" s="19"/>
      <c r="CC20" s="3"/>
      <c r="CD20" s="44"/>
      <c r="CF20" s="19"/>
      <c r="CG20" s="19"/>
      <c r="CH20" s="21"/>
      <c r="CI20" s="25"/>
    </row>
    <row r="21" spans="2:87">
      <c r="B21" s="3"/>
      <c r="C21" s="3"/>
      <c r="D21" s="19"/>
      <c r="E21" s="3"/>
      <c r="F21" s="3"/>
      <c r="G21" s="44"/>
      <c r="H21" s="44"/>
      <c r="I21" s="44"/>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M21" s="19"/>
      <c r="AN21" s="19"/>
      <c r="AO21" s="21"/>
      <c r="AP21" s="25"/>
      <c r="AQ21" s="25"/>
      <c r="AR21" s="25"/>
      <c r="AS21" s="25"/>
      <c r="AT21" s="25"/>
      <c r="AU21" s="25"/>
      <c r="AV21" s="25"/>
      <c r="AW21" s="25"/>
      <c r="AX21" s="25"/>
      <c r="AY21" s="25"/>
      <c r="AZ21" s="25"/>
      <c r="BA21" s="25"/>
      <c r="BB21" s="25"/>
      <c r="BC21" s="25"/>
      <c r="BD21" s="25"/>
      <c r="BE21" s="25"/>
      <c r="BF21" s="25"/>
      <c r="BG21" s="25"/>
      <c r="BH21" s="25"/>
      <c r="BI21" s="25"/>
      <c r="BJ21" s="25"/>
      <c r="BK21" s="25"/>
      <c r="BL21" s="25"/>
      <c r="BM21" s="25"/>
      <c r="BN21" s="25"/>
      <c r="BO21" s="25"/>
      <c r="BP21" s="25"/>
      <c r="BQ21" s="25"/>
      <c r="BR21" s="25"/>
      <c r="BS21" s="25"/>
      <c r="BT21" s="25"/>
      <c r="BV21" s="3"/>
      <c r="BW21" s="3"/>
      <c r="BX21" s="19"/>
      <c r="BY21" s="3"/>
      <c r="BZ21" s="3"/>
      <c r="CA21" s="3"/>
      <c r="CB21" s="19"/>
      <c r="CC21" s="3"/>
      <c r="CD21" s="44"/>
      <c r="CF21" s="19"/>
      <c r="CG21" s="19"/>
      <c r="CH21" s="21"/>
      <c r="CI21" s="25"/>
    </row>
    <row r="22" spans="2:87">
      <c r="B22" s="3"/>
      <c r="C22" s="3"/>
      <c r="D22" s="19"/>
      <c r="E22" s="3"/>
      <c r="F22" s="3"/>
      <c r="G22" s="44"/>
      <c r="H22" s="44"/>
      <c r="I22" s="44"/>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M22" s="19"/>
      <c r="AN22" s="19"/>
      <c r="AO22" s="21"/>
      <c r="AP22" s="25"/>
      <c r="AQ22" s="25"/>
      <c r="AR22" s="25"/>
      <c r="AS22" s="25"/>
      <c r="AT22" s="25"/>
      <c r="AU22" s="25"/>
      <c r="AV22" s="25"/>
      <c r="AW22" s="25"/>
      <c r="AX22" s="25"/>
      <c r="AY22" s="25"/>
      <c r="AZ22" s="25"/>
      <c r="BA22" s="25"/>
      <c r="BB22" s="25"/>
      <c r="BC22" s="25"/>
      <c r="BD22" s="25"/>
      <c r="BE22" s="25"/>
      <c r="BF22" s="25"/>
      <c r="BG22" s="25"/>
      <c r="BH22" s="25"/>
      <c r="BI22" s="25"/>
      <c r="BJ22" s="25"/>
      <c r="BK22" s="25"/>
      <c r="BL22" s="25"/>
      <c r="BM22" s="25"/>
      <c r="BN22" s="25"/>
      <c r="BO22" s="25"/>
      <c r="BP22" s="25"/>
      <c r="BQ22" s="25"/>
      <c r="BR22" s="25"/>
      <c r="BS22" s="25"/>
      <c r="BT22" s="25"/>
      <c r="BV22" s="3"/>
      <c r="BW22" s="3"/>
      <c r="BX22" s="19"/>
      <c r="BY22" s="3"/>
      <c r="BZ22" s="3"/>
      <c r="CA22" s="3"/>
      <c r="CB22" s="19"/>
      <c r="CC22" s="3"/>
      <c r="CD22" s="44"/>
      <c r="CF22" s="19"/>
      <c r="CG22" s="19"/>
      <c r="CH22" s="21"/>
      <c r="CI22" s="25"/>
    </row>
    <row r="23" spans="2:87">
      <c r="B23" s="3"/>
      <c r="C23" s="3"/>
      <c r="D23" s="19"/>
      <c r="E23" s="3"/>
      <c r="F23" s="3"/>
      <c r="G23" s="44"/>
      <c r="H23" s="44"/>
      <c r="I23" s="44"/>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M23" s="19"/>
      <c r="AN23" s="19"/>
      <c r="AO23" s="21"/>
      <c r="AP23" s="25"/>
      <c r="AQ23" s="25"/>
      <c r="AR23" s="25"/>
      <c r="AS23" s="25"/>
      <c r="AT23" s="25"/>
      <c r="AU23" s="25"/>
      <c r="AV23" s="25"/>
      <c r="AW23" s="25"/>
      <c r="AX23" s="25"/>
      <c r="AY23" s="25"/>
      <c r="AZ23" s="25"/>
      <c r="BA23" s="25"/>
      <c r="BB23" s="25"/>
      <c r="BC23" s="25"/>
      <c r="BD23" s="25"/>
      <c r="BE23" s="25"/>
      <c r="BF23" s="25"/>
      <c r="BG23" s="25"/>
      <c r="BH23" s="25"/>
      <c r="BI23" s="25"/>
      <c r="BJ23" s="25"/>
      <c r="BK23" s="25"/>
      <c r="BL23" s="25"/>
      <c r="BM23" s="25"/>
      <c r="BN23" s="25"/>
      <c r="BO23" s="25"/>
      <c r="BP23" s="25"/>
      <c r="BQ23" s="25"/>
      <c r="BR23" s="25"/>
      <c r="BS23" s="25"/>
      <c r="BT23" s="25"/>
      <c r="BV23" s="3"/>
      <c r="BW23" s="3"/>
      <c r="BX23" s="19"/>
      <c r="BY23" s="3"/>
      <c r="BZ23" s="3"/>
      <c r="CA23" s="3"/>
      <c r="CB23" s="19"/>
      <c r="CC23" s="3"/>
      <c r="CD23" s="44"/>
      <c r="CF23" s="19"/>
      <c r="CG23" s="19"/>
      <c r="CH23" s="21"/>
      <c r="CI23" s="25"/>
    </row>
    <row r="24" spans="2:87">
      <c r="B24" s="3"/>
      <c r="C24" s="3"/>
      <c r="D24" s="19"/>
      <c r="E24" s="3"/>
      <c r="F24" s="3"/>
      <c r="G24" s="44"/>
      <c r="H24" s="44"/>
      <c r="I24" s="44"/>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M24" s="19"/>
      <c r="AN24" s="19"/>
      <c r="AO24" s="21"/>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V24" s="3"/>
      <c r="BW24" s="3"/>
      <c r="BX24" s="19"/>
      <c r="BY24" s="3"/>
      <c r="BZ24" s="3"/>
      <c r="CA24" s="3"/>
      <c r="CB24" s="19"/>
      <c r="CC24" s="3"/>
      <c r="CD24" s="44"/>
      <c r="CF24" s="19"/>
      <c r="CG24" s="19"/>
      <c r="CH24" s="21"/>
      <c r="CI24" s="25"/>
    </row>
    <row r="25" spans="2:87">
      <c r="B25" s="3"/>
      <c r="C25" s="3"/>
      <c r="D25" s="19"/>
      <c r="E25" s="3"/>
      <c r="F25" s="3"/>
      <c r="G25" s="44"/>
      <c r="H25" s="44"/>
      <c r="I25" s="44"/>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M25" s="19"/>
      <c r="AN25" s="19"/>
      <c r="AO25" s="21"/>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c r="BR25" s="25"/>
      <c r="BS25" s="25"/>
      <c r="BT25" s="25"/>
      <c r="BV25" s="3"/>
      <c r="BW25" s="3"/>
      <c r="BX25" s="19"/>
      <c r="BY25" s="3"/>
      <c r="BZ25" s="3"/>
      <c r="CA25" s="3"/>
      <c r="CB25" s="19"/>
      <c r="CC25" s="3"/>
      <c r="CD25" s="44"/>
      <c r="CF25" s="19"/>
      <c r="CG25" s="19"/>
      <c r="CH25" s="21"/>
      <c r="CI25" s="25"/>
    </row>
    <row r="26" spans="2:87">
      <c r="B26" s="3"/>
      <c r="C26" s="3"/>
      <c r="D26" s="19"/>
      <c r="E26" s="3"/>
      <c r="F26" s="3"/>
      <c r="G26" s="44"/>
      <c r="H26" s="44"/>
      <c r="I26" s="44"/>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M26" s="19"/>
      <c r="AN26" s="19"/>
      <c r="AO26" s="21"/>
      <c r="AP26" s="25"/>
      <c r="AQ26" s="25"/>
      <c r="AR26" s="25"/>
      <c r="AS26" s="25"/>
      <c r="AT26" s="25"/>
      <c r="AU26" s="25"/>
      <c r="AV26" s="25"/>
      <c r="AW26" s="25"/>
      <c r="AX26" s="25"/>
      <c r="AY26" s="25"/>
      <c r="AZ26" s="25"/>
      <c r="BA26" s="25"/>
      <c r="BB26" s="25"/>
      <c r="BC26" s="25"/>
      <c r="BD26" s="25"/>
      <c r="BE26" s="25"/>
      <c r="BF26" s="25"/>
      <c r="BG26" s="25"/>
      <c r="BH26" s="25"/>
      <c r="BI26" s="25"/>
      <c r="BJ26" s="25"/>
      <c r="BK26" s="25"/>
      <c r="BL26" s="25"/>
      <c r="BM26" s="25"/>
      <c r="BN26" s="25"/>
      <c r="BO26" s="25"/>
      <c r="BP26" s="25"/>
      <c r="BQ26" s="25"/>
      <c r="BR26" s="25"/>
      <c r="BS26" s="25"/>
      <c r="BT26" s="25"/>
      <c r="BV26" s="3"/>
      <c r="BW26" s="3"/>
      <c r="BX26" s="19"/>
      <c r="BY26" s="3"/>
      <c r="BZ26" s="3"/>
      <c r="CA26" s="3"/>
      <c r="CB26" s="19"/>
      <c r="CC26" s="3"/>
      <c r="CD26" s="44"/>
      <c r="CF26" s="19"/>
      <c r="CG26" s="19"/>
      <c r="CH26" s="21"/>
      <c r="CI26" s="25"/>
    </row>
    <row r="27" spans="2:87">
      <c r="B27" s="3"/>
      <c r="C27" s="3"/>
      <c r="D27" s="19"/>
      <c r="E27" s="3"/>
      <c r="F27" s="3"/>
      <c r="G27" s="44"/>
      <c r="H27" s="44"/>
      <c r="I27" s="44"/>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M27" s="19"/>
      <c r="AN27" s="19"/>
      <c r="AO27" s="21"/>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c r="BR27" s="25"/>
      <c r="BS27" s="25"/>
      <c r="BT27" s="25"/>
      <c r="BV27" s="3"/>
      <c r="BW27" s="3"/>
      <c r="BX27" s="19"/>
      <c r="BY27" s="3"/>
      <c r="BZ27" s="3"/>
      <c r="CA27" s="3"/>
      <c r="CB27" s="19"/>
      <c r="CC27" s="3"/>
      <c r="CD27" s="44"/>
      <c r="CF27" s="19"/>
      <c r="CG27" s="19"/>
      <c r="CH27" s="21"/>
      <c r="CI27" s="25"/>
    </row>
    <row r="28" spans="2:87">
      <c r="B28" s="3"/>
      <c r="C28" s="3"/>
      <c r="D28" s="19"/>
      <c r="E28" s="3"/>
      <c r="F28" s="3"/>
      <c r="G28" s="44"/>
      <c r="H28" s="44"/>
      <c r="I28" s="44"/>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M28" s="19"/>
      <c r="AN28" s="19"/>
      <c r="AO28" s="21"/>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25"/>
      <c r="BN28" s="25"/>
      <c r="BO28" s="25"/>
      <c r="BP28" s="25"/>
      <c r="BQ28" s="25"/>
      <c r="BR28" s="25"/>
      <c r="BS28" s="25"/>
      <c r="BT28" s="25"/>
      <c r="BV28" s="3"/>
      <c r="BW28" s="3"/>
      <c r="BX28" s="19"/>
      <c r="BY28" s="3"/>
      <c r="BZ28" s="3"/>
      <c r="CA28" s="3"/>
      <c r="CB28" s="19"/>
      <c r="CC28" s="3"/>
      <c r="CD28" s="44"/>
      <c r="CF28" s="19"/>
      <c r="CG28" s="19"/>
      <c r="CH28" s="21"/>
      <c r="CI28" s="25"/>
    </row>
    <row r="29" spans="2:87">
      <c r="B29" s="3"/>
      <c r="C29" s="3"/>
      <c r="D29" s="19"/>
      <c r="E29" s="3"/>
      <c r="F29" s="3"/>
      <c r="G29" s="44"/>
      <c r="H29" s="44"/>
      <c r="I29" s="44"/>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M29" s="19"/>
      <c r="AN29" s="19"/>
      <c r="AO29" s="21"/>
      <c r="AP29" s="25"/>
      <c r="AQ29" s="25"/>
      <c r="AR29" s="25"/>
      <c r="AS29" s="25"/>
      <c r="AT29" s="25"/>
      <c r="AU29" s="25"/>
      <c r="AV29" s="25"/>
      <c r="AW29" s="25"/>
      <c r="AX29" s="25"/>
      <c r="AY29" s="25"/>
      <c r="AZ29" s="25"/>
      <c r="BA29" s="25"/>
      <c r="BB29" s="25"/>
      <c r="BC29" s="25"/>
      <c r="BD29" s="25"/>
      <c r="BE29" s="25"/>
      <c r="BF29" s="25"/>
      <c r="BG29" s="25"/>
      <c r="BH29" s="25"/>
      <c r="BI29" s="25"/>
      <c r="BJ29" s="25"/>
      <c r="BK29" s="25"/>
      <c r="BL29" s="25"/>
      <c r="BM29" s="25"/>
      <c r="BN29" s="25"/>
      <c r="BO29" s="25"/>
      <c r="BP29" s="25"/>
      <c r="BQ29" s="25"/>
      <c r="BR29" s="25"/>
      <c r="BS29" s="25"/>
      <c r="BT29" s="25"/>
      <c r="BV29" s="3"/>
      <c r="BW29" s="3"/>
      <c r="BX29" s="19"/>
      <c r="BY29" s="3"/>
      <c r="BZ29" s="3"/>
      <c r="CA29" s="3"/>
      <c r="CB29" s="19"/>
      <c r="CC29" s="3"/>
      <c r="CD29" s="44"/>
      <c r="CF29" s="19"/>
      <c r="CG29" s="19"/>
      <c r="CH29" s="21"/>
      <c r="CI29" s="25"/>
    </row>
    <row r="30" spans="2:87">
      <c r="B30" s="3"/>
      <c r="C30" s="3"/>
      <c r="D30" s="19"/>
      <c r="E30" s="3"/>
      <c r="F30" s="3"/>
      <c r="G30" s="44"/>
      <c r="H30" s="44"/>
      <c r="I30" s="44"/>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M30" s="19"/>
      <c r="AN30" s="19"/>
      <c r="AO30" s="21"/>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c r="BR30" s="25"/>
      <c r="BS30" s="25"/>
      <c r="BT30" s="25"/>
      <c r="BV30" s="3"/>
      <c r="BW30" s="3"/>
      <c r="BX30" s="19"/>
      <c r="BY30" s="3"/>
      <c r="BZ30" s="3"/>
      <c r="CA30" s="3"/>
      <c r="CB30" s="19"/>
      <c r="CC30" s="3"/>
      <c r="CD30" s="44"/>
      <c r="CF30" s="19"/>
      <c r="CG30" s="19"/>
      <c r="CH30" s="21"/>
      <c r="CI30" s="25"/>
    </row>
    <row r="31" spans="2:87">
      <c r="B31" s="3"/>
      <c r="C31" s="3"/>
      <c r="D31" s="19"/>
      <c r="E31" s="3"/>
      <c r="F31" s="3"/>
      <c r="G31" s="4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M31" s="19"/>
      <c r="AN31" s="19"/>
      <c r="AO31" s="21"/>
      <c r="AP31" s="25"/>
      <c r="AQ31" s="25"/>
      <c r="AR31" s="25"/>
      <c r="AS31" s="25"/>
      <c r="AT31" s="25"/>
      <c r="AU31" s="25"/>
      <c r="AV31" s="25"/>
      <c r="AW31" s="25"/>
      <c r="AX31" s="25"/>
      <c r="AY31" s="25"/>
      <c r="AZ31" s="25"/>
      <c r="BA31" s="25"/>
      <c r="BB31" s="25"/>
      <c r="BC31" s="25"/>
      <c r="BD31" s="25"/>
      <c r="BE31" s="25"/>
      <c r="BF31" s="25"/>
      <c r="BG31" s="25"/>
      <c r="BH31" s="25"/>
      <c r="BI31" s="25"/>
      <c r="BJ31" s="25"/>
      <c r="BK31" s="25"/>
      <c r="BL31" s="25"/>
      <c r="BM31" s="25"/>
      <c r="BN31" s="25"/>
      <c r="BO31" s="25"/>
      <c r="BP31" s="25"/>
      <c r="BQ31" s="25"/>
      <c r="BR31" s="25"/>
      <c r="BS31" s="25"/>
      <c r="BT31" s="25"/>
      <c r="BV31" s="3"/>
      <c r="BW31" s="3"/>
      <c r="BX31" s="19"/>
      <c r="BY31" s="3"/>
      <c r="BZ31" s="3"/>
      <c r="CA31" s="3"/>
      <c r="CB31" s="19"/>
      <c r="CC31" s="3"/>
      <c r="CD31" s="44"/>
      <c r="CF31" s="19"/>
      <c r="CG31" s="19"/>
      <c r="CH31" s="21"/>
      <c r="CI31" s="25"/>
    </row>
    <row r="32" spans="2:87">
      <c r="B32" s="3"/>
      <c r="C32" s="3"/>
      <c r="D32" s="19"/>
      <c r="E32" s="3"/>
      <c r="F32" s="3"/>
      <c r="G32" s="44"/>
      <c r="H32" s="44"/>
      <c r="I32" s="44"/>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M32" s="19"/>
      <c r="AN32" s="19"/>
      <c r="AO32" s="21"/>
      <c r="AP32" s="25"/>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N32" s="25"/>
      <c r="BO32" s="25"/>
      <c r="BP32" s="25"/>
      <c r="BQ32" s="25"/>
      <c r="BR32" s="25"/>
      <c r="BS32" s="25"/>
      <c r="BT32" s="25"/>
      <c r="BV32" s="3"/>
      <c r="BW32" s="3"/>
      <c r="BX32" s="19"/>
      <c r="BY32" s="3"/>
      <c r="BZ32" s="3"/>
      <c r="CA32" s="3"/>
      <c r="CB32" s="19"/>
      <c r="CC32" s="3"/>
      <c r="CD32" s="44"/>
      <c r="CF32" s="19"/>
      <c r="CG32" s="19"/>
      <c r="CH32" s="21"/>
      <c r="CI32" s="25"/>
    </row>
    <row r="33" spans="2:87">
      <c r="B33" s="3"/>
      <c r="C33" s="3"/>
      <c r="D33" s="19"/>
      <c r="E33" s="3"/>
      <c r="F33" s="3"/>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M33" s="19"/>
      <c r="AN33" s="19"/>
      <c r="AO33" s="21"/>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c r="BP33" s="25"/>
      <c r="BQ33" s="25"/>
      <c r="BR33" s="25"/>
      <c r="BS33" s="25"/>
      <c r="BT33" s="25"/>
      <c r="BV33" s="3"/>
      <c r="BW33" s="3"/>
      <c r="BX33" s="19"/>
      <c r="BY33" s="3"/>
      <c r="BZ33" s="3"/>
      <c r="CA33" s="3"/>
      <c r="CB33" s="19"/>
      <c r="CC33" s="3"/>
      <c r="CD33" s="44"/>
      <c r="CF33" s="19"/>
      <c r="CG33" s="19"/>
      <c r="CH33" s="21"/>
      <c r="CI33" s="25"/>
    </row>
    <row r="34" spans="2:87">
      <c r="B34" s="3"/>
      <c r="C34" s="3"/>
      <c r="D34" s="19"/>
      <c r="E34" s="3"/>
      <c r="F34" s="3"/>
      <c r="G34" s="44"/>
      <c r="H34" s="44"/>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M34" s="19"/>
      <c r="AN34" s="19"/>
      <c r="AO34" s="21"/>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c r="BR34" s="25"/>
      <c r="BS34" s="25"/>
      <c r="BT34" s="25"/>
      <c r="BV34" s="3"/>
      <c r="BW34" s="3"/>
      <c r="BX34" s="19"/>
      <c r="BY34" s="3"/>
      <c r="BZ34" s="3"/>
      <c r="CA34" s="3"/>
      <c r="CB34" s="19"/>
      <c r="CC34" s="3"/>
      <c r="CD34" s="44"/>
      <c r="CF34" s="19"/>
      <c r="CG34" s="19"/>
      <c r="CH34" s="21"/>
      <c r="CI34" s="25"/>
    </row>
    <row r="35" spans="2:87">
      <c r="B35" s="3"/>
      <c r="C35" s="3"/>
      <c r="D35" s="19"/>
      <c r="E35" s="3"/>
      <c r="F35" s="3"/>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M35" s="19"/>
      <c r="AN35" s="19"/>
      <c r="AO35" s="21"/>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c r="BR35" s="25"/>
      <c r="BS35" s="25"/>
      <c r="BT35" s="25"/>
      <c r="BV35" s="3"/>
      <c r="BW35" s="3"/>
      <c r="BX35" s="19"/>
      <c r="BY35" s="3"/>
      <c r="BZ35" s="3"/>
      <c r="CA35" s="3"/>
      <c r="CB35" s="19"/>
      <c r="CC35" s="3"/>
      <c r="CD35" s="44"/>
      <c r="CF35" s="19"/>
      <c r="CG35" s="19"/>
      <c r="CH35" s="21"/>
      <c r="CI35" s="25"/>
    </row>
    <row r="36" spans="2:87">
      <c r="B36" s="3"/>
      <c r="C36" s="3"/>
      <c r="D36" s="19"/>
      <c r="E36" s="3"/>
      <c r="F36" s="3"/>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M36" s="19"/>
      <c r="AN36" s="19"/>
      <c r="AO36" s="21"/>
      <c r="AP36" s="25"/>
      <c r="AQ36" s="25"/>
      <c r="AR36" s="25"/>
      <c r="AS36" s="25"/>
      <c r="AT36" s="25"/>
      <c r="AU36" s="25"/>
      <c r="AV36" s="25"/>
      <c r="AW36" s="25"/>
      <c r="AX36" s="25"/>
      <c r="AY36" s="25"/>
      <c r="AZ36" s="25"/>
      <c r="BA36" s="25"/>
      <c r="BB36" s="25"/>
      <c r="BC36" s="25"/>
      <c r="BD36" s="25"/>
      <c r="BE36" s="25"/>
      <c r="BF36" s="25"/>
      <c r="BG36" s="25"/>
      <c r="BH36" s="25"/>
      <c r="BI36" s="25"/>
      <c r="BJ36" s="25"/>
      <c r="BK36" s="25"/>
      <c r="BL36" s="25"/>
      <c r="BM36" s="25"/>
      <c r="BN36" s="25"/>
      <c r="BO36" s="25"/>
      <c r="BP36" s="25"/>
      <c r="BQ36" s="25"/>
      <c r="BR36" s="25"/>
      <c r="BS36" s="25"/>
      <c r="BT36" s="25"/>
      <c r="BV36" s="3"/>
      <c r="BW36" s="3"/>
      <c r="BX36" s="19"/>
      <c r="BY36" s="3"/>
      <c r="BZ36" s="3"/>
      <c r="CA36" s="3"/>
      <c r="CB36" s="19"/>
      <c r="CC36" s="3"/>
      <c r="CD36" s="44"/>
      <c r="CF36" s="19"/>
      <c r="CG36" s="19"/>
      <c r="CH36" s="21"/>
      <c r="CI36" s="25"/>
    </row>
    <row r="37" spans="2:87">
      <c r="B37" s="3"/>
      <c r="C37" s="3"/>
      <c r="D37" s="19"/>
      <c r="E37" s="3"/>
      <c r="F37" s="3"/>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M37" s="19"/>
      <c r="AN37" s="19"/>
      <c r="AO37" s="21"/>
      <c r="AP37" s="25"/>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c r="BS37" s="25"/>
      <c r="BT37" s="25"/>
      <c r="BV37" s="3"/>
      <c r="BW37" s="3"/>
      <c r="BX37" s="19"/>
      <c r="BY37" s="3"/>
      <c r="BZ37" s="3"/>
      <c r="CA37" s="3"/>
      <c r="CB37" s="19"/>
      <c r="CC37" s="3"/>
      <c r="CD37" s="44"/>
      <c r="CF37" s="19"/>
      <c r="CG37" s="19"/>
      <c r="CH37" s="21"/>
      <c r="CI37" s="25"/>
    </row>
    <row r="38" spans="2:87">
      <c r="B38" s="3"/>
      <c r="C38" s="3"/>
      <c r="D38" s="19"/>
      <c r="E38" s="3"/>
      <c r="F38" s="3"/>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M38" s="19"/>
      <c r="AN38" s="19"/>
      <c r="AO38" s="21"/>
      <c r="AP38" s="25"/>
      <c r="AQ38" s="25"/>
      <c r="AR38" s="25"/>
      <c r="AS38" s="25"/>
      <c r="AT38" s="25"/>
      <c r="AU38" s="25"/>
      <c r="AV38" s="25"/>
      <c r="AW38" s="25"/>
      <c r="AX38" s="25"/>
      <c r="AY38" s="25"/>
      <c r="AZ38" s="25"/>
      <c r="BA38" s="25"/>
      <c r="BB38" s="25"/>
      <c r="BC38" s="25"/>
      <c r="BD38" s="25"/>
      <c r="BE38" s="25"/>
      <c r="BF38" s="25"/>
      <c r="BG38" s="25"/>
      <c r="BH38" s="25"/>
      <c r="BI38" s="25"/>
      <c r="BJ38" s="25"/>
      <c r="BK38" s="25"/>
      <c r="BL38" s="25"/>
      <c r="BM38" s="25"/>
      <c r="BN38" s="25"/>
      <c r="BO38" s="25"/>
      <c r="BP38" s="25"/>
      <c r="BQ38" s="25"/>
      <c r="BR38" s="25"/>
      <c r="BS38" s="25"/>
      <c r="BT38" s="25"/>
      <c r="BV38" s="3"/>
      <c r="BW38" s="3"/>
      <c r="BX38" s="19"/>
      <c r="BY38" s="3"/>
      <c r="BZ38" s="3"/>
      <c r="CA38" s="3"/>
      <c r="CB38" s="19"/>
      <c r="CC38" s="3"/>
      <c r="CD38" s="44"/>
      <c r="CF38" s="19"/>
      <c r="CG38" s="19"/>
      <c r="CH38" s="21"/>
      <c r="CI38" s="25"/>
    </row>
    <row r="39" spans="2:87">
      <c r="B39" s="3"/>
      <c r="C39" s="3"/>
      <c r="D39" s="19"/>
      <c r="E39" s="3"/>
      <c r="F39" s="3"/>
      <c r="G39" s="44"/>
      <c r="H39" s="44"/>
      <c r="I39" s="44"/>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M39" s="19"/>
      <c r="AN39" s="19"/>
      <c r="AO39" s="21"/>
      <c r="AP39" s="25"/>
      <c r="AQ39" s="25"/>
      <c r="AR39" s="25"/>
      <c r="AS39" s="25"/>
      <c r="AT39" s="25"/>
      <c r="AU39" s="25"/>
      <c r="AV39" s="25"/>
      <c r="AW39" s="25"/>
      <c r="AX39" s="25"/>
      <c r="AY39" s="25"/>
      <c r="AZ39" s="25"/>
      <c r="BA39" s="25"/>
      <c r="BB39" s="25"/>
      <c r="BC39" s="25"/>
      <c r="BD39" s="25"/>
      <c r="BE39" s="25"/>
      <c r="BF39" s="25"/>
      <c r="BG39" s="25"/>
      <c r="BH39" s="25"/>
      <c r="BI39" s="25"/>
      <c r="BJ39" s="25"/>
      <c r="BK39" s="25"/>
      <c r="BL39" s="25"/>
      <c r="BM39" s="25"/>
      <c r="BN39" s="25"/>
      <c r="BO39" s="25"/>
      <c r="BP39" s="25"/>
      <c r="BQ39" s="25"/>
      <c r="BR39" s="25"/>
      <c r="BS39" s="25"/>
      <c r="BT39" s="25"/>
      <c r="BV39" s="3"/>
      <c r="BW39" s="3"/>
      <c r="BX39" s="19"/>
      <c r="BY39" s="3"/>
      <c r="BZ39" s="3"/>
      <c r="CA39" s="3"/>
      <c r="CB39" s="19"/>
      <c r="CC39" s="3"/>
      <c r="CD39" s="44"/>
      <c r="CF39" s="19"/>
      <c r="CG39" s="19"/>
      <c r="CH39" s="21"/>
      <c r="CI39" s="25"/>
    </row>
    <row r="40" spans="2:87">
      <c r="B40" s="3"/>
      <c r="C40" s="3"/>
      <c r="D40" s="19"/>
      <c r="E40" s="3"/>
      <c r="F40" s="3"/>
      <c r="G40" s="44"/>
      <c r="H40" s="44"/>
      <c r="I40" s="44"/>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M40" s="19"/>
      <c r="AN40" s="19"/>
      <c r="AO40" s="21"/>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c r="BR40" s="25"/>
      <c r="BS40" s="25"/>
      <c r="BT40" s="25"/>
      <c r="BV40" s="3"/>
      <c r="BW40" s="3"/>
      <c r="BX40" s="19"/>
      <c r="BY40" s="3"/>
      <c r="BZ40" s="3"/>
      <c r="CA40" s="3"/>
      <c r="CB40" s="19"/>
      <c r="CC40" s="3"/>
      <c r="CD40" s="44"/>
      <c r="CF40" s="19"/>
      <c r="CG40" s="19"/>
      <c r="CH40" s="21"/>
      <c r="CI40" s="25"/>
    </row>
    <row r="41" spans="2:87">
      <c r="B41" s="3"/>
      <c r="C41" s="3"/>
      <c r="D41" s="19"/>
      <c r="E41" s="3"/>
      <c r="F41" s="3"/>
      <c r="G41" s="44"/>
      <c r="H41" s="44"/>
      <c r="I41" s="44"/>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M41" s="19"/>
      <c r="AN41" s="19"/>
      <c r="AO41" s="21"/>
      <c r="AP41" s="25"/>
      <c r="AQ41" s="25"/>
      <c r="AR41" s="25"/>
      <c r="AS41" s="25"/>
      <c r="AT41" s="25"/>
      <c r="AU41" s="25"/>
      <c r="AV41" s="25"/>
      <c r="AW41" s="25"/>
      <c r="AX41" s="25"/>
      <c r="AY41" s="25"/>
      <c r="AZ41" s="25"/>
      <c r="BA41" s="25"/>
      <c r="BB41" s="25"/>
      <c r="BC41" s="25"/>
      <c r="BD41" s="25"/>
      <c r="BE41" s="25"/>
      <c r="BF41" s="25"/>
      <c r="BG41" s="25"/>
      <c r="BH41" s="25"/>
      <c r="BI41" s="25"/>
      <c r="BJ41" s="25"/>
      <c r="BK41" s="25"/>
      <c r="BL41" s="25"/>
      <c r="BM41" s="25"/>
      <c r="BN41" s="25"/>
      <c r="BO41" s="25"/>
      <c r="BP41" s="25"/>
      <c r="BQ41" s="25"/>
      <c r="BR41" s="25"/>
      <c r="BS41" s="25"/>
      <c r="BT41" s="25"/>
      <c r="BV41" s="3"/>
      <c r="BW41" s="3"/>
      <c r="BX41" s="19"/>
      <c r="BY41" s="3"/>
      <c r="BZ41" s="3"/>
      <c r="CA41" s="3"/>
      <c r="CB41" s="19"/>
      <c r="CC41" s="3"/>
      <c r="CD41" s="44"/>
      <c r="CF41" s="19"/>
      <c r="CG41" s="19"/>
      <c r="CH41" s="21"/>
      <c r="CI41" s="25"/>
    </row>
    <row r="42" spans="2:87">
      <c r="B42" s="3"/>
      <c r="C42" s="3"/>
      <c r="D42" s="19"/>
      <c r="E42" s="3"/>
      <c r="F42" s="3"/>
      <c r="G42" s="44"/>
      <c r="H42" s="44"/>
      <c r="I42" s="44"/>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M42" s="19"/>
      <c r="AN42" s="19"/>
      <c r="AO42" s="21"/>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c r="BR42" s="25"/>
      <c r="BS42" s="25"/>
      <c r="BT42" s="25"/>
      <c r="BV42" s="3"/>
      <c r="BW42" s="3"/>
      <c r="BX42" s="19"/>
      <c r="BY42" s="3"/>
      <c r="BZ42" s="3"/>
      <c r="CA42" s="3"/>
      <c r="CB42" s="19"/>
      <c r="CC42" s="3"/>
      <c r="CD42" s="44"/>
      <c r="CF42" s="19"/>
      <c r="CG42" s="19"/>
      <c r="CH42" s="21"/>
      <c r="CI42" s="25"/>
    </row>
    <row r="43" spans="2:87">
      <c r="B43" s="3"/>
      <c r="C43" s="3"/>
      <c r="D43" s="19"/>
      <c r="E43" s="3"/>
      <c r="F43" s="3"/>
      <c r="G43" s="44"/>
      <c r="H43" s="44"/>
      <c r="I43" s="44"/>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M43" s="19"/>
      <c r="AN43" s="19"/>
      <c r="AO43" s="21"/>
      <c r="AP43" s="25"/>
      <c r="AQ43" s="25"/>
      <c r="AR43" s="25"/>
      <c r="AS43" s="25"/>
      <c r="AT43" s="25"/>
      <c r="AU43" s="25"/>
      <c r="AV43" s="25"/>
      <c r="AW43" s="25"/>
      <c r="AX43" s="25"/>
      <c r="AY43" s="25"/>
      <c r="AZ43" s="25"/>
      <c r="BA43" s="25"/>
      <c r="BB43" s="25"/>
      <c r="BC43" s="25"/>
      <c r="BD43" s="25"/>
      <c r="BE43" s="25"/>
      <c r="BF43" s="25"/>
      <c r="BG43" s="25"/>
      <c r="BH43" s="25"/>
      <c r="BI43" s="25"/>
      <c r="BJ43" s="25"/>
      <c r="BK43" s="25"/>
      <c r="BL43" s="25"/>
      <c r="BM43" s="25"/>
      <c r="BN43" s="25"/>
      <c r="BO43" s="25"/>
      <c r="BP43" s="25"/>
      <c r="BQ43" s="25"/>
      <c r="BR43" s="25"/>
      <c r="BS43" s="25"/>
      <c r="BT43" s="25"/>
      <c r="BV43" s="3"/>
      <c r="BW43" s="3"/>
      <c r="BX43" s="19"/>
      <c r="BY43" s="3"/>
      <c r="BZ43" s="3"/>
      <c r="CA43" s="3"/>
      <c r="CB43" s="19"/>
      <c r="CC43" s="3"/>
      <c r="CD43" s="44"/>
      <c r="CF43" s="19"/>
      <c r="CG43" s="19"/>
      <c r="CH43" s="21"/>
      <c r="CI43" s="25"/>
    </row>
    <row r="44" spans="2:87">
      <c r="B44" s="3"/>
      <c r="C44" s="3"/>
      <c r="D44" s="19"/>
      <c r="E44" s="3"/>
      <c r="F44" s="3"/>
      <c r="G44" s="44"/>
      <c r="H44" s="44"/>
      <c r="I44" s="44"/>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M44" s="19"/>
      <c r="AN44" s="19"/>
      <c r="AO44" s="21"/>
      <c r="AP44" s="25"/>
      <c r="AQ44" s="25"/>
      <c r="AR44" s="25"/>
      <c r="AS44" s="25"/>
      <c r="AT44" s="25"/>
      <c r="AU44" s="25"/>
      <c r="AV44" s="25"/>
      <c r="AW44" s="25"/>
      <c r="AX44" s="25"/>
      <c r="AY44" s="25"/>
      <c r="AZ44" s="25"/>
      <c r="BA44" s="25"/>
      <c r="BB44" s="25"/>
      <c r="BC44" s="25"/>
      <c r="BD44" s="25"/>
      <c r="BE44" s="25"/>
      <c r="BF44" s="25"/>
      <c r="BG44" s="25"/>
      <c r="BH44" s="25"/>
      <c r="BI44" s="25"/>
      <c r="BJ44" s="25"/>
      <c r="BK44" s="25"/>
      <c r="BL44" s="25"/>
      <c r="BM44" s="25"/>
      <c r="BN44" s="25"/>
      <c r="BO44" s="25"/>
      <c r="BP44" s="25"/>
      <c r="BQ44" s="25"/>
      <c r="BR44" s="25"/>
      <c r="BS44" s="25"/>
      <c r="BT44" s="25"/>
      <c r="BV44" s="3"/>
      <c r="BW44" s="3"/>
      <c r="BX44" s="19"/>
      <c r="BY44" s="3"/>
      <c r="BZ44" s="3"/>
      <c r="CA44" s="3"/>
      <c r="CB44" s="19"/>
      <c r="CC44" s="3"/>
      <c r="CD44" s="44"/>
      <c r="CF44" s="19"/>
      <c r="CG44" s="19"/>
      <c r="CH44" s="21"/>
      <c r="CI44" s="25"/>
    </row>
    <row r="45" spans="2:87">
      <c r="B45" s="3"/>
      <c r="C45" s="3"/>
      <c r="D45" s="19"/>
      <c r="E45" s="3"/>
      <c r="F45" s="3"/>
      <c r="G45" s="44"/>
      <c r="H45" s="44"/>
      <c r="I45" s="44"/>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M45" s="19"/>
      <c r="AN45" s="19"/>
      <c r="AO45" s="21"/>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c r="BR45" s="25"/>
      <c r="BS45" s="25"/>
      <c r="BT45" s="25"/>
      <c r="BV45" s="3"/>
      <c r="BW45" s="3"/>
      <c r="BX45" s="19"/>
      <c r="BY45" s="3"/>
      <c r="BZ45" s="3"/>
      <c r="CA45" s="3"/>
      <c r="CB45" s="19"/>
      <c r="CC45" s="3"/>
      <c r="CD45" s="44"/>
      <c r="CF45" s="19"/>
      <c r="CG45" s="19"/>
      <c r="CH45" s="21"/>
      <c r="CI45" s="25"/>
    </row>
    <row r="46" spans="2:87">
      <c r="B46" s="3"/>
      <c r="C46" s="3"/>
      <c r="D46" s="19"/>
      <c r="E46" s="3"/>
      <c r="F46" s="3"/>
      <c r="G46" s="44"/>
      <c r="H46" s="44"/>
      <c r="I46" s="44"/>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M46" s="19"/>
      <c r="AN46" s="19"/>
      <c r="AO46" s="21"/>
      <c r="AP46" s="25"/>
      <c r="AQ46" s="25"/>
      <c r="AR46" s="25"/>
      <c r="AS46" s="25"/>
      <c r="AT46" s="25"/>
      <c r="AU46" s="25"/>
      <c r="AV46" s="25"/>
      <c r="AW46" s="25"/>
      <c r="AX46" s="25"/>
      <c r="AY46" s="25"/>
      <c r="AZ46" s="25"/>
      <c r="BA46" s="25"/>
      <c r="BB46" s="25"/>
      <c r="BC46" s="25"/>
      <c r="BD46" s="25"/>
      <c r="BE46" s="25"/>
      <c r="BF46" s="25"/>
      <c r="BG46" s="25"/>
      <c r="BH46" s="25"/>
      <c r="BI46" s="25"/>
      <c r="BJ46" s="25"/>
      <c r="BK46" s="25"/>
      <c r="BL46" s="25"/>
      <c r="BM46" s="25"/>
      <c r="BN46" s="25"/>
      <c r="BO46" s="25"/>
      <c r="BP46" s="25"/>
      <c r="BQ46" s="25"/>
      <c r="BR46" s="25"/>
      <c r="BS46" s="25"/>
      <c r="BT46" s="25"/>
      <c r="BV46" s="3"/>
      <c r="BW46" s="3"/>
      <c r="BX46" s="19"/>
      <c r="BY46" s="3"/>
      <c r="BZ46" s="3"/>
      <c r="CA46" s="3"/>
      <c r="CB46" s="19"/>
      <c r="CC46" s="3"/>
      <c r="CD46" s="44"/>
      <c r="CF46" s="19"/>
      <c r="CG46" s="19"/>
      <c r="CH46" s="21"/>
      <c r="CI46" s="25"/>
    </row>
    <row r="47" spans="2:87">
      <c r="B47" s="3"/>
      <c r="C47" s="3"/>
      <c r="D47" s="19"/>
      <c r="E47" s="3"/>
      <c r="F47" s="3"/>
      <c r="G47" s="44"/>
      <c r="H47" s="44"/>
      <c r="I47" s="44"/>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M47" s="19"/>
      <c r="AN47" s="19"/>
      <c r="AO47" s="21"/>
      <c r="AP47" s="25"/>
      <c r="AQ47" s="25"/>
      <c r="AR47" s="25"/>
      <c r="AS47" s="25"/>
      <c r="AT47" s="25"/>
      <c r="AU47" s="25"/>
      <c r="AV47" s="25"/>
      <c r="AW47" s="25"/>
      <c r="AX47" s="25"/>
      <c r="AY47" s="25"/>
      <c r="AZ47" s="25"/>
      <c r="BA47" s="25"/>
      <c r="BB47" s="25"/>
      <c r="BC47" s="25"/>
      <c r="BD47" s="25"/>
      <c r="BE47" s="25"/>
      <c r="BF47" s="25"/>
      <c r="BG47" s="25"/>
      <c r="BH47" s="25"/>
      <c r="BI47" s="25"/>
      <c r="BJ47" s="25"/>
      <c r="BK47" s="25"/>
      <c r="BL47" s="25"/>
      <c r="BM47" s="25"/>
      <c r="BN47" s="25"/>
      <c r="BO47" s="25"/>
      <c r="BP47" s="25"/>
      <c r="BQ47" s="25"/>
      <c r="BR47" s="25"/>
      <c r="BS47" s="25"/>
      <c r="BT47" s="25"/>
      <c r="BV47" s="3"/>
      <c r="BW47" s="3"/>
      <c r="BX47" s="19"/>
      <c r="BY47" s="3"/>
      <c r="BZ47" s="3"/>
      <c r="CA47" s="3"/>
      <c r="CB47" s="19"/>
      <c r="CC47" s="3"/>
      <c r="CD47" s="44"/>
      <c r="CF47" s="19"/>
      <c r="CG47" s="19"/>
      <c r="CH47" s="21"/>
      <c r="CI47" s="25"/>
    </row>
    <row r="48" spans="2:87">
      <c r="B48" s="3"/>
      <c r="C48" s="3"/>
      <c r="D48" s="19"/>
      <c r="E48" s="3"/>
      <c r="F48" s="3"/>
      <c r="G48" s="44"/>
      <c r="H48" s="44"/>
      <c r="I48" s="44"/>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M48" s="19"/>
      <c r="AN48" s="19"/>
      <c r="AO48" s="21"/>
      <c r="AP48" s="25"/>
      <c r="AQ48" s="25"/>
      <c r="AR48" s="25"/>
      <c r="AS48" s="25"/>
      <c r="AT48" s="25"/>
      <c r="AU48" s="25"/>
      <c r="AV48" s="25"/>
      <c r="AW48" s="25"/>
      <c r="AX48" s="25"/>
      <c r="AY48" s="25"/>
      <c r="AZ48" s="25"/>
      <c r="BA48" s="25"/>
      <c r="BB48" s="25"/>
      <c r="BC48" s="25"/>
      <c r="BD48" s="25"/>
      <c r="BE48" s="25"/>
      <c r="BF48" s="25"/>
      <c r="BG48" s="25"/>
      <c r="BH48" s="25"/>
      <c r="BI48" s="25"/>
      <c r="BJ48" s="25"/>
      <c r="BK48" s="25"/>
      <c r="BL48" s="25"/>
      <c r="BM48" s="25"/>
      <c r="BN48" s="25"/>
      <c r="BO48" s="25"/>
      <c r="BP48" s="25"/>
      <c r="BQ48" s="25"/>
      <c r="BR48" s="25"/>
      <c r="BS48" s="25"/>
      <c r="BT48" s="25"/>
      <c r="BV48" s="3"/>
      <c r="BW48" s="3"/>
      <c r="BX48" s="19"/>
      <c r="BY48" s="3"/>
      <c r="BZ48" s="3"/>
      <c r="CA48" s="3"/>
      <c r="CB48" s="19"/>
      <c r="CC48" s="3"/>
      <c r="CD48" s="44"/>
      <c r="CF48" s="19"/>
      <c r="CG48" s="19"/>
      <c r="CH48" s="21"/>
      <c r="CI48" s="25"/>
    </row>
    <row r="49" spans="2:87">
      <c r="B49" s="3"/>
      <c r="C49" s="3"/>
      <c r="D49" s="19"/>
      <c r="E49" s="3"/>
      <c r="F49" s="3"/>
      <c r="G49" s="44"/>
      <c r="H49" s="44"/>
      <c r="I49" s="44"/>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M49" s="19"/>
      <c r="AN49" s="19"/>
      <c r="AO49" s="21"/>
      <c r="AP49" s="25"/>
      <c r="AQ49" s="25"/>
      <c r="AR49" s="25"/>
      <c r="AS49" s="25"/>
      <c r="AT49" s="25"/>
      <c r="AU49" s="25"/>
      <c r="AV49" s="25"/>
      <c r="AW49" s="25"/>
      <c r="AX49" s="25"/>
      <c r="AY49" s="25"/>
      <c r="AZ49" s="25"/>
      <c r="BA49" s="25"/>
      <c r="BB49" s="25"/>
      <c r="BC49" s="25"/>
      <c r="BD49" s="25"/>
      <c r="BE49" s="25"/>
      <c r="BF49" s="25"/>
      <c r="BG49" s="25"/>
      <c r="BH49" s="25"/>
      <c r="BI49" s="25"/>
      <c r="BJ49" s="25"/>
      <c r="BK49" s="25"/>
      <c r="BL49" s="25"/>
      <c r="BM49" s="25"/>
      <c r="BN49" s="25"/>
      <c r="BO49" s="25"/>
      <c r="BP49" s="25"/>
      <c r="BQ49" s="25"/>
      <c r="BR49" s="25"/>
      <c r="BS49" s="25"/>
      <c r="BT49" s="25"/>
      <c r="BV49" s="3"/>
      <c r="BW49" s="3"/>
      <c r="BX49" s="19"/>
      <c r="BY49" s="3"/>
      <c r="BZ49" s="3"/>
      <c r="CA49" s="3"/>
      <c r="CB49" s="19"/>
      <c r="CC49" s="3"/>
      <c r="CD49" s="44"/>
      <c r="CF49" s="19"/>
      <c r="CG49" s="19"/>
      <c r="CH49" s="21"/>
      <c r="CI49" s="25"/>
    </row>
    <row r="50" spans="2:87">
      <c r="B50" s="3"/>
      <c r="C50" s="3"/>
      <c r="D50" s="19"/>
      <c r="E50" s="3"/>
      <c r="F50" s="3"/>
      <c r="G50" s="44"/>
      <c r="H50" s="44"/>
      <c r="I50" s="44"/>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M50" s="19"/>
      <c r="AN50" s="19"/>
      <c r="AO50" s="21"/>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c r="BR50" s="25"/>
      <c r="BS50" s="25"/>
      <c r="BT50" s="25"/>
      <c r="BV50" s="3"/>
      <c r="BW50" s="3"/>
      <c r="BX50" s="19"/>
      <c r="BY50" s="3"/>
      <c r="BZ50" s="3"/>
      <c r="CA50" s="3"/>
      <c r="CB50" s="19"/>
      <c r="CC50" s="3"/>
      <c r="CD50" s="44"/>
      <c r="CF50" s="19"/>
      <c r="CG50" s="19"/>
      <c r="CH50" s="21"/>
      <c r="CI50" s="25"/>
    </row>
    <row r="51" spans="2:87">
      <c r="B51" s="3"/>
      <c r="C51" s="3"/>
      <c r="D51" s="19"/>
      <c r="E51" s="3"/>
      <c r="F51" s="3"/>
      <c r="G51" s="44"/>
      <c r="H51" s="44"/>
      <c r="I51" s="44"/>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M51" s="19"/>
      <c r="AN51" s="19"/>
      <c r="AO51" s="21"/>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c r="BR51" s="25"/>
      <c r="BS51" s="25"/>
      <c r="BT51" s="25"/>
      <c r="BV51" s="3"/>
      <c r="BW51" s="3"/>
      <c r="BX51" s="19"/>
      <c r="BY51" s="3"/>
      <c r="BZ51" s="3"/>
      <c r="CA51" s="3"/>
      <c r="CB51" s="19"/>
      <c r="CC51" s="3"/>
      <c r="CD51" s="44"/>
      <c r="CF51" s="19"/>
      <c r="CG51" s="19"/>
      <c r="CH51" s="21"/>
      <c r="CI51" s="25"/>
    </row>
    <row r="52" spans="2:87">
      <c r="B52" s="3"/>
      <c r="C52" s="3"/>
      <c r="D52" s="19"/>
      <c r="E52" s="3"/>
      <c r="F52" s="3"/>
      <c r="G52" s="44"/>
      <c r="H52" s="44"/>
      <c r="I52" s="44"/>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M52" s="19"/>
      <c r="AN52" s="19"/>
      <c r="AO52" s="21"/>
      <c r="AP52" s="25"/>
      <c r="AQ52" s="25"/>
      <c r="AR52" s="25"/>
      <c r="AS52" s="25"/>
      <c r="AT52" s="25"/>
      <c r="AU52" s="25"/>
      <c r="AV52" s="25"/>
      <c r="AW52" s="25"/>
      <c r="AX52" s="25"/>
      <c r="AY52" s="25"/>
      <c r="AZ52" s="25"/>
      <c r="BA52" s="25"/>
      <c r="BB52" s="25"/>
      <c r="BC52" s="25"/>
      <c r="BD52" s="25"/>
      <c r="BE52" s="25"/>
      <c r="BF52" s="25"/>
      <c r="BG52" s="25"/>
      <c r="BH52" s="25"/>
      <c r="BI52" s="25"/>
      <c r="BJ52" s="25"/>
      <c r="BK52" s="25"/>
      <c r="BL52" s="25"/>
      <c r="BM52" s="25"/>
      <c r="BN52" s="25"/>
      <c r="BO52" s="25"/>
      <c r="BP52" s="25"/>
      <c r="BQ52" s="25"/>
      <c r="BR52" s="25"/>
      <c r="BS52" s="25"/>
      <c r="BT52" s="25"/>
      <c r="BV52" s="3"/>
      <c r="BW52" s="3"/>
      <c r="BX52" s="19"/>
      <c r="BY52" s="3"/>
      <c r="BZ52" s="3"/>
      <c r="CA52" s="3"/>
      <c r="CB52" s="19"/>
      <c r="CC52" s="3"/>
      <c r="CD52" s="44"/>
      <c r="CF52" s="19"/>
      <c r="CG52" s="19"/>
      <c r="CH52" s="21"/>
      <c r="CI52" s="25"/>
    </row>
    <row r="53" spans="2:87">
      <c r="B53" s="3"/>
      <c r="C53" s="3"/>
      <c r="D53" s="19"/>
      <c r="E53" s="3"/>
      <c r="F53" s="3"/>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M53" s="19"/>
      <c r="AN53" s="19"/>
      <c r="AO53" s="21"/>
      <c r="AP53" s="25"/>
      <c r="AQ53" s="25"/>
      <c r="AR53" s="25"/>
      <c r="AS53" s="25"/>
      <c r="AT53" s="25"/>
      <c r="AU53" s="25"/>
      <c r="AV53" s="25"/>
      <c r="AW53" s="25"/>
      <c r="AX53" s="25"/>
      <c r="AY53" s="25"/>
      <c r="AZ53" s="25"/>
      <c r="BA53" s="25"/>
      <c r="BB53" s="25"/>
      <c r="BC53" s="25"/>
      <c r="BD53" s="25"/>
      <c r="BE53" s="25"/>
      <c r="BF53" s="25"/>
      <c r="BG53" s="25"/>
      <c r="BH53" s="25"/>
      <c r="BI53" s="25"/>
      <c r="BJ53" s="25"/>
      <c r="BK53" s="25"/>
      <c r="BL53" s="25"/>
      <c r="BM53" s="25"/>
      <c r="BN53" s="25"/>
      <c r="BO53" s="25"/>
      <c r="BP53" s="25"/>
      <c r="BQ53" s="25"/>
      <c r="BR53" s="25"/>
      <c r="BS53" s="25"/>
      <c r="BT53" s="25"/>
      <c r="BV53" s="3"/>
      <c r="BW53" s="3"/>
      <c r="BX53" s="19"/>
      <c r="BY53" s="3"/>
      <c r="BZ53" s="3"/>
      <c r="CA53" s="3"/>
      <c r="CB53" s="19"/>
      <c r="CC53" s="3"/>
      <c r="CD53" s="44"/>
      <c r="CF53" s="19"/>
      <c r="CG53" s="19"/>
      <c r="CH53" s="21"/>
      <c r="CI53" s="25"/>
    </row>
    <row r="54" spans="2:87">
      <c r="B54" s="3"/>
      <c r="C54" s="3"/>
      <c r="D54" s="19"/>
      <c r="E54" s="3"/>
      <c r="F54" s="3"/>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M54" s="19"/>
      <c r="AN54" s="19"/>
      <c r="AO54" s="21"/>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c r="BR54" s="25"/>
      <c r="BS54" s="25"/>
      <c r="BT54" s="25"/>
      <c r="BV54" s="3"/>
      <c r="BW54" s="3"/>
      <c r="BX54" s="19"/>
      <c r="BY54" s="3"/>
      <c r="BZ54" s="3"/>
      <c r="CA54" s="3"/>
      <c r="CB54" s="19"/>
      <c r="CC54" s="3"/>
      <c r="CD54" s="44"/>
      <c r="CF54" s="19"/>
      <c r="CG54" s="19"/>
      <c r="CH54" s="21"/>
      <c r="CI54" s="25"/>
    </row>
    <row r="55" spans="2:87">
      <c r="B55" s="3"/>
      <c r="C55" s="3"/>
      <c r="D55" s="19"/>
      <c r="E55" s="3"/>
      <c r="F55" s="3"/>
      <c r="G55" s="44"/>
      <c r="H55" s="44"/>
      <c r="I55" s="44"/>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M55" s="19"/>
      <c r="AN55" s="19"/>
      <c r="AO55" s="21"/>
      <c r="AP55" s="25"/>
      <c r="AQ55" s="25"/>
      <c r="AR55" s="25"/>
      <c r="AS55" s="25"/>
      <c r="AT55" s="25"/>
      <c r="AU55" s="25"/>
      <c r="AV55" s="25"/>
      <c r="AW55" s="25"/>
      <c r="AX55" s="25"/>
      <c r="AY55" s="25"/>
      <c r="AZ55" s="25"/>
      <c r="BA55" s="25"/>
      <c r="BB55" s="25"/>
      <c r="BC55" s="25"/>
      <c r="BD55" s="25"/>
      <c r="BE55" s="25"/>
      <c r="BF55" s="25"/>
      <c r="BG55" s="25"/>
      <c r="BH55" s="25"/>
      <c r="BI55" s="25"/>
      <c r="BJ55" s="25"/>
      <c r="BK55" s="25"/>
      <c r="BL55" s="25"/>
      <c r="BM55" s="25"/>
      <c r="BN55" s="25"/>
      <c r="BO55" s="25"/>
      <c r="BP55" s="25"/>
      <c r="BQ55" s="25"/>
      <c r="BR55" s="25"/>
      <c r="BS55" s="25"/>
      <c r="BT55" s="25"/>
      <c r="BV55" s="3"/>
      <c r="BW55" s="3"/>
      <c r="BX55" s="19"/>
      <c r="BY55" s="3"/>
      <c r="BZ55" s="3"/>
      <c r="CA55" s="3"/>
      <c r="CB55" s="19"/>
      <c r="CC55" s="3"/>
      <c r="CD55" s="44"/>
      <c r="CF55" s="19"/>
      <c r="CG55" s="19"/>
      <c r="CH55" s="21"/>
      <c r="CI55" s="25"/>
    </row>
    <row r="56" spans="2:87">
      <c r="B56" s="3"/>
      <c r="C56" s="3"/>
      <c r="D56" s="19"/>
      <c r="E56" s="3"/>
      <c r="F56" s="3"/>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M56" s="19"/>
      <c r="AN56" s="19"/>
      <c r="AO56" s="21"/>
      <c r="AP56" s="25"/>
      <c r="AQ56" s="25"/>
      <c r="AR56" s="25"/>
      <c r="AS56" s="25"/>
      <c r="AT56" s="25"/>
      <c r="AU56" s="25"/>
      <c r="AV56" s="25"/>
      <c r="AW56" s="25"/>
      <c r="AX56" s="25"/>
      <c r="AY56" s="25"/>
      <c r="AZ56" s="25"/>
      <c r="BA56" s="25"/>
      <c r="BB56" s="25"/>
      <c r="BC56" s="25"/>
      <c r="BD56" s="25"/>
      <c r="BE56" s="25"/>
      <c r="BF56" s="25"/>
      <c r="BG56" s="25"/>
      <c r="BH56" s="25"/>
      <c r="BI56" s="25"/>
      <c r="BJ56" s="25"/>
      <c r="BK56" s="25"/>
      <c r="BL56" s="25"/>
      <c r="BM56" s="25"/>
      <c r="BN56" s="25"/>
      <c r="BO56" s="25"/>
      <c r="BP56" s="25"/>
      <c r="BQ56" s="25"/>
      <c r="BR56" s="25"/>
      <c r="BS56" s="25"/>
      <c r="BT56" s="25"/>
      <c r="BV56" s="3"/>
      <c r="BW56" s="3"/>
      <c r="BX56" s="19"/>
      <c r="BY56" s="3"/>
      <c r="BZ56" s="3"/>
      <c r="CA56" s="3"/>
      <c r="CB56" s="19"/>
      <c r="CC56" s="3"/>
      <c r="CD56" s="44"/>
      <c r="CF56" s="19"/>
      <c r="CG56" s="19"/>
      <c r="CH56" s="21"/>
      <c r="CI56" s="25"/>
    </row>
    <row r="57" spans="2:87">
      <c r="B57" s="3"/>
      <c r="C57" s="3"/>
      <c r="D57" s="19"/>
      <c r="E57" s="3"/>
      <c r="F57" s="3"/>
      <c r="G57" s="44"/>
      <c r="H57" s="44"/>
      <c r="I57" s="44"/>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M57" s="19"/>
      <c r="AN57" s="19"/>
      <c r="AO57" s="21"/>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25"/>
      <c r="BV57" s="3"/>
      <c r="BW57" s="3"/>
      <c r="BX57" s="19"/>
      <c r="BY57" s="3"/>
      <c r="BZ57" s="3"/>
      <c r="CA57" s="3"/>
      <c r="CB57" s="19"/>
      <c r="CC57" s="3"/>
      <c r="CD57" s="44"/>
      <c r="CF57" s="19"/>
      <c r="CG57" s="19"/>
      <c r="CH57" s="21"/>
      <c r="CI57" s="25"/>
    </row>
    <row r="58" spans="2:87">
      <c r="B58" s="3"/>
      <c r="C58" s="3"/>
      <c r="D58" s="19"/>
      <c r="E58" s="3"/>
      <c r="F58" s="3"/>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M58" s="19"/>
      <c r="AN58" s="19"/>
      <c r="AO58" s="21"/>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25"/>
      <c r="BV58" s="3"/>
      <c r="BW58" s="3"/>
      <c r="BX58" s="19"/>
      <c r="BY58" s="3"/>
      <c r="BZ58" s="3"/>
      <c r="CA58" s="3"/>
      <c r="CB58" s="19"/>
      <c r="CC58" s="3"/>
      <c r="CD58" s="44"/>
      <c r="CF58" s="19"/>
      <c r="CG58" s="19"/>
      <c r="CH58" s="21"/>
      <c r="CI58" s="25"/>
    </row>
    <row r="59" spans="2:87">
      <c r="B59" s="3"/>
      <c r="C59" s="3"/>
      <c r="D59" s="19"/>
      <c r="E59" s="3"/>
      <c r="F59" s="3"/>
      <c r="G59" s="44"/>
      <c r="H59" s="44"/>
      <c r="I59" s="44"/>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M59" s="19"/>
      <c r="AN59" s="19"/>
      <c r="AO59" s="21"/>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c r="BR59" s="25"/>
      <c r="BS59" s="25"/>
      <c r="BT59" s="25"/>
      <c r="BV59" s="3"/>
      <c r="BW59" s="3"/>
      <c r="BX59" s="19"/>
      <c r="BY59" s="3"/>
      <c r="BZ59" s="3"/>
      <c r="CA59" s="3"/>
      <c r="CB59" s="19"/>
      <c r="CC59" s="3"/>
      <c r="CD59" s="44"/>
      <c r="CF59" s="19"/>
      <c r="CG59" s="19"/>
      <c r="CH59" s="21"/>
      <c r="CI59" s="25"/>
    </row>
    <row r="60" spans="2:87">
      <c r="B60" s="3"/>
      <c r="C60" s="3"/>
      <c r="D60" s="19"/>
      <c r="E60" s="3"/>
      <c r="F60" s="3"/>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M60" s="19"/>
      <c r="AN60" s="19"/>
      <c r="AO60" s="21"/>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25"/>
      <c r="BV60" s="3"/>
      <c r="BW60" s="3"/>
      <c r="BX60" s="19"/>
      <c r="BY60" s="3"/>
      <c r="BZ60" s="3"/>
      <c r="CA60" s="3"/>
      <c r="CB60" s="19"/>
      <c r="CC60" s="3"/>
      <c r="CD60" s="44"/>
      <c r="CF60" s="19"/>
      <c r="CG60" s="19"/>
      <c r="CH60" s="21"/>
      <c r="CI60" s="25"/>
    </row>
    <row r="61" spans="2:87">
      <c r="B61" s="3"/>
      <c r="C61" s="3"/>
      <c r="D61" s="19"/>
      <c r="E61" s="3"/>
      <c r="F61" s="3"/>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M61" s="19"/>
      <c r="AN61" s="19"/>
      <c r="AO61" s="21"/>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c r="BR61" s="25"/>
      <c r="BS61" s="25"/>
      <c r="BT61" s="25"/>
      <c r="BV61" s="3"/>
      <c r="BW61" s="3"/>
      <c r="BX61" s="19"/>
      <c r="BY61" s="3"/>
      <c r="BZ61" s="3"/>
      <c r="CA61" s="3"/>
      <c r="CB61" s="19"/>
      <c r="CC61" s="3"/>
      <c r="CD61" s="44"/>
      <c r="CF61" s="19"/>
      <c r="CG61" s="19"/>
      <c r="CH61" s="21"/>
      <c r="CI61" s="25"/>
    </row>
    <row r="62" spans="2:87">
      <c r="B62" s="3"/>
      <c r="C62" s="3"/>
      <c r="D62" s="19"/>
      <c r="E62" s="3"/>
      <c r="F62" s="3"/>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M62" s="19"/>
      <c r="AN62" s="19"/>
      <c r="AO62" s="21"/>
      <c r="AP62" s="25"/>
      <c r="AQ62" s="25"/>
      <c r="AR62" s="25"/>
      <c r="AS62" s="25"/>
      <c r="AT62" s="25"/>
      <c r="AU62" s="25"/>
      <c r="AV62" s="25"/>
      <c r="AW62" s="25"/>
      <c r="AX62" s="25"/>
      <c r="AY62" s="25"/>
      <c r="AZ62" s="25"/>
      <c r="BA62" s="25"/>
      <c r="BB62" s="25"/>
      <c r="BC62" s="25"/>
      <c r="BD62" s="25"/>
      <c r="BE62" s="25"/>
      <c r="BF62" s="25"/>
      <c r="BG62" s="25"/>
      <c r="BH62" s="25"/>
      <c r="BI62" s="25"/>
      <c r="BJ62" s="25"/>
      <c r="BK62" s="25"/>
      <c r="BL62" s="25"/>
      <c r="BM62" s="25"/>
      <c r="BN62" s="25"/>
      <c r="BO62" s="25"/>
      <c r="BP62" s="25"/>
      <c r="BQ62" s="25"/>
      <c r="BR62" s="25"/>
      <c r="BS62" s="25"/>
      <c r="BT62" s="25"/>
      <c r="BV62" s="3"/>
      <c r="BW62" s="3"/>
      <c r="BX62" s="19"/>
      <c r="BY62" s="3"/>
      <c r="BZ62" s="3"/>
      <c r="CA62" s="3"/>
      <c r="CB62" s="19"/>
      <c r="CC62" s="3"/>
      <c r="CD62" s="44"/>
      <c r="CF62" s="19"/>
      <c r="CG62" s="19"/>
      <c r="CH62" s="21"/>
      <c r="CI62" s="25"/>
    </row>
    <row r="63" spans="2:87">
      <c r="B63" s="3"/>
      <c r="C63" s="3"/>
      <c r="D63" s="19"/>
      <c r="E63" s="3"/>
      <c r="F63" s="3"/>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M63" s="19"/>
      <c r="AN63" s="19"/>
      <c r="AO63" s="21"/>
      <c r="AP63" s="25"/>
      <c r="AQ63" s="25"/>
      <c r="AR63" s="25"/>
      <c r="AS63" s="25"/>
      <c r="AT63" s="25"/>
      <c r="AU63" s="25"/>
      <c r="AV63" s="25"/>
      <c r="AW63" s="25"/>
      <c r="AX63" s="25"/>
      <c r="AY63" s="25"/>
      <c r="AZ63" s="25"/>
      <c r="BA63" s="25"/>
      <c r="BB63" s="25"/>
      <c r="BC63" s="25"/>
      <c r="BD63" s="25"/>
      <c r="BE63" s="25"/>
      <c r="BF63" s="25"/>
      <c r="BG63" s="25"/>
      <c r="BH63" s="25"/>
      <c r="BI63" s="25"/>
      <c r="BJ63" s="25"/>
      <c r="BK63" s="25"/>
      <c r="BL63" s="25"/>
      <c r="BM63" s="25"/>
      <c r="BN63" s="25"/>
      <c r="BO63" s="25"/>
      <c r="BP63" s="25"/>
      <c r="BQ63" s="25"/>
      <c r="BR63" s="25"/>
      <c r="BS63" s="25"/>
      <c r="BT63" s="25"/>
      <c r="BV63" s="3"/>
      <c r="BW63" s="3"/>
      <c r="BX63" s="19"/>
      <c r="BY63" s="3"/>
      <c r="BZ63" s="3"/>
      <c r="CA63" s="3"/>
      <c r="CB63" s="19"/>
      <c r="CC63" s="3"/>
      <c r="CD63" s="44"/>
      <c r="CF63" s="19"/>
      <c r="CG63" s="19"/>
      <c r="CH63" s="21"/>
      <c r="CI63" s="25"/>
    </row>
    <row r="64" spans="2:87">
      <c r="B64" s="3"/>
      <c r="C64" s="3"/>
      <c r="D64" s="19"/>
      <c r="E64" s="3"/>
      <c r="F64" s="3"/>
      <c r="G64" s="44"/>
      <c r="H64" s="44"/>
      <c r="I64" s="44"/>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M64" s="19"/>
      <c r="AN64" s="19"/>
      <c r="AO64" s="21"/>
      <c r="AP64" s="25"/>
      <c r="AQ64" s="25"/>
      <c r="AR64" s="25"/>
      <c r="AS64" s="25"/>
      <c r="AT64" s="25"/>
      <c r="AU64" s="25"/>
      <c r="AV64" s="25"/>
      <c r="AW64" s="25"/>
      <c r="AX64" s="25"/>
      <c r="AY64" s="25"/>
      <c r="AZ64" s="25"/>
      <c r="BA64" s="25"/>
      <c r="BB64" s="25"/>
      <c r="BC64" s="25"/>
      <c r="BD64" s="25"/>
      <c r="BE64" s="25"/>
      <c r="BF64" s="25"/>
      <c r="BG64" s="25"/>
      <c r="BH64" s="25"/>
      <c r="BI64" s="25"/>
      <c r="BJ64" s="25"/>
      <c r="BK64" s="25"/>
      <c r="BL64" s="25"/>
      <c r="BM64" s="25"/>
      <c r="BN64" s="25"/>
      <c r="BO64" s="25"/>
      <c r="BP64" s="25"/>
      <c r="BQ64" s="25"/>
      <c r="BR64" s="25"/>
      <c r="BS64" s="25"/>
      <c r="BT64" s="25"/>
      <c r="BV64" s="3"/>
      <c r="BW64" s="3"/>
      <c r="BX64" s="19"/>
      <c r="BY64" s="3"/>
      <c r="BZ64" s="3"/>
      <c r="CA64" s="3"/>
      <c r="CB64" s="19"/>
      <c r="CC64" s="3"/>
      <c r="CD64" s="44"/>
      <c r="CF64" s="19"/>
      <c r="CG64" s="19"/>
      <c r="CH64" s="21"/>
      <c r="CI64" s="25"/>
    </row>
    <row r="65" spans="2:87">
      <c r="B65" s="3"/>
      <c r="C65" s="3"/>
      <c r="D65" s="19"/>
      <c r="E65" s="3"/>
      <c r="F65" s="3"/>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M65" s="19"/>
      <c r="AN65" s="19"/>
      <c r="AO65" s="21"/>
      <c r="AP65" s="25"/>
      <c r="AQ65" s="25"/>
      <c r="AR65" s="25"/>
      <c r="AS65" s="25"/>
      <c r="AT65" s="25"/>
      <c r="AU65" s="25"/>
      <c r="AV65" s="25"/>
      <c r="AW65" s="25"/>
      <c r="AX65" s="25"/>
      <c r="AY65" s="25"/>
      <c r="AZ65" s="25"/>
      <c r="BA65" s="25"/>
      <c r="BB65" s="25"/>
      <c r="BC65" s="25"/>
      <c r="BD65" s="25"/>
      <c r="BE65" s="25"/>
      <c r="BF65" s="25"/>
      <c r="BG65" s="25"/>
      <c r="BH65" s="25"/>
      <c r="BI65" s="25"/>
      <c r="BJ65" s="25"/>
      <c r="BK65" s="25"/>
      <c r="BL65" s="25"/>
      <c r="BM65" s="25"/>
      <c r="BN65" s="25"/>
      <c r="BO65" s="25"/>
      <c r="BP65" s="25"/>
      <c r="BQ65" s="25"/>
      <c r="BR65" s="25"/>
      <c r="BS65" s="25"/>
      <c r="BT65" s="25"/>
      <c r="BV65" s="3"/>
      <c r="BW65" s="3"/>
      <c r="BX65" s="19"/>
      <c r="BY65" s="3"/>
      <c r="BZ65" s="3"/>
      <c r="CA65" s="3"/>
      <c r="CB65" s="19"/>
      <c r="CC65" s="3"/>
      <c r="CD65" s="44"/>
      <c r="CF65" s="19"/>
      <c r="CG65" s="19"/>
      <c r="CH65" s="21"/>
      <c r="CI65" s="25"/>
    </row>
    <row r="66" spans="2:87">
      <c r="B66" s="3"/>
      <c r="C66" s="3"/>
      <c r="D66" s="19"/>
      <c r="E66" s="3"/>
      <c r="F66" s="3"/>
      <c r="G66" s="44"/>
      <c r="H66" s="44"/>
      <c r="I66" s="44"/>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M66" s="19"/>
      <c r="AN66" s="19"/>
      <c r="AO66" s="21"/>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O66" s="25"/>
      <c r="BP66" s="25"/>
      <c r="BQ66" s="25"/>
      <c r="BR66" s="25"/>
      <c r="BS66" s="25"/>
      <c r="BT66" s="25"/>
      <c r="BV66" s="3"/>
      <c r="BW66" s="3"/>
      <c r="BX66" s="19"/>
      <c r="BY66" s="3"/>
      <c r="BZ66" s="3"/>
      <c r="CA66" s="3"/>
      <c r="CB66" s="19"/>
      <c r="CC66" s="3"/>
      <c r="CD66" s="44"/>
      <c r="CF66" s="19"/>
      <c r="CG66" s="19"/>
      <c r="CH66" s="21"/>
      <c r="CI66" s="25"/>
    </row>
    <row r="67" spans="2:87">
      <c r="B67" s="3"/>
      <c r="C67" s="3"/>
      <c r="D67" s="19"/>
      <c r="E67" s="3"/>
      <c r="F67" s="3"/>
      <c r="G67" s="44"/>
      <c r="H67" s="44"/>
      <c r="I67" s="44"/>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M67" s="19"/>
      <c r="AN67" s="19"/>
      <c r="AO67" s="21"/>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c r="BR67" s="25"/>
      <c r="BS67" s="25"/>
      <c r="BT67" s="25"/>
      <c r="BV67" s="3"/>
      <c r="BW67" s="3"/>
      <c r="BX67" s="19"/>
      <c r="BY67" s="3"/>
      <c r="BZ67" s="3"/>
      <c r="CA67" s="3"/>
      <c r="CB67" s="19"/>
      <c r="CC67" s="3"/>
      <c r="CD67" s="44"/>
      <c r="CF67" s="19"/>
      <c r="CG67" s="19"/>
      <c r="CH67" s="21"/>
      <c r="CI67" s="25"/>
    </row>
    <row r="68" spans="2:87">
      <c r="B68" s="3"/>
      <c r="C68" s="3"/>
      <c r="D68" s="19"/>
      <c r="E68" s="3"/>
      <c r="F68" s="3"/>
      <c r="G68" s="4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M68" s="19"/>
      <c r="AN68" s="19"/>
      <c r="AO68" s="21"/>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O68" s="25"/>
      <c r="BP68" s="25"/>
      <c r="BQ68" s="25"/>
      <c r="BR68" s="25"/>
      <c r="BS68" s="25"/>
      <c r="BT68" s="25"/>
      <c r="BV68" s="3"/>
      <c r="BW68" s="3"/>
      <c r="BX68" s="19"/>
      <c r="BY68" s="3"/>
      <c r="BZ68" s="3"/>
      <c r="CA68" s="3"/>
      <c r="CB68" s="19"/>
      <c r="CC68" s="3"/>
      <c r="CD68" s="44"/>
      <c r="CF68" s="19"/>
      <c r="CG68" s="19"/>
      <c r="CH68" s="21"/>
      <c r="CI68" s="25"/>
    </row>
    <row r="69" spans="2:87">
      <c r="B69" s="3"/>
      <c r="C69" s="3"/>
      <c r="D69" s="19"/>
      <c r="E69" s="3"/>
      <c r="F69" s="3"/>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M69" s="19"/>
      <c r="AN69" s="19"/>
      <c r="AO69" s="21"/>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O69" s="25"/>
      <c r="BP69" s="25"/>
      <c r="BQ69" s="25"/>
      <c r="BR69" s="25"/>
      <c r="BS69" s="25"/>
      <c r="BT69" s="25"/>
      <c r="BV69" s="3"/>
      <c r="BW69" s="3"/>
      <c r="BX69" s="19"/>
      <c r="BY69" s="3"/>
      <c r="BZ69" s="3"/>
      <c r="CA69" s="3"/>
      <c r="CB69" s="19"/>
      <c r="CC69" s="3"/>
      <c r="CD69" s="44"/>
      <c r="CF69" s="19"/>
      <c r="CG69" s="19"/>
      <c r="CH69" s="21"/>
      <c r="CI69" s="25"/>
    </row>
    <row r="70" spans="2:87">
      <c r="B70" s="3"/>
      <c r="C70" s="3"/>
      <c r="D70" s="19"/>
      <c r="E70" s="3"/>
      <c r="F70" s="3"/>
      <c r="G70" s="44"/>
      <c r="H70" s="44"/>
      <c r="I70" s="44"/>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M70" s="19"/>
      <c r="AN70" s="19"/>
      <c r="AO70" s="21"/>
      <c r="AP70" s="25"/>
      <c r="AQ70" s="25"/>
      <c r="AR70" s="25"/>
      <c r="AS70" s="25"/>
      <c r="AT70" s="25"/>
      <c r="AU70" s="25"/>
      <c r="AV70" s="25"/>
      <c r="AW70" s="25"/>
      <c r="AX70" s="25"/>
      <c r="AY70" s="25"/>
      <c r="AZ70" s="25"/>
      <c r="BA70" s="25"/>
      <c r="BB70" s="25"/>
      <c r="BC70" s="25"/>
      <c r="BD70" s="25"/>
      <c r="BE70" s="25"/>
      <c r="BF70" s="25"/>
      <c r="BG70" s="25"/>
      <c r="BH70" s="25"/>
      <c r="BI70" s="25"/>
      <c r="BJ70" s="25"/>
      <c r="BK70" s="25"/>
      <c r="BL70" s="25"/>
      <c r="BM70" s="25"/>
      <c r="BN70" s="25"/>
      <c r="BO70" s="25"/>
      <c r="BP70" s="25"/>
      <c r="BQ70" s="25"/>
      <c r="BR70" s="25"/>
      <c r="BS70" s="25"/>
      <c r="BT70" s="25"/>
      <c r="BV70" s="3"/>
      <c r="BW70" s="3"/>
      <c r="BX70" s="19"/>
      <c r="BY70" s="3"/>
      <c r="BZ70" s="3"/>
      <c r="CA70" s="3"/>
      <c r="CB70" s="19"/>
      <c r="CC70" s="3"/>
      <c r="CD70" s="44"/>
      <c r="CF70" s="19"/>
      <c r="CG70" s="19"/>
      <c r="CH70" s="21"/>
      <c r="CI70" s="25"/>
    </row>
    <row r="71" spans="2:87">
      <c r="B71" s="3"/>
      <c r="C71" s="3"/>
      <c r="D71" s="19"/>
      <c r="E71" s="3"/>
      <c r="F71" s="3"/>
      <c r="G71" s="44"/>
      <c r="H71" s="44"/>
      <c r="I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M71" s="19"/>
      <c r="AN71" s="19"/>
      <c r="AO71" s="21"/>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c r="BP71" s="25"/>
      <c r="BQ71" s="25"/>
      <c r="BR71" s="25"/>
      <c r="BS71" s="25"/>
      <c r="BT71" s="25"/>
      <c r="BV71" s="3"/>
      <c r="BW71" s="3"/>
      <c r="BX71" s="19"/>
      <c r="BY71" s="3"/>
      <c r="BZ71" s="3"/>
      <c r="CA71" s="3"/>
      <c r="CB71" s="19"/>
      <c r="CC71" s="3"/>
      <c r="CD71" s="44"/>
      <c r="CF71" s="19"/>
      <c r="CG71" s="19"/>
      <c r="CH71" s="21"/>
      <c r="CI71" s="25"/>
    </row>
    <row r="72" spans="2:87">
      <c r="B72" s="3"/>
      <c r="C72" s="3"/>
      <c r="D72" s="19"/>
      <c r="E72" s="3"/>
      <c r="F72" s="3"/>
      <c r="G72" s="44"/>
      <c r="H72" s="44"/>
      <c r="I72" s="44"/>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M72" s="19"/>
      <c r="AN72" s="19"/>
      <c r="AO72" s="21"/>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c r="BP72" s="25"/>
      <c r="BQ72" s="25"/>
      <c r="BR72" s="25"/>
      <c r="BS72" s="25"/>
      <c r="BT72" s="25"/>
      <c r="BV72" s="3"/>
      <c r="BW72" s="3"/>
      <c r="BX72" s="19"/>
      <c r="BY72" s="3"/>
      <c r="BZ72" s="3"/>
      <c r="CA72" s="3"/>
      <c r="CB72" s="19"/>
      <c r="CC72" s="3"/>
      <c r="CD72" s="44"/>
      <c r="CF72" s="19"/>
      <c r="CG72" s="19"/>
      <c r="CH72" s="21"/>
      <c r="CI72" s="25"/>
    </row>
    <row r="73" spans="2:87">
      <c r="B73" s="3"/>
      <c r="C73" s="3"/>
      <c r="D73" s="19"/>
      <c r="E73" s="3"/>
      <c r="F73" s="3"/>
      <c r="G73" s="44"/>
      <c r="H73" s="44"/>
      <c r="I73" s="44"/>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M73" s="19"/>
      <c r="AN73" s="19"/>
      <c r="AO73" s="21"/>
      <c r="AP73" s="25"/>
      <c r="AQ73" s="25"/>
      <c r="AR73" s="25"/>
      <c r="AS73" s="25"/>
      <c r="AT73" s="25"/>
      <c r="AU73" s="25"/>
      <c r="AV73" s="25"/>
      <c r="AW73" s="25"/>
      <c r="AX73" s="25"/>
      <c r="AY73" s="25"/>
      <c r="AZ73" s="25"/>
      <c r="BA73" s="25"/>
      <c r="BB73" s="25"/>
      <c r="BC73" s="25"/>
      <c r="BD73" s="25"/>
      <c r="BE73" s="25"/>
      <c r="BF73" s="25"/>
      <c r="BG73" s="25"/>
      <c r="BH73" s="25"/>
      <c r="BI73" s="25"/>
      <c r="BJ73" s="25"/>
      <c r="BK73" s="25"/>
      <c r="BL73" s="25"/>
      <c r="BM73" s="25"/>
      <c r="BN73" s="25"/>
      <c r="BO73" s="25"/>
      <c r="BP73" s="25"/>
      <c r="BQ73" s="25"/>
      <c r="BR73" s="25"/>
      <c r="BS73" s="25"/>
      <c r="BT73" s="25"/>
      <c r="BV73" s="3"/>
      <c r="BW73" s="3"/>
      <c r="BX73" s="19"/>
      <c r="BY73" s="3"/>
      <c r="BZ73" s="3"/>
      <c r="CA73" s="3"/>
      <c r="CB73" s="19"/>
      <c r="CC73" s="3"/>
      <c r="CD73" s="44"/>
      <c r="CF73" s="19"/>
      <c r="CG73" s="19"/>
      <c r="CH73" s="21"/>
      <c r="CI73" s="25"/>
    </row>
    <row r="74" spans="2:87">
      <c r="B74" s="3"/>
      <c r="C74" s="3"/>
      <c r="D74" s="19"/>
      <c r="E74" s="3"/>
      <c r="F74" s="3"/>
      <c r="G74" s="44"/>
      <c r="H74" s="44"/>
      <c r="I74" s="44"/>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M74" s="19"/>
      <c r="AN74" s="19"/>
      <c r="AO74" s="21"/>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c r="BP74" s="25"/>
      <c r="BQ74" s="25"/>
      <c r="BR74" s="25"/>
      <c r="BS74" s="25"/>
      <c r="BT74" s="25"/>
      <c r="BV74" s="3"/>
      <c r="BW74" s="3"/>
      <c r="BX74" s="19"/>
      <c r="BY74" s="3"/>
      <c r="BZ74" s="3"/>
      <c r="CA74" s="3"/>
      <c r="CB74" s="19"/>
      <c r="CC74" s="3"/>
      <c r="CD74" s="44"/>
      <c r="CF74" s="19"/>
      <c r="CG74" s="19"/>
      <c r="CH74" s="21"/>
      <c r="CI74" s="25"/>
    </row>
    <row r="75" spans="2:87">
      <c r="B75" s="3"/>
      <c r="C75" s="3"/>
      <c r="D75" s="19"/>
      <c r="E75" s="3"/>
      <c r="F75" s="3"/>
      <c r="G75" s="44"/>
      <c r="H75" s="44"/>
      <c r="I75" s="44"/>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M75" s="19"/>
      <c r="AN75" s="19"/>
      <c r="AO75" s="21"/>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c r="BR75" s="25"/>
      <c r="BS75" s="25"/>
      <c r="BT75" s="25"/>
      <c r="BV75" s="3"/>
      <c r="BW75" s="3"/>
      <c r="BX75" s="19"/>
      <c r="BY75" s="3"/>
      <c r="BZ75" s="3"/>
      <c r="CA75" s="3"/>
      <c r="CB75" s="19"/>
      <c r="CC75" s="3"/>
      <c r="CD75" s="44"/>
      <c r="CF75" s="19"/>
      <c r="CG75" s="19"/>
      <c r="CH75" s="21"/>
      <c r="CI75" s="25"/>
    </row>
    <row r="76" spans="2:87">
      <c r="B76" s="3"/>
      <c r="C76" s="3"/>
      <c r="D76" s="19"/>
      <c r="E76" s="3"/>
      <c r="F76" s="3"/>
      <c r="G76" s="44"/>
      <c r="H76" s="44"/>
      <c r="I76" s="44"/>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M76" s="19"/>
      <c r="AN76" s="19"/>
      <c r="AO76" s="21"/>
      <c r="AP76" s="25"/>
      <c r="AQ76" s="25"/>
      <c r="AR76" s="25"/>
      <c r="AS76" s="25"/>
      <c r="AT76" s="25"/>
      <c r="AU76" s="25"/>
      <c r="AV76" s="25"/>
      <c r="AW76" s="25"/>
      <c r="AX76" s="25"/>
      <c r="AY76" s="25"/>
      <c r="AZ76" s="25"/>
      <c r="BA76" s="25"/>
      <c r="BB76" s="25"/>
      <c r="BC76" s="25"/>
      <c r="BD76" s="25"/>
      <c r="BE76" s="25"/>
      <c r="BF76" s="25"/>
      <c r="BG76" s="25"/>
      <c r="BH76" s="25"/>
      <c r="BI76" s="25"/>
      <c r="BJ76" s="25"/>
      <c r="BK76" s="25"/>
      <c r="BL76" s="25"/>
      <c r="BM76" s="25"/>
      <c r="BN76" s="25"/>
      <c r="BO76" s="25"/>
      <c r="BP76" s="25"/>
      <c r="BQ76" s="25"/>
      <c r="BR76" s="25"/>
      <c r="BS76" s="25"/>
      <c r="BT76" s="25"/>
      <c r="BV76" s="3"/>
      <c r="BW76" s="3"/>
      <c r="BX76" s="19"/>
      <c r="BY76" s="3"/>
      <c r="BZ76" s="3"/>
      <c r="CA76" s="3"/>
      <c r="CB76" s="19"/>
      <c r="CC76" s="3"/>
      <c r="CD76" s="44"/>
      <c r="CF76" s="19"/>
      <c r="CG76" s="19"/>
      <c r="CH76" s="21"/>
      <c r="CI76" s="25"/>
    </row>
    <row r="77" spans="2:87">
      <c r="B77" s="3"/>
      <c r="C77" s="3"/>
      <c r="D77" s="19"/>
      <c r="E77" s="3"/>
      <c r="F77" s="3"/>
      <c r="G77" s="44"/>
      <c r="H77" s="44"/>
      <c r="I77" s="44"/>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M77" s="19"/>
      <c r="AN77" s="19"/>
      <c r="AO77" s="21"/>
      <c r="AP77" s="25"/>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c r="BP77" s="25"/>
      <c r="BQ77" s="25"/>
      <c r="BR77" s="25"/>
      <c r="BS77" s="25"/>
      <c r="BT77" s="25"/>
      <c r="BV77" s="3"/>
      <c r="BW77" s="3"/>
      <c r="BX77" s="19"/>
      <c r="BY77" s="3"/>
      <c r="BZ77" s="3"/>
      <c r="CA77" s="3"/>
      <c r="CB77" s="19"/>
      <c r="CC77" s="3"/>
      <c r="CD77" s="44"/>
      <c r="CF77" s="19"/>
      <c r="CG77" s="19"/>
      <c r="CH77" s="21"/>
      <c r="CI77" s="25"/>
    </row>
    <row r="78" spans="2:87">
      <c r="B78" s="3"/>
      <c r="C78" s="3"/>
      <c r="D78" s="19"/>
      <c r="E78" s="3"/>
      <c r="F78" s="3"/>
      <c r="G78" s="44"/>
      <c r="H78" s="44"/>
      <c r="I78" s="44"/>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M78" s="19"/>
      <c r="AN78" s="19"/>
      <c r="AO78" s="21"/>
      <c r="AP78" s="25"/>
      <c r="AQ78" s="25"/>
      <c r="AR78" s="25"/>
      <c r="AS78" s="25"/>
      <c r="AT78" s="25"/>
      <c r="AU78" s="25"/>
      <c r="AV78" s="25"/>
      <c r="AW78" s="25"/>
      <c r="AX78" s="25"/>
      <c r="AY78" s="25"/>
      <c r="AZ78" s="25"/>
      <c r="BA78" s="25"/>
      <c r="BB78" s="25"/>
      <c r="BC78" s="25"/>
      <c r="BD78" s="25"/>
      <c r="BE78" s="25"/>
      <c r="BF78" s="25"/>
      <c r="BG78" s="25"/>
      <c r="BH78" s="25"/>
      <c r="BI78" s="25"/>
      <c r="BJ78" s="25"/>
      <c r="BK78" s="25"/>
      <c r="BL78" s="25"/>
      <c r="BM78" s="25"/>
      <c r="BN78" s="25"/>
      <c r="BO78" s="25"/>
      <c r="BP78" s="25"/>
      <c r="BQ78" s="25"/>
      <c r="BR78" s="25"/>
      <c r="BS78" s="25"/>
      <c r="BT78" s="25"/>
      <c r="BV78" s="3"/>
      <c r="BW78" s="3"/>
      <c r="BX78" s="19"/>
      <c r="BY78" s="3"/>
      <c r="BZ78" s="3"/>
      <c r="CA78" s="3"/>
      <c r="CB78" s="19"/>
      <c r="CC78" s="3"/>
      <c r="CD78" s="44"/>
      <c r="CF78" s="19"/>
      <c r="CG78" s="19"/>
      <c r="CH78" s="21"/>
      <c r="CI78" s="25"/>
    </row>
    <row r="79" spans="2:87">
      <c r="B79" s="3"/>
      <c r="C79" s="3"/>
      <c r="D79" s="19"/>
      <c r="E79" s="3"/>
      <c r="F79" s="3"/>
      <c r="G79" s="44"/>
      <c r="H79" s="44"/>
      <c r="I79" s="44"/>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M79" s="19"/>
      <c r="AN79" s="19"/>
      <c r="AO79" s="21"/>
      <c r="AP79" s="25"/>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c r="BP79" s="25"/>
      <c r="BQ79" s="25"/>
      <c r="BR79" s="25"/>
      <c r="BS79" s="25"/>
      <c r="BT79" s="25"/>
      <c r="BV79" s="3"/>
      <c r="BW79" s="3"/>
      <c r="BX79" s="19"/>
      <c r="BY79" s="3"/>
      <c r="BZ79" s="3"/>
      <c r="CA79" s="3"/>
      <c r="CB79" s="19"/>
      <c r="CC79" s="3"/>
      <c r="CD79" s="44"/>
      <c r="CF79" s="19"/>
      <c r="CG79" s="19"/>
      <c r="CH79" s="21"/>
      <c r="CI79" s="25"/>
    </row>
    <row r="80" spans="2:87">
      <c r="B80" s="3"/>
      <c r="C80" s="3"/>
      <c r="D80" s="19"/>
      <c r="E80" s="3"/>
      <c r="F80" s="3"/>
      <c r="G80" s="44"/>
      <c r="H80" s="44"/>
      <c r="I80" s="44"/>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M80" s="19"/>
      <c r="AN80" s="19"/>
      <c r="AO80" s="21"/>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25"/>
      <c r="BV80" s="3"/>
      <c r="BW80" s="3"/>
      <c r="BX80" s="19"/>
      <c r="BY80" s="3"/>
      <c r="BZ80" s="3"/>
      <c r="CA80" s="3"/>
      <c r="CB80" s="19"/>
      <c r="CC80" s="3"/>
      <c r="CD80" s="44"/>
      <c r="CF80" s="19"/>
      <c r="CG80" s="19"/>
      <c r="CH80" s="21"/>
      <c r="CI80" s="25"/>
    </row>
    <row r="81" spans="2:87">
      <c r="B81" s="3"/>
      <c r="C81" s="3"/>
      <c r="D81" s="19"/>
      <c r="E81" s="3"/>
      <c r="F81" s="3"/>
      <c r="G81" s="44"/>
      <c r="H81" s="44"/>
      <c r="I81" s="44"/>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M81" s="19"/>
      <c r="AN81" s="19"/>
      <c r="AO81" s="21"/>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V81" s="3"/>
      <c r="BW81" s="3"/>
      <c r="BX81" s="19"/>
      <c r="BY81" s="3"/>
      <c r="BZ81" s="3"/>
      <c r="CA81" s="3"/>
      <c r="CB81" s="19"/>
      <c r="CC81" s="3"/>
      <c r="CD81" s="44"/>
      <c r="CF81" s="19"/>
      <c r="CG81" s="19"/>
      <c r="CH81" s="21"/>
      <c r="CI81" s="25"/>
    </row>
    <row r="82" spans="2:87">
      <c r="B82" s="3"/>
      <c r="C82" s="3"/>
      <c r="D82" s="19"/>
      <c r="E82" s="3"/>
      <c r="F82" s="3"/>
      <c r="G82" s="44"/>
      <c r="H82" s="44"/>
      <c r="I82" s="44"/>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M82" s="19"/>
      <c r="AN82" s="19"/>
      <c r="AO82" s="21"/>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V82" s="3"/>
      <c r="BW82" s="3"/>
      <c r="BX82" s="19"/>
      <c r="BY82" s="3"/>
      <c r="BZ82" s="3"/>
      <c r="CA82" s="3"/>
      <c r="CB82" s="19"/>
      <c r="CC82" s="3"/>
      <c r="CD82" s="44"/>
      <c r="CF82" s="19"/>
      <c r="CG82" s="19"/>
      <c r="CH82" s="21"/>
      <c r="CI82" s="25"/>
    </row>
    <row r="83" spans="2:87">
      <c r="B83" s="3"/>
      <c r="C83" s="3"/>
      <c r="D83" s="19"/>
      <c r="E83" s="3"/>
      <c r="F83" s="3"/>
      <c r="G83" s="44"/>
      <c r="H83" s="44"/>
      <c r="I83" s="44"/>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M83" s="19"/>
      <c r="AN83" s="19"/>
      <c r="AO83" s="21"/>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V83" s="3"/>
      <c r="BW83" s="3"/>
      <c r="BX83" s="19"/>
      <c r="BY83" s="3"/>
      <c r="BZ83" s="3"/>
      <c r="CA83" s="3"/>
      <c r="CB83" s="19"/>
      <c r="CC83" s="3"/>
      <c r="CD83" s="44"/>
      <c r="CF83" s="19"/>
      <c r="CG83" s="19"/>
      <c r="CH83" s="21"/>
      <c r="CI83" s="25"/>
    </row>
    <row r="84" spans="2:87">
      <c r="B84" s="3"/>
      <c r="C84" s="3"/>
      <c r="D84" s="19"/>
      <c r="E84" s="3"/>
      <c r="F84" s="3"/>
      <c r="G84" s="44"/>
      <c r="H84" s="44"/>
      <c r="I84" s="44"/>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M84" s="19"/>
      <c r="AN84" s="19"/>
      <c r="AO84" s="21"/>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V84" s="3"/>
      <c r="BW84" s="3"/>
      <c r="BX84" s="19"/>
      <c r="BY84" s="3"/>
      <c r="BZ84" s="3"/>
      <c r="CA84" s="3"/>
      <c r="CB84" s="19"/>
      <c r="CC84" s="3"/>
      <c r="CD84" s="44"/>
      <c r="CF84" s="19"/>
      <c r="CG84" s="19"/>
      <c r="CH84" s="21"/>
      <c r="CI84" s="25"/>
    </row>
    <row r="85" spans="2:87">
      <c r="B85" s="3"/>
      <c r="C85" s="3"/>
      <c r="D85" s="19"/>
      <c r="E85" s="3"/>
      <c r="F85" s="3"/>
      <c r="G85" s="44"/>
      <c r="H85" s="44"/>
      <c r="I85" s="44"/>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M85" s="19"/>
      <c r="AN85" s="19"/>
      <c r="AO85" s="21"/>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V85" s="3"/>
      <c r="BW85" s="3"/>
      <c r="BX85" s="19"/>
      <c r="BY85" s="3"/>
      <c r="BZ85" s="3"/>
      <c r="CA85" s="3"/>
      <c r="CB85" s="19"/>
      <c r="CC85" s="3"/>
      <c r="CD85" s="44"/>
      <c r="CF85" s="19"/>
      <c r="CG85" s="19"/>
      <c r="CH85" s="21"/>
      <c r="CI85" s="25"/>
    </row>
    <row r="86" spans="2:87">
      <c r="B86" s="3"/>
      <c r="C86" s="3"/>
      <c r="D86" s="19"/>
      <c r="E86" s="3"/>
      <c r="F86" s="3"/>
      <c r="G86" s="44"/>
      <c r="H86" s="44"/>
      <c r="I86" s="44"/>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M86" s="19"/>
      <c r="AN86" s="19"/>
      <c r="AO86" s="21"/>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V86" s="3"/>
      <c r="BW86" s="3"/>
      <c r="BX86" s="19"/>
      <c r="BY86" s="3"/>
      <c r="BZ86" s="3"/>
      <c r="CA86" s="3"/>
      <c r="CB86" s="19"/>
      <c r="CC86" s="3"/>
      <c r="CD86" s="44"/>
      <c r="CF86" s="19"/>
      <c r="CG86" s="19"/>
      <c r="CH86" s="21"/>
      <c r="CI86" s="25"/>
    </row>
    <row r="87" spans="2:87">
      <c r="B87" s="3"/>
      <c r="C87" s="3"/>
      <c r="D87" s="19"/>
      <c r="E87" s="3"/>
      <c r="F87" s="3"/>
      <c r="G87" s="44"/>
      <c r="H87" s="44"/>
      <c r="I87" s="44"/>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M87" s="19"/>
      <c r="AN87" s="19"/>
      <c r="AO87" s="21"/>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V87" s="3"/>
      <c r="BW87" s="3"/>
      <c r="BX87" s="19"/>
      <c r="BY87" s="3"/>
      <c r="BZ87" s="3"/>
      <c r="CA87" s="3"/>
      <c r="CB87" s="19"/>
      <c r="CC87" s="3"/>
      <c r="CD87" s="44"/>
      <c r="CF87" s="19"/>
      <c r="CG87" s="19"/>
      <c r="CH87" s="21"/>
      <c r="CI87" s="25"/>
    </row>
    <row r="88" spans="2:87">
      <c r="B88" s="3"/>
      <c r="C88" s="3"/>
      <c r="D88" s="19"/>
      <c r="E88" s="3"/>
      <c r="F88" s="3"/>
      <c r="G88" s="44"/>
      <c r="H88" s="44"/>
      <c r="I88" s="44"/>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M88" s="19"/>
      <c r="AN88" s="19"/>
      <c r="AO88" s="21"/>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V88" s="3"/>
      <c r="BW88" s="3"/>
      <c r="BX88" s="19"/>
      <c r="BY88" s="3"/>
      <c r="BZ88" s="3"/>
      <c r="CA88" s="3"/>
      <c r="CB88" s="19"/>
      <c r="CC88" s="3"/>
      <c r="CD88" s="44"/>
      <c r="CF88" s="19"/>
      <c r="CG88" s="19"/>
      <c r="CH88" s="21"/>
      <c r="CI88" s="25"/>
    </row>
    <row r="89" spans="2:87">
      <c r="B89" s="3"/>
      <c r="C89" s="3"/>
      <c r="D89" s="19"/>
      <c r="E89" s="3"/>
      <c r="F89" s="3"/>
      <c r="G89" s="44"/>
      <c r="H89" s="44"/>
      <c r="I89" s="44"/>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M89" s="19"/>
      <c r="AN89" s="19"/>
      <c r="AO89" s="21"/>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V89" s="3"/>
      <c r="BW89" s="3"/>
      <c r="BX89" s="19"/>
      <c r="BY89" s="3"/>
      <c r="BZ89" s="3"/>
      <c r="CA89" s="3"/>
      <c r="CB89" s="19"/>
      <c r="CC89" s="3"/>
      <c r="CD89" s="44"/>
      <c r="CF89" s="19"/>
      <c r="CG89" s="19"/>
      <c r="CH89" s="21"/>
      <c r="CI89" s="25"/>
    </row>
    <row r="90" spans="2:87">
      <c r="B90" s="3"/>
      <c r="C90" s="3"/>
      <c r="D90" s="19"/>
      <c r="E90" s="3"/>
      <c r="F90" s="3"/>
      <c r="G90" s="44"/>
      <c r="H90" s="44"/>
      <c r="I90" s="44"/>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M90" s="19"/>
      <c r="AN90" s="19"/>
      <c r="AO90" s="21"/>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V90" s="3"/>
      <c r="BW90" s="3"/>
      <c r="BX90" s="19"/>
      <c r="BY90" s="3"/>
      <c r="BZ90" s="3"/>
      <c r="CA90" s="3"/>
      <c r="CB90" s="19"/>
      <c r="CC90" s="3"/>
      <c r="CD90" s="44"/>
      <c r="CF90" s="19"/>
      <c r="CG90" s="19"/>
      <c r="CH90" s="21"/>
      <c r="CI90" s="25"/>
    </row>
    <row r="91" spans="2:87">
      <c r="B91" s="3"/>
      <c r="C91" s="3"/>
      <c r="D91" s="19"/>
      <c r="E91" s="3"/>
      <c r="F91" s="3"/>
      <c r="G91" s="44"/>
      <c r="H91" s="44"/>
      <c r="I91" s="44"/>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M91" s="19"/>
      <c r="AN91" s="19"/>
      <c r="AO91" s="21"/>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V91" s="3"/>
      <c r="BW91" s="3"/>
      <c r="BX91" s="19"/>
      <c r="BY91" s="3"/>
      <c r="BZ91" s="3"/>
      <c r="CA91" s="3"/>
      <c r="CB91" s="19"/>
      <c r="CC91" s="3"/>
      <c r="CD91" s="44"/>
      <c r="CF91" s="19"/>
      <c r="CG91" s="19"/>
      <c r="CH91" s="21"/>
      <c r="CI91" s="25"/>
    </row>
    <row r="92" spans="2:87">
      <c r="B92" s="3"/>
      <c r="C92" s="3"/>
      <c r="D92" s="19"/>
      <c r="E92" s="3"/>
      <c r="F92" s="3"/>
      <c r="G92" s="44"/>
      <c r="H92" s="44"/>
      <c r="I92" s="44"/>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M92" s="19"/>
      <c r="AN92" s="19"/>
      <c r="AO92" s="21"/>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V92" s="3"/>
      <c r="BW92" s="3"/>
      <c r="BX92" s="19"/>
      <c r="BY92" s="3"/>
      <c r="BZ92" s="3"/>
      <c r="CA92" s="3"/>
      <c r="CB92" s="19"/>
      <c r="CC92" s="3"/>
      <c r="CD92" s="44"/>
      <c r="CF92" s="19"/>
      <c r="CG92" s="19"/>
      <c r="CH92" s="21"/>
      <c r="CI92" s="25"/>
    </row>
    <row r="93" spans="2:87">
      <c r="B93" s="3"/>
      <c r="C93" s="3"/>
      <c r="D93" s="19"/>
      <c r="E93" s="3"/>
      <c r="F93" s="3"/>
      <c r="G93" s="44"/>
      <c r="H93" s="44"/>
      <c r="I93" s="44"/>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M93" s="19"/>
      <c r="AN93" s="19"/>
      <c r="AO93" s="21"/>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V93" s="3"/>
      <c r="BW93" s="3"/>
      <c r="BX93" s="19"/>
      <c r="BY93" s="3"/>
      <c r="BZ93" s="3"/>
      <c r="CA93" s="3"/>
      <c r="CB93" s="19"/>
      <c r="CC93" s="3"/>
      <c r="CD93" s="44"/>
      <c r="CF93" s="19"/>
      <c r="CG93" s="19"/>
      <c r="CH93" s="21"/>
      <c r="CI93" s="25"/>
    </row>
    <row r="94" spans="2:87">
      <c r="B94" s="3"/>
      <c r="C94" s="3"/>
      <c r="D94" s="19"/>
      <c r="E94" s="3"/>
      <c r="F94" s="3"/>
      <c r="G94" s="44"/>
      <c r="H94" s="44"/>
      <c r="I94" s="44"/>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M94" s="19"/>
      <c r="AN94" s="19"/>
      <c r="AO94" s="21"/>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V94" s="3"/>
      <c r="BW94" s="3"/>
      <c r="BX94" s="19"/>
      <c r="BY94" s="3"/>
      <c r="BZ94" s="3"/>
      <c r="CA94" s="3"/>
      <c r="CB94" s="19"/>
      <c r="CC94" s="3"/>
      <c r="CD94" s="44"/>
      <c r="CF94" s="19"/>
      <c r="CG94" s="19"/>
      <c r="CH94" s="21"/>
      <c r="CI94" s="25"/>
    </row>
    <row r="95" spans="2:87">
      <c r="B95" s="3"/>
      <c r="C95" s="3"/>
      <c r="D95" s="19"/>
      <c r="E95" s="3"/>
      <c r="F95" s="3"/>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M95" s="19"/>
      <c r="AN95" s="19"/>
      <c r="AO95" s="21"/>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V95" s="3"/>
      <c r="BW95" s="3"/>
      <c r="BX95" s="19"/>
      <c r="BY95" s="3"/>
      <c r="BZ95" s="3"/>
      <c r="CA95" s="3"/>
      <c r="CB95" s="19"/>
      <c r="CC95" s="3"/>
      <c r="CD95" s="44"/>
      <c r="CF95" s="19"/>
      <c r="CG95" s="19"/>
      <c r="CH95" s="21"/>
      <c r="CI95" s="25"/>
    </row>
    <row r="96" spans="2:87">
      <c r="B96" s="3"/>
      <c r="C96" s="3"/>
      <c r="D96" s="19"/>
      <c r="E96" s="3"/>
      <c r="F96" s="3"/>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M96" s="19"/>
      <c r="AN96" s="19"/>
      <c r="AO96" s="21"/>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V96" s="3"/>
      <c r="BW96" s="3"/>
      <c r="BX96" s="19"/>
      <c r="BY96" s="3"/>
      <c r="BZ96" s="3"/>
      <c r="CA96" s="3"/>
      <c r="CB96" s="19"/>
      <c r="CC96" s="3"/>
      <c r="CD96" s="44"/>
      <c r="CF96" s="19"/>
      <c r="CG96" s="19"/>
      <c r="CH96" s="21"/>
      <c r="CI96" s="25"/>
    </row>
    <row r="97" spans="2:87">
      <c r="B97" s="3"/>
      <c r="C97" s="3"/>
      <c r="D97" s="19"/>
      <c r="E97" s="3"/>
      <c r="F97" s="3"/>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M97" s="19"/>
      <c r="AN97" s="19"/>
      <c r="AO97" s="21"/>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V97" s="3"/>
      <c r="BW97" s="3"/>
      <c r="BX97" s="19"/>
      <c r="BY97" s="3"/>
      <c r="BZ97" s="3"/>
      <c r="CA97" s="3"/>
      <c r="CB97" s="19"/>
      <c r="CC97" s="3"/>
      <c r="CD97" s="44"/>
      <c r="CF97" s="19"/>
      <c r="CG97" s="19"/>
      <c r="CH97" s="21"/>
      <c r="CI97" s="25"/>
    </row>
    <row r="98" spans="2:87">
      <c r="B98" s="3"/>
      <c r="C98" s="3"/>
      <c r="D98" s="19"/>
      <c r="E98" s="3"/>
      <c r="F98" s="3"/>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M98" s="19"/>
      <c r="AN98" s="19"/>
      <c r="AO98" s="21"/>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V98" s="3"/>
      <c r="BW98" s="3"/>
      <c r="BX98" s="19"/>
      <c r="BY98" s="3"/>
      <c r="BZ98" s="3"/>
      <c r="CA98" s="3"/>
      <c r="CB98" s="19"/>
      <c r="CC98" s="3"/>
      <c r="CD98" s="44"/>
      <c r="CF98" s="19"/>
      <c r="CG98" s="19"/>
      <c r="CH98" s="21"/>
      <c r="CI98" s="25"/>
    </row>
    <row r="99" spans="2:87">
      <c r="B99" s="3"/>
      <c r="C99" s="3"/>
      <c r="D99" s="19"/>
      <c r="E99" s="3"/>
      <c r="F99" s="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M99" s="19"/>
      <c r="AN99" s="19"/>
      <c r="AO99" s="21"/>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V99" s="3"/>
      <c r="BW99" s="3"/>
      <c r="BX99" s="19"/>
      <c r="BY99" s="3"/>
      <c r="BZ99" s="3"/>
      <c r="CA99" s="3"/>
      <c r="CB99" s="19"/>
      <c r="CC99" s="3"/>
      <c r="CD99" s="44"/>
      <c r="CF99" s="19"/>
      <c r="CG99" s="19"/>
      <c r="CH99" s="21"/>
      <c r="CI99" s="25"/>
    </row>
    <row r="100" spans="2:87">
      <c r="B100" s="3"/>
      <c r="C100" s="3"/>
      <c r="D100" s="19"/>
      <c r="E100" s="3"/>
      <c r="F100" s="3"/>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M100" s="19"/>
      <c r="AN100" s="19"/>
      <c r="AO100" s="21"/>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V100" s="3"/>
      <c r="BW100" s="3"/>
      <c r="BX100" s="19"/>
      <c r="BY100" s="3"/>
      <c r="BZ100" s="3"/>
      <c r="CA100" s="3"/>
      <c r="CB100" s="19"/>
      <c r="CC100" s="3"/>
      <c r="CD100" s="44"/>
      <c r="CF100" s="19"/>
      <c r="CG100" s="19"/>
      <c r="CH100" s="21"/>
      <c r="CI100" s="25"/>
    </row>
    <row r="101" spans="2:87">
      <c r="B101" s="3"/>
      <c r="C101" s="3"/>
      <c r="D101" s="19"/>
      <c r="E101" s="3"/>
      <c r="F101" s="3"/>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M101" s="19"/>
      <c r="AN101" s="19"/>
      <c r="AO101" s="21"/>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V101" s="3"/>
      <c r="BW101" s="3"/>
      <c r="BX101" s="19"/>
      <c r="BY101" s="3"/>
      <c r="BZ101" s="3"/>
      <c r="CA101" s="3"/>
      <c r="CB101" s="19"/>
      <c r="CC101" s="3"/>
      <c r="CD101" s="44"/>
      <c r="CF101" s="19"/>
      <c r="CG101" s="19"/>
      <c r="CH101" s="21"/>
      <c r="CI101" s="25"/>
    </row>
    <row r="102" spans="2:87">
      <c r="B102" s="3"/>
      <c r="C102" s="3"/>
      <c r="D102" s="19"/>
      <c r="E102" s="3"/>
      <c r="F102" s="3"/>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M102" s="19"/>
      <c r="AN102" s="19"/>
      <c r="AO102" s="21"/>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V102" s="3"/>
      <c r="BW102" s="3"/>
      <c r="BX102" s="19"/>
      <c r="BY102" s="3"/>
      <c r="BZ102" s="3"/>
      <c r="CA102" s="3"/>
      <c r="CB102" s="19"/>
      <c r="CC102" s="3"/>
      <c r="CD102" s="44"/>
      <c r="CF102" s="19"/>
      <c r="CG102" s="19"/>
      <c r="CH102" s="21"/>
      <c r="CI102" s="25"/>
    </row>
    <row r="103" spans="2:87">
      <c r="B103" s="3"/>
      <c r="C103" s="3"/>
      <c r="D103" s="19"/>
      <c r="E103" s="3"/>
      <c r="F103" s="3"/>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M103" s="19"/>
      <c r="AN103" s="19"/>
      <c r="AO103" s="21"/>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V103" s="3"/>
      <c r="BW103" s="3"/>
      <c r="BX103" s="19"/>
      <c r="BY103" s="3"/>
      <c r="BZ103" s="3"/>
      <c r="CA103" s="3"/>
      <c r="CB103" s="19"/>
      <c r="CC103" s="3"/>
      <c r="CD103" s="44"/>
      <c r="CF103" s="19"/>
      <c r="CG103" s="19"/>
      <c r="CH103" s="21"/>
      <c r="CI103" s="25"/>
    </row>
    <row r="104" spans="2:87">
      <c r="B104" s="3"/>
      <c r="C104" s="3"/>
      <c r="D104" s="19"/>
      <c r="E104" s="3"/>
      <c r="F104" s="3"/>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M104" s="19"/>
      <c r="AN104" s="19"/>
      <c r="AO104" s="21"/>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V104" s="3"/>
      <c r="BW104" s="3"/>
      <c r="BX104" s="19"/>
      <c r="BY104" s="3"/>
      <c r="BZ104" s="3"/>
      <c r="CA104" s="3"/>
      <c r="CB104" s="19"/>
      <c r="CC104" s="3"/>
      <c r="CD104" s="44"/>
      <c r="CF104" s="19"/>
      <c r="CG104" s="19"/>
      <c r="CH104" s="21"/>
      <c r="CI104" s="25"/>
    </row>
    <row r="105" spans="2:87">
      <c r="B105" s="3"/>
      <c r="C105" s="3"/>
      <c r="D105" s="19"/>
      <c r="E105" s="3"/>
      <c r="F105" s="3"/>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M105" s="19"/>
      <c r="AN105" s="19"/>
      <c r="AO105" s="21"/>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V105" s="3"/>
      <c r="BW105" s="3"/>
      <c r="BX105" s="19"/>
      <c r="BY105" s="3"/>
      <c r="BZ105" s="3"/>
      <c r="CA105" s="3"/>
      <c r="CB105" s="19"/>
      <c r="CC105" s="3"/>
      <c r="CD105" s="44"/>
      <c r="CF105" s="19"/>
      <c r="CG105" s="19"/>
      <c r="CH105" s="21"/>
      <c r="CI105" s="25"/>
    </row>
    <row r="106" spans="2:87">
      <c r="B106" s="3"/>
      <c r="C106" s="3"/>
      <c r="D106" s="19"/>
      <c r="E106" s="3"/>
      <c r="F106" s="3"/>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M106" s="19"/>
      <c r="AN106" s="19"/>
      <c r="AO106" s="21"/>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V106" s="3"/>
      <c r="BW106" s="3"/>
      <c r="BX106" s="19"/>
      <c r="BY106" s="3"/>
      <c r="BZ106" s="3"/>
      <c r="CA106" s="3"/>
      <c r="CB106" s="19"/>
      <c r="CC106" s="3"/>
      <c r="CD106" s="44"/>
      <c r="CF106" s="19"/>
      <c r="CG106" s="19"/>
      <c r="CH106" s="21"/>
      <c r="CI106" s="25"/>
    </row>
    <row r="107" spans="2:87">
      <c r="B107" s="3"/>
      <c r="C107" s="3"/>
      <c r="D107" s="19"/>
      <c r="E107" s="3"/>
      <c r="F107" s="3"/>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M107" s="19"/>
      <c r="AN107" s="19"/>
      <c r="AO107" s="21"/>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V107" s="3"/>
      <c r="BW107" s="3"/>
      <c r="BX107" s="19"/>
      <c r="BY107" s="3"/>
      <c r="BZ107" s="3"/>
      <c r="CA107" s="3"/>
      <c r="CB107" s="19"/>
      <c r="CC107" s="3"/>
      <c r="CD107" s="44"/>
      <c r="CF107" s="19"/>
      <c r="CG107" s="19"/>
      <c r="CH107" s="21"/>
      <c r="CI107" s="25"/>
    </row>
    <row r="108" spans="2:87">
      <c r="B108" s="3"/>
      <c r="C108" s="3"/>
      <c r="D108" s="19"/>
      <c r="E108" s="3"/>
      <c r="F108" s="3"/>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M108" s="19"/>
      <c r="AN108" s="19"/>
      <c r="AO108" s="21"/>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V108" s="3"/>
      <c r="BW108" s="3"/>
      <c r="BX108" s="19"/>
      <c r="BY108" s="3"/>
      <c r="BZ108" s="3"/>
      <c r="CA108" s="3"/>
      <c r="CB108" s="19"/>
      <c r="CC108" s="3"/>
      <c r="CD108" s="44"/>
      <c r="CF108" s="19"/>
      <c r="CG108" s="19"/>
      <c r="CH108" s="21"/>
      <c r="CI108" s="25"/>
    </row>
    <row r="109" spans="2:87">
      <c r="B109" s="3"/>
      <c r="C109" s="3"/>
      <c r="D109" s="19"/>
      <c r="E109" s="3"/>
      <c r="F109" s="3"/>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M109" s="19"/>
      <c r="AN109" s="19"/>
      <c r="AO109" s="21"/>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V109" s="3"/>
      <c r="BW109" s="3"/>
      <c r="BX109" s="19"/>
      <c r="BY109" s="3"/>
      <c r="BZ109" s="3"/>
      <c r="CA109" s="3"/>
      <c r="CB109" s="19"/>
      <c r="CC109" s="3"/>
      <c r="CD109" s="44"/>
      <c r="CF109" s="19"/>
      <c r="CG109" s="19"/>
      <c r="CH109" s="21"/>
      <c r="CI109" s="25"/>
    </row>
    <row r="110" spans="2:87">
      <c r="B110" s="3"/>
      <c r="C110" s="3"/>
      <c r="D110" s="19"/>
      <c r="E110" s="3"/>
      <c r="F110" s="3"/>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M110" s="19"/>
      <c r="AN110" s="19"/>
      <c r="AO110" s="21"/>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V110" s="3"/>
      <c r="BW110" s="3"/>
      <c r="BX110" s="19"/>
      <c r="BY110" s="3"/>
      <c r="BZ110" s="3"/>
      <c r="CA110" s="3"/>
      <c r="CB110" s="19"/>
      <c r="CC110" s="3"/>
      <c r="CD110" s="44"/>
      <c r="CF110" s="19"/>
      <c r="CG110" s="19"/>
      <c r="CH110" s="21"/>
      <c r="CI110" s="25"/>
    </row>
    <row r="111" spans="2:87">
      <c r="B111" s="3"/>
      <c r="C111" s="3"/>
      <c r="D111" s="19"/>
      <c r="E111" s="3"/>
      <c r="F111" s="3"/>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M111" s="19"/>
      <c r="AN111" s="19"/>
      <c r="AO111" s="21"/>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V111" s="3"/>
      <c r="BW111" s="3"/>
      <c r="BX111" s="19"/>
      <c r="BY111" s="3"/>
      <c r="BZ111" s="3"/>
      <c r="CA111" s="3"/>
      <c r="CB111" s="19"/>
      <c r="CC111" s="3"/>
      <c r="CD111" s="44"/>
      <c r="CF111" s="19"/>
      <c r="CG111" s="19"/>
      <c r="CH111" s="21"/>
      <c r="CI111" s="25"/>
    </row>
    <row r="112" spans="2:87">
      <c r="B112" s="3"/>
      <c r="C112" s="3"/>
      <c r="D112" s="19"/>
      <c r="E112" s="3"/>
      <c r="F112" s="3"/>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M112" s="19"/>
      <c r="AN112" s="19"/>
      <c r="AO112" s="21"/>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V112" s="3"/>
      <c r="BW112" s="3"/>
      <c r="BX112" s="19"/>
      <c r="BY112" s="3"/>
      <c r="BZ112" s="3"/>
      <c r="CA112" s="3"/>
      <c r="CB112" s="19"/>
      <c r="CC112" s="3"/>
      <c r="CD112" s="44"/>
      <c r="CF112" s="19"/>
      <c r="CG112" s="19"/>
      <c r="CH112" s="21"/>
      <c r="CI112" s="25"/>
    </row>
  </sheetData>
  <autoFilter ref="A12:CI112" xr:uid="{43072792-4247-AF47-BB4D-D0D622D44412}"/>
  <dataValidations count="7">
    <dataValidation type="list" allowBlank="1" showInputMessage="1" showErrorMessage="1" sqref="AO13:AO112 CH13:CH112" xr:uid="{906D8C85-1DA7-DF42-AFC5-1812EF30F401}">
      <formula1>"&gt;=,&lt;=,==,gt,lt,eq"</formula1>
    </dataValidation>
    <dataValidation allowBlank="1" showInputMessage="1" showErrorMessage="1" promptTitle="Note:" prompt="Inputting an * (asterisk) will cause the custom constraint to act as a &quot;sum over&quot; constraint. For example, putting * in the HOURS column for a constraint will sum across all hours in a given representative period." sqref="CC13:CC112" xr:uid="{51FD6C0D-8E04-FA48-A750-F192490D2756}"/>
    <dataValidation type="list" allowBlank="1" showInputMessage="1" showErrorMessage="1" sqref="CF13:CF112" xr:uid="{21EAF0CA-430D-9749-AD96-5CA7E49D3B7B}">
      <formula1>OFFSET(lists_custom_constraint_groups_timepoint,0,0,COUNTA(lists_custom_constraint_groups_timepoint))</formula1>
    </dataValidation>
    <dataValidation type="list" allowBlank="1" showInputMessage="1" showErrorMessage="1" sqref="CG13:CG112" xr:uid="{DF035309-2FD8-0641-B81B-B10F01194528}">
      <formula1>OFFSET(lists_custom_constraints_timepoint,0,0,COUNTA(lists_custom_constraints_timepoint))</formula1>
    </dataValidation>
    <dataValidation type="list" allowBlank="1" showInputMessage="1" showErrorMessage="1" sqref="AM13:AM112" xr:uid="{FAB69211-2AB7-0448-A4BC-CE51127BAF52}">
      <formula1>OFFSET(lists_custom_constraint_groups_annual,0,0,COUNTA(lists_custom_constraint_groups_annual))</formula1>
    </dataValidation>
    <dataValidation type="list" allowBlank="1" showInputMessage="1" showErrorMessage="1" sqref="AN13:AN112" xr:uid="{5067C7B7-9981-894C-A248-CCAB8AFA1C10}">
      <formula1>OFFSET(lists_custom_constraints_annual,0,0,COUNTA(lists_custom_constraints_annual))</formula1>
    </dataValidation>
    <dataValidation type="list" allowBlank="1" showInputMessage="1" showErrorMessage="1" sqref="D13:D112 BX13:BX112" xr:uid="{9348EF05-A5C6-7643-A30A-4D1741BAD1A4}">
      <formula1>OFFSET(vars_and_expressions,,,COUNTA(vars_and_expressions))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C4D28BE-7F92-924D-9889-CD5ED1F04A1D}">
          <x14:formula1>
            <xm:f>'Temporal Settings'!$AF$9:$AF$44</xm:f>
          </x14:formula1>
          <xm:sqref>CB13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0CCCE-9B27-A247-A000-36DBD80EFF58}">
  <sheetPr codeName="Sheet5">
    <tabColor theme="3"/>
  </sheetPr>
  <dimension ref="A1:Q120"/>
  <sheetViews>
    <sheetView showGridLines="0" topLeftCell="A10" zoomScaleNormal="100" workbookViewId="0">
      <selection activeCell="O33" sqref="O33"/>
    </sheetView>
  </sheetViews>
  <sheetFormatPr baseColWidth="10" defaultColWidth="11" defaultRowHeight="12" outlineLevelCol="1"/>
  <cols>
    <col min="2" max="2" width="22.59765625" customWidth="1"/>
    <col min="3" max="3" width="45.59765625" bestFit="1" customWidth="1"/>
    <col min="4" max="4" width="2.796875" customWidth="1"/>
    <col min="5" max="10" width="42" hidden="1" customWidth="1" outlineLevel="1"/>
    <col min="11" max="11" width="2.796875" hidden="1" customWidth="1" outlineLevel="1"/>
    <col min="12" max="12" width="4.796875" customWidth="1" collapsed="1"/>
    <col min="13" max="13" width="25" customWidth="1"/>
    <col min="14" max="17" width="20.796875" customWidth="1"/>
  </cols>
  <sheetData>
    <row r="1" spans="1:13" s="5" customFormat="1" ht="29" thickBot="1">
      <c r="A1" s="5" t="s">
        <v>193</v>
      </c>
    </row>
    <row r="3" spans="1:13" ht="13">
      <c r="B3" s="6" t="s">
        <v>32</v>
      </c>
    </row>
    <row r="4" spans="1:13">
      <c r="B4" s="49" t="s">
        <v>108</v>
      </c>
    </row>
    <row r="5" spans="1:13">
      <c r="B5" s="45"/>
    </row>
    <row r="8" spans="1:13" ht="37" customHeight="1">
      <c r="B8" s="45" t="s">
        <v>194</v>
      </c>
    </row>
    <row r="10" spans="1:13" ht="13">
      <c r="B10" s="6" t="s">
        <v>195</v>
      </c>
      <c r="M10" s="6" t="s">
        <v>196</v>
      </c>
    </row>
    <row r="11" spans="1:13">
      <c r="B11" s="7" t="s">
        <v>197</v>
      </c>
      <c r="M11" s="19" t="s">
        <v>108</v>
      </c>
    </row>
    <row r="12" spans="1:13">
      <c r="B12" s="45"/>
    </row>
    <row r="16" spans="1:13" ht="43" customHeight="1">
      <c r="B16" s="45" t="s">
        <v>198</v>
      </c>
      <c r="M16" s="45"/>
    </row>
    <row r="18" spans="2:17" ht="19" thickBot="1">
      <c r="B18" s="9" t="s">
        <v>193</v>
      </c>
      <c r="C18" s="9"/>
    </row>
    <row r="20" spans="2:17" ht="13">
      <c r="B20" s="6" t="s">
        <v>199</v>
      </c>
      <c r="C20" s="6" t="s">
        <v>200</v>
      </c>
      <c r="E20" s="6" t="s">
        <v>201</v>
      </c>
      <c r="F20" s="6"/>
      <c r="G20" s="6"/>
      <c r="H20" s="6"/>
      <c r="I20" s="6"/>
      <c r="J20" s="6"/>
      <c r="L20" s="6" t="s">
        <v>202</v>
      </c>
      <c r="M20" s="6"/>
      <c r="N20" s="6"/>
      <c r="O20" s="6"/>
      <c r="P20" s="6"/>
      <c r="Q20" s="6"/>
    </row>
    <row r="21" spans="2:17">
      <c r="B21" s="38" t="s">
        <v>203</v>
      </c>
      <c r="C21" s="3" t="s">
        <v>110</v>
      </c>
      <c r="E21" s="91" t="str" cm="1">
        <f t="array" ref="E21">TRANSPOSE("'"&amp;_xlfn._xlws.FILTER(Lists!$CA$9:$CA$50,B21=Lists!$CC$9:$CC$50)&amp;"'!"&amp;B21)</f>
        <v>'Zones and Transmission'!Zone</v>
      </c>
      <c r="F21" s="91"/>
      <c r="G21" s="91"/>
      <c r="H21" s="91"/>
      <c r="I21" s="91"/>
      <c r="J21" s="91"/>
      <c r="L21" s="34">
        <f ca="1">COUNTIFS(M21:Q21,"&lt;&gt;"&amp;"")-COUNTIFS(M21:Q21,"-/-")</f>
        <v>0</v>
      </c>
      <c r="M21" s="12" t="str" cm="1">
        <f t="array" aca="1" ref="M21" ca="1">TRANSPOSE(_xlfn.LET(
_xlpm.all_scenario_tags,
_xlfn.VSTACK(
IFERROR(_xlfn._xlws.FILTER(INDIRECT("'"&amp;model_name&amp;" case settings'!$C$19:$C$42"),ISNUMBER(MATCH(INDIRECT("'"&amp;model_name&amp;" case settings'!$C$19:$C$42"),_xlfn._xlws.FILTER(INDIRECT(E21&amp;".scenario"),INDIRECT(E21)=$C21),0))),"-/-"),
IFERROR(_xlfn._xlws.FILTER(INDIRECT("'"&amp;model_name&amp;" case settings'!$C$19:$C$42"),ISNUMBER(MATCH(INDIRECT("'"&amp;model_name&amp;" case settings'!$C$19:$C$42"),_xlfn._xlws.FILTER(INDIRECT(F21&amp;".scenario"),INDIRECT(F21)=$C21),0))),"-/-"),
IFERROR(_xlfn._xlws.FILTER(INDIRECT("'"&amp;model_name&amp;" case settings'!$C$19:$C$42"),ISNUMBER(MATCH(INDIRECT("'"&amp;model_name&amp;" case settings'!$C$19:$C$42"),_xlfn._xlws.FILTER(INDIRECT(G21&amp;".scenario"),INDIRECT(G21)=$C21),0))),"-/-"),
IFERROR(_xlfn._xlws.FILTER(INDIRECT("'"&amp;model_name&amp;" case settings'!$C$19:$C$42"),ISNUMBER(MATCH(INDIRECT("'"&amp;model_name&amp;" case settings'!$C$19:$C$42"),_xlfn._xlws.FILTER(INDIRECT(H21&amp;".scenario"),INDIRECT(H21)=$C21),0))),"-/-"),
IFERROR(_xlfn._xlws.FILTER(INDIRECT("'"&amp;model_name&amp;" case settings'!$C$19:$C$42"),ISNUMBER(MATCH(INDIRECT("'"&amp;model_name&amp;" case settings'!$C$19:$C$42"),_xlfn._xlws.FILTER(INDIRECT(I21&amp;".scenario"),INDIRECT(I21)=$C21),0))),"-/-"),
IFERROR(_xlfn._xlws.FILTER(INDIRECT("'"&amp;model_name&amp;" case settings'!$C$19:$C$42"),ISNUMBER(MATCH(INDIRECT("'"&amp;model_name&amp;" case settings'!$C$19:$C$42"),_xlfn._xlws.FILTER(INDIRECT(J21&amp;".scenario"),INDIRECT(J21)=$C21),0))),"-/-")),
_xlfn._xlws.FILTER(_xlpm.all_scenario_tags,_xlpm.all_scenario_tags&lt;&gt;"-/-","-/-")
))</f>
        <v>-/-</v>
      </c>
      <c r="N21" s="12"/>
      <c r="O21" s="12"/>
      <c r="P21" s="12"/>
      <c r="Q21" s="12"/>
    </row>
    <row r="22" spans="2:17">
      <c r="B22" s="38" t="s">
        <v>204</v>
      </c>
      <c r="C22" s="3" t="s">
        <v>205</v>
      </c>
      <c r="E22" s="91" t="str" cm="1">
        <f t="array" ref="E22">TRANSPOSE("'"&amp;_xlfn._xlws.FILTER(Lists!$CA$9:$CA$50,B22=Lists!$CC$9:$CC$50)&amp;"'!"&amp;B22)</f>
        <v>'Resources →'!ResourceGroup</v>
      </c>
      <c r="F22" s="91"/>
      <c r="G22" s="91"/>
      <c r="H22" s="91"/>
      <c r="I22" s="91"/>
      <c r="J22" s="91"/>
      <c r="L22" s="34">
        <f t="shared" ref="L22:L84" ca="1" si="0">COUNTIFS(M22:Q22,"&lt;&gt;"&amp;"")-COUNTIFS(M22:Q22,"-/-")</f>
        <v>0</v>
      </c>
      <c r="M22" s="12" t="str" cm="1">
        <f t="array" aca="1" ref="M22" ca="1">TRANSPOSE(_xlfn.LET(
_xlpm.all_scenario_tags,
_xlfn.VSTACK(
IFERROR(_xlfn._xlws.FILTER(INDIRECT("'"&amp;model_name&amp;" case settings'!$C$19:$C$42"),ISNUMBER(MATCH(INDIRECT("'"&amp;model_name&amp;" case settings'!$C$19:$C$42"),_xlfn._xlws.FILTER(INDIRECT(E22&amp;".scenario"),INDIRECT(E22)=$C22),0))),"-/-"),
IFERROR(_xlfn._xlws.FILTER(INDIRECT("'"&amp;model_name&amp;" case settings'!$C$19:$C$42"),ISNUMBER(MATCH(INDIRECT("'"&amp;model_name&amp;" case settings'!$C$19:$C$42"),_xlfn._xlws.FILTER(INDIRECT(F22&amp;".scenario"),INDIRECT(F22)=$C22),0))),"-/-"),
IFERROR(_xlfn._xlws.FILTER(INDIRECT("'"&amp;model_name&amp;" case settings'!$C$19:$C$42"),ISNUMBER(MATCH(INDIRECT("'"&amp;model_name&amp;" case settings'!$C$19:$C$42"),_xlfn._xlws.FILTER(INDIRECT(G22&amp;".scenario"),INDIRECT(G22)=$C22),0))),"-/-"),
IFERROR(_xlfn._xlws.FILTER(INDIRECT("'"&amp;model_name&amp;" case settings'!$C$19:$C$42"),ISNUMBER(MATCH(INDIRECT("'"&amp;model_name&amp;" case settings'!$C$19:$C$42"),_xlfn._xlws.FILTER(INDIRECT(H22&amp;".scenario"),INDIRECT(H22)=$C22),0))),"-/-"),
IFERROR(_xlfn._xlws.FILTER(INDIRECT("'"&amp;model_name&amp;" case settings'!$C$19:$C$42"),ISNUMBER(MATCH(INDIRECT("'"&amp;model_name&amp;" case settings'!$C$19:$C$42"),_xlfn._xlws.FILTER(INDIRECT(I22&amp;".scenario"),INDIRECT(I22)=$C22),0))),"-/-"),
IFERROR(_xlfn._xlws.FILTER(INDIRECT("'"&amp;model_name&amp;" case settings'!$C$19:$C$42"),ISNUMBER(MATCH(INDIRECT("'"&amp;model_name&amp;" case settings'!$C$19:$C$42"),_xlfn._xlws.FILTER(INDIRECT(J22&amp;".scenario"),INDIRECT(J22)=$C22),0))),"-/-")),
_xlfn._xlws.FILTER(_xlpm.all_scenario_tags,_xlpm.all_scenario_tags&lt;&gt;"-/-","-/-")
))</f>
        <v>-/-</v>
      </c>
      <c r="N22" s="12"/>
      <c r="O22" s="12"/>
      <c r="P22" s="12"/>
      <c r="Q22" s="12"/>
    </row>
    <row r="23" spans="2:17">
      <c r="B23" s="38" t="s">
        <v>204</v>
      </c>
      <c r="C23" s="3" t="s">
        <v>206</v>
      </c>
      <c r="E23" s="91" t="str" cm="1">
        <f t="array" ref="E23">TRANSPOSE("'"&amp;_xlfn._xlws.FILTER(Lists!$CA$9:$CA$50,B23=Lists!$CC$9:$CC$50)&amp;"'!"&amp;B23)</f>
        <v>'Resources →'!ResourceGroup</v>
      </c>
      <c r="F23" s="91"/>
      <c r="G23" s="91"/>
      <c r="H23" s="91"/>
      <c r="I23" s="91"/>
      <c r="J23" s="91"/>
      <c r="L23" s="34">
        <f t="shared" ca="1" si="0"/>
        <v>0</v>
      </c>
      <c r="M23" s="12" t="str" cm="1">
        <f t="array" aca="1" ref="M23" ca="1">TRANSPOSE(_xlfn.LET(
_xlpm.all_scenario_tags,
_xlfn.VSTACK(
IFERROR(_xlfn._xlws.FILTER(INDIRECT("'"&amp;model_name&amp;" case settings'!$C$19:$C$42"),ISNUMBER(MATCH(INDIRECT("'"&amp;model_name&amp;" case settings'!$C$19:$C$42"),_xlfn._xlws.FILTER(INDIRECT(E23&amp;".scenario"),INDIRECT(E23)=$C23),0))),"-/-"),
IFERROR(_xlfn._xlws.FILTER(INDIRECT("'"&amp;model_name&amp;" case settings'!$C$19:$C$42"),ISNUMBER(MATCH(INDIRECT("'"&amp;model_name&amp;" case settings'!$C$19:$C$42"),_xlfn._xlws.FILTER(INDIRECT(F23&amp;".scenario"),INDIRECT(F23)=$C23),0))),"-/-"),
IFERROR(_xlfn._xlws.FILTER(INDIRECT("'"&amp;model_name&amp;" case settings'!$C$19:$C$42"),ISNUMBER(MATCH(INDIRECT("'"&amp;model_name&amp;" case settings'!$C$19:$C$42"),_xlfn._xlws.FILTER(INDIRECT(G23&amp;".scenario"),INDIRECT(G23)=$C23),0))),"-/-"),
IFERROR(_xlfn._xlws.FILTER(INDIRECT("'"&amp;model_name&amp;" case settings'!$C$19:$C$42"),ISNUMBER(MATCH(INDIRECT("'"&amp;model_name&amp;" case settings'!$C$19:$C$42"),_xlfn._xlws.FILTER(INDIRECT(H23&amp;".scenario"),INDIRECT(H23)=$C23),0))),"-/-"),
IFERROR(_xlfn._xlws.FILTER(INDIRECT("'"&amp;model_name&amp;" case settings'!$C$19:$C$42"),ISNUMBER(MATCH(INDIRECT("'"&amp;model_name&amp;" case settings'!$C$19:$C$42"),_xlfn._xlws.FILTER(INDIRECT(I23&amp;".scenario"),INDIRECT(I23)=$C23),0))),"-/-"),
IFERROR(_xlfn._xlws.FILTER(INDIRECT("'"&amp;model_name&amp;" case settings'!$C$19:$C$42"),ISNUMBER(MATCH(INDIRECT("'"&amp;model_name&amp;" case settings'!$C$19:$C$42"),_xlfn._xlws.FILTER(INDIRECT(J23&amp;".scenario"),INDIRECT(J23)=$C23),0))),"-/-")),
_xlfn._xlws.FILTER(_xlpm.all_scenario_tags,_xlpm.all_scenario_tags&lt;&gt;"-/-","-/-")
))</f>
        <v>-/-</v>
      </c>
      <c r="N23" s="12"/>
      <c r="O23" s="12"/>
      <c r="P23" s="12"/>
      <c r="Q23" s="12"/>
    </row>
    <row r="24" spans="2:17">
      <c r="B24" s="38" t="s">
        <v>204</v>
      </c>
      <c r="C24" s="3" t="s">
        <v>207</v>
      </c>
      <c r="E24" s="91" t="str" cm="1">
        <f t="array" ref="E24">TRANSPOSE("'"&amp;_xlfn._xlws.FILTER(Lists!$CA$9:$CA$50,B24=Lists!$CC$9:$CC$50)&amp;"'!"&amp;B24)</f>
        <v>'Resources →'!ResourceGroup</v>
      </c>
      <c r="F24" s="91"/>
      <c r="G24" s="91"/>
      <c r="H24" s="91"/>
      <c r="I24" s="91"/>
      <c r="J24" s="91"/>
      <c r="L24" s="34">
        <f t="shared" ca="1" si="0"/>
        <v>0</v>
      </c>
      <c r="M24" s="12" t="str" cm="1">
        <f t="array" aca="1" ref="M24" ca="1">TRANSPOSE(_xlfn.LET(
_xlpm.all_scenario_tags,
_xlfn.VSTACK(
IFERROR(_xlfn._xlws.FILTER(INDIRECT("'"&amp;model_name&amp;" case settings'!$C$19:$C$42"),ISNUMBER(MATCH(INDIRECT("'"&amp;model_name&amp;" case settings'!$C$19:$C$42"),_xlfn._xlws.FILTER(INDIRECT(E24&amp;".scenario"),INDIRECT(E24)=$C24),0))),"-/-"),
IFERROR(_xlfn._xlws.FILTER(INDIRECT("'"&amp;model_name&amp;" case settings'!$C$19:$C$42"),ISNUMBER(MATCH(INDIRECT("'"&amp;model_name&amp;" case settings'!$C$19:$C$42"),_xlfn._xlws.FILTER(INDIRECT(F24&amp;".scenario"),INDIRECT(F24)=$C24),0))),"-/-"),
IFERROR(_xlfn._xlws.FILTER(INDIRECT("'"&amp;model_name&amp;" case settings'!$C$19:$C$42"),ISNUMBER(MATCH(INDIRECT("'"&amp;model_name&amp;" case settings'!$C$19:$C$42"),_xlfn._xlws.FILTER(INDIRECT(G24&amp;".scenario"),INDIRECT(G24)=$C24),0))),"-/-"),
IFERROR(_xlfn._xlws.FILTER(INDIRECT("'"&amp;model_name&amp;" case settings'!$C$19:$C$42"),ISNUMBER(MATCH(INDIRECT("'"&amp;model_name&amp;" case settings'!$C$19:$C$42"),_xlfn._xlws.FILTER(INDIRECT(H24&amp;".scenario"),INDIRECT(H24)=$C24),0))),"-/-"),
IFERROR(_xlfn._xlws.FILTER(INDIRECT("'"&amp;model_name&amp;" case settings'!$C$19:$C$42"),ISNUMBER(MATCH(INDIRECT("'"&amp;model_name&amp;" case settings'!$C$19:$C$42"),_xlfn._xlws.FILTER(INDIRECT(I24&amp;".scenario"),INDIRECT(I24)=$C24),0))),"-/-"),
IFERROR(_xlfn._xlws.FILTER(INDIRECT("'"&amp;model_name&amp;" case settings'!$C$19:$C$42"),ISNUMBER(MATCH(INDIRECT("'"&amp;model_name&amp;" case settings'!$C$19:$C$42"),_xlfn._xlws.FILTER(INDIRECT(J24&amp;".scenario"),INDIRECT(J24)=$C24),0))),"-/-")),
_xlfn._xlws.FILTER(_xlpm.all_scenario_tags,_xlpm.all_scenario_tags&lt;&gt;"-/-","-/-")
))</f>
        <v>-/-</v>
      </c>
      <c r="N24" s="12"/>
      <c r="O24" s="12"/>
      <c r="P24" s="12"/>
      <c r="Q24" s="12"/>
    </row>
    <row r="25" spans="2:17">
      <c r="B25" s="38" t="s">
        <v>204</v>
      </c>
      <c r="C25" s="3" t="s">
        <v>208</v>
      </c>
      <c r="E25" s="91" t="str" cm="1">
        <f t="array" ref="E25">TRANSPOSE("'"&amp;_xlfn._xlws.FILTER(Lists!$CA$9:$CA$50,B25=Lists!$CC$9:$CC$50)&amp;"'!"&amp;B25)</f>
        <v>'Resources →'!ResourceGroup</v>
      </c>
      <c r="F25" s="91"/>
      <c r="G25" s="91"/>
      <c r="H25" s="91"/>
      <c r="I25" s="91"/>
      <c r="J25" s="91"/>
      <c r="L25" s="34">
        <f t="shared" ca="1" si="0"/>
        <v>0</v>
      </c>
      <c r="M25" s="12" t="str" cm="1">
        <f t="array" aca="1" ref="M25" ca="1">TRANSPOSE(_xlfn.LET(
_xlpm.all_scenario_tags,
_xlfn.VSTACK(
IFERROR(_xlfn._xlws.FILTER(INDIRECT("'"&amp;model_name&amp;" case settings'!$C$19:$C$42"),ISNUMBER(MATCH(INDIRECT("'"&amp;model_name&amp;" case settings'!$C$19:$C$42"),_xlfn._xlws.FILTER(INDIRECT(E25&amp;".scenario"),INDIRECT(E25)=$C25),0))),"-/-"),
IFERROR(_xlfn._xlws.FILTER(INDIRECT("'"&amp;model_name&amp;" case settings'!$C$19:$C$42"),ISNUMBER(MATCH(INDIRECT("'"&amp;model_name&amp;" case settings'!$C$19:$C$42"),_xlfn._xlws.FILTER(INDIRECT(F25&amp;".scenario"),INDIRECT(F25)=$C25),0))),"-/-"),
IFERROR(_xlfn._xlws.FILTER(INDIRECT("'"&amp;model_name&amp;" case settings'!$C$19:$C$42"),ISNUMBER(MATCH(INDIRECT("'"&amp;model_name&amp;" case settings'!$C$19:$C$42"),_xlfn._xlws.FILTER(INDIRECT(G25&amp;".scenario"),INDIRECT(G25)=$C25),0))),"-/-"),
IFERROR(_xlfn._xlws.FILTER(INDIRECT("'"&amp;model_name&amp;" case settings'!$C$19:$C$42"),ISNUMBER(MATCH(INDIRECT("'"&amp;model_name&amp;" case settings'!$C$19:$C$42"),_xlfn._xlws.FILTER(INDIRECT(H25&amp;".scenario"),INDIRECT(H25)=$C25),0))),"-/-"),
IFERROR(_xlfn._xlws.FILTER(INDIRECT("'"&amp;model_name&amp;" case settings'!$C$19:$C$42"),ISNUMBER(MATCH(INDIRECT("'"&amp;model_name&amp;" case settings'!$C$19:$C$42"),_xlfn._xlws.FILTER(INDIRECT(I25&amp;".scenario"),INDIRECT(I25)=$C25),0))),"-/-"),
IFERROR(_xlfn._xlws.FILTER(INDIRECT("'"&amp;model_name&amp;" case settings'!$C$19:$C$42"),ISNUMBER(MATCH(INDIRECT("'"&amp;model_name&amp;" case settings'!$C$19:$C$42"),_xlfn._xlws.FILTER(INDIRECT(J25&amp;".scenario"),INDIRECT(J25)=$C25),0))),"-/-")),
_xlfn._xlws.FILTER(_xlpm.all_scenario_tags,_xlpm.all_scenario_tags&lt;&gt;"-/-","-/-")
))</f>
        <v>-/-</v>
      </c>
      <c r="N25" s="12"/>
      <c r="O25" s="12"/>
      <c r="P25" s="12"/>
      <c r="Q25" s="12"/>
    </row>
    <row r="26" spans="2:17">
      <c r="B26" s="38" t="s">
        <v>204</v>
      </c>
      <c r="C26" s="3" t="s">
        <v>209</v>
      </c>
      <c r="E26" s="91" t="str" cm="1">
        <f t="array" ref="E26">TRANSPOSE("'"&amp;_xlfn._xlws.FILTER(Lists!$CA$9:$CA$50,B26=Lists!$CC$9:$CC$50)&amp;"'!"&amp;B26)</f>
        <v>'Resources →'!ResourceGroup</v>
      </c>
      <c r="F26" s="91"/>
      <c r="G26" s="91"/>
      <c r="H26" s="91"/>
      <c r="I26" s="91"/>
      <c r="J26" s="91"/>
      <c r="L26" s="34">
        <f t="shared" ca="1" si="0"/>
        <v>0</v>
      </c>
      <c r="M26" s="12" t="str" cm="1">
        <f t="array" aca="1" ref="M26" ca="1">TRANSPOSE(_xlfn.LET(
_xlpm.all_scenario_tags,
_xlfn.VSTACK(
IFERROR(_xlfn._xlws.FILTER(INDIRECT("'"&amp;model_name&amp;" case settings'!$C$19:$C$42"),ISNUMBER(MATCH(INDIRECT("'"&amp;model_name&amp;" case settings'!$C$19:$C$42"),_xlfn._xlws.FILTER(INDIRECT(E26&amp;".scenario"),INDIRECT(E26)=$C26),0))),"-/-"),
IFERROR(_xlfn._xlws.FILTER(INDIRECT("'"&amp;model_name&amp;" case settings'!$C$19:$C$42"),ISNUMBER(MATCH(INDIRECT("'"&amp;model_name&amp;" case settings'!$C$19:$C$42"),_xlfn._xlws.FILTER(INDIRECT(F26&amp;".scenario"),INDIRECT(F26)=$C26),0))),"-/-"),
IFERROR(_xlfn._xlws.FILTER(INDIRECT("'"&amp;model_name&amp;" case settings'!$C$19:$C$42"),ISNUMBER(MATCH(INDIRECT("'"&amp;model_name&amp;" case settings'!$C$19:$C$42"),_xlfn._xlws.FILTER(INDIRECT(G26&amp;".scenario"),INDIRECT(G26)=$C26),0))),"-/-"),
IFERROR(_xlfn._xlws.FILTER(INDIRECT("'"&amp;model_name&amp;" case settings'!$C$19:$C$42"),ISNUMBER(MATCH(INDIRECT("'"&amp;model_name&amp;" case settings'!$C$19:$C$42"),_xlfn._xlws.FILTER(INDIRECT(H26&amp;".scenario"),INDIRECT(H26)=$C26),0))),"-/-"),
IFERROR(_xlfn._xlws.FILTER(INDIRECT("'"&amp;model_name&amp;" case settings'!$C$19:$C$42"),ISNUMBER(MATCH(INDIRECT("'"&amp;model_name&amp;" case settings'!$C$19:$C$42"),_xlfn._xlws.FILTER(INDIRECT(I26&amp;".scenario"),INDIRECT(I26)=$C26),0))),"-/-"),
IFERROR(_xlfn._xlws.FILTER(INDIRECT("'"&amp;model_name&amp;" case settings'!$C$19:$C$42"),ISNUMBER(MATCH(INDIRECT("'"&amp;model_name&amp;" case settings'!$C$19:$C$42"),_xlfn._xlws.FILTER(INDIRECT(J26&amp;".scenario"),INDIRECT(J26)=$C26),0))),"-/-")),
_xlfn._xlws.FILTER(_xlpm.all_scenario_tags,_xlpm.all_scenario_tags&lt;&gt;"-/-","-/-")
))</f>
        <v>-/-</v>
      </c>
      <c r="N26" s="12"/>
      <c r="O26" s="12"/>
      <c r="P26" s="12"/>
      <c r="Q26" s="12"/>
    </row>
    <row r="27" spans="2:17">
      <c r="B27" s="38" t="s">
        <v>204</v>
      </c>
      <c r="C27" s="3" t="s">
        <v>210</v>
      </c>
      <c r="E27" s="91" t="str" cm="1">
        <f t="array" ref="E27">TRANSPOSE("'"&amp;_xlfn._xlws.FILTER(Lists!$CA$9:$CA$50,B27=Lists!$CC$9:$CC$50)&amp;"'!"&amp;B27)</f>
        <v>'Resources →'!ResourceGroup</v>
      </c>
      <c r="F27" s="91"/>
      <c r="G27" s="91"/>
      <c r="H27" s="91"/>
      <c r="I27" s="91"/>
      <c r="J27" s="91"/>
      <c r="L27" s="34">
        <f t="shared" ca="1" si="0"/>
        <v>0</v>
      </c>
      <c r="M27" s="12" t="str" cm="1">
        <f t="array" aca="1" ref="M27" ca="1">TRANSPOSE(_xlfn.LET(
_xlpm.all_scenario_tags,
_xlfn.VSTACK(
IFERROR(_xlfn._xlws.FILTER(INDIRECT("'"&amp;model_name&amp;" case settings'!$C$19:$C$42"),ISNUMBER(MATCH(INDIRECT("'"&amp;model_name&amp;" case settings'!$C$19:$C$42"),_xlfn._xlws.FILTER(INDIRECT(E27&amp;".scenario"),INDIRECT(E27)=$C27),0))),"-/-"),
IFERROR(_xlfn._xlws.FILTER(INDIRECT("'"&amp;model_name&amp;" case settings'!$C$19:$C$42"),ISNUMBER(MATCH(INDIRECT("'"&amp;model_name&amp;" case settings'!$C$19:$C$42"),_xlfn._xlws.FILTER(INDIRECT(F27&amp;".scenario"),INDIRECT(F27)=$C27),0))),"-/-"),
IFERROR(_xlfn._xlws.FILTER(INDIRECT("'"&amp;model_name&amp;" case settings'!$C$19:$C$42"),ISNUMBER(MATCH(INDIRECT("'"&amp;model_name&amp;" case settings'!$C$19:$C$42"),_xlfn._xlws.FILTER(INDIRECT(G27&amp;".scenario"),INDIRECT(G27)=$C27),0))),"-/-"),
IFERROR(_xlfn._xlws.FILTER(INDIRECT("'"&amp;model_name&amp;" case settings'!$C$19:$C$42"),ISNUMBER(MATCH(INDIRECT("'"&amp;model_name&amp;" case settings'!$C$19:$C$42"),_xlfn._xlws.FILTER(INDIRECT(H27&amp;".scenario"),INDIRECT(H27)=$C27),0))),"-/-"),
IFERROR(_xlfn._xlws.FILTER(INDIRECT("'"&amp;model_name&amp;" case settings'!$C$19:$C$42"),ISNUMBER(MATCH(INDIRECT("'"&amp;model_name&amp;" case settings'!$C$19:$C$42"),_xlfn._xlws.FILTER(INDIRECT(I27&amp;".scenario"),INDIRECT(I27)=$C27),0))),"-/-"),
IFERROR(_xlfn._xlws.FILTER(INDIRECT("'"&amp;model_name&amp;" case settings'!$C$19:$C$42"),ISNUMBER(MATCH(INDIRECT("'"&amp;model_name&amp;" case settings'!$C$19:$C$42"),_xlfn._xlws.FILTER(INDIRECT(J27&amp;".scenario"),INDIRECT(J27)=$C27),0))),"-/-")),
_xlfn._xlws.FILTER(_xlpm.all_scenario_tags,_xlpm.all_scenario_tags&lt;&gt;"-/-","-/-")
))</f>
        <v>-/-</v>
      </c>
      <c r="N27" s="12"/>
      <c r="O27" s="12"/>
      <c r="P27" s="12"/>
      <c r="Q27" s="12"/>
    </row>
    <row r="28" spans="2:17">
      <c r="B28" s="38" t="s">
        <v>204</v>
      </c>
      <c r="C28" s="3" t="s">
        <v>211</v>
      </c>
      <c r="E28" s="91" t="str" cm="1">
        <f t="array" ref="E28">TRANSPOSE("'"&amp;_xlfn._xlws.FILTER(Lists!$CA$9:$CA$50,B28=Lists!$CC$9:$CC$50)&amp;"'!"&amp;B28)</f>
        <v>'Resources →'!ResourceGroup</v>
      </c>
      <c r="F28" s="91"/>
      <c r="G28" s="91"/>
      <c r="H28" s="91"/>
      <c r="I28" s="91"/>
      <c r="J28" s="91"/>
      <c r="L28" s="34">
        <f t="shared" ca="1" si="0"/>
        <v>0</v>
      </c>
      <c r="M28" s="12" t="str" cm="1">
        <f t="array" aca="1" ref="M28" ca="1">TRANSPOSE(_xlfn.LET(
_xlpm.all_scenario_tags,
_xlfn.VSTACK(
IFERROR(_xlfn._xlws.FILTER(INDIRECT("'"&amp;model_name&amp;" case settings'!$C$19:$C$42"),ISNUMBER(MATCH(INDIRECT("'"&amp;model_name&amp;" case settings'!$C$19:$C$42"),_xlfn._xlws.FILTER(INDIRECT(E28&amp;".scenario"),INDIRECT(E28)=$C28),0))),"-/-"),
IFERROR(_xlfn._xlws.FILTER(INDIRECT("'"&amp;model_name&amp;" case settings'!$C$19:$C$42"),ISNUMBER(MATCH(INDIRECT("'"&amp;model_name&amp;" case settings'!$C$19:$C$42"),_xlfn._xlws.FILTER(INDIRECT(F28&amp;".scenario"),INDIRECT(F28)=$C28),0))),"-/-"),
IFERROR(_xlfn._xlws.FILTER(INDIRECT("'"&amp;model_name&amp;" case settings'!$C$19:$C$42"),ISNUMBER(MATCH(INDIRECT("'"&amp;model_name&amp;" case settings'!$C$19:$C$42"),_xlfn._xlws.FILTER(INDIRECT(G28&amp;".scenario"),INDIRECT(G28)=$C28),0))),"-/-"),
IFERROR(_xlfn._xlws.FILTER(INDIRECT("'"&amp;model_name&amp;" case settings'!$C$19:$C$42"),ISNUMBER(MATCH(INDIRECT("'"&amp;model_name&amp;" case settings'!$C$19:$C$42"),_xlfn._xlws.FILTER(INDIRECT(H28&amp;".scenario"),INDIRECT(H28)=$C28),0))),"-/-"),
IFERROR(_xlfn._xlws.FILTER(INDIRECT("'"&amp;model_name&amp;" case settings'!$C$19:$C$42"),ISNUMBER(MATCH(INDIRECT("'"&amp;model_name&amp;" case settings'!$C$19:$C$42"),_xlfn._xlws.FILTER(INDIRECT(I28&amp;".scenario"),INDIRECT(I28)=$C28),0))),"-/-"),
IFERROR(_xlfn._xlws.FILTER(INDIRECT("'"&amp;model_name&amp;" case settings'!$C$19:$C$42"),ISNUMBER(MATCH(INDIRECT("'"&amp;model_name&amp;" case settings'!$C$19:$C$42"),_xlfn._xlws.FILTER(INDIRECT(J28&amp;".scenario"),INDIRECT(J28)=$C28),0))),"-/-")),
_xlfn._xlws.FILTER(_xlpm.all_scenario_tags,_xlpm.all_scenario_tags&lt;&gt;"-/-","-/-")
))</f>
        <v>-/-</v>
      </c>
      <c r="N28" s="12"/>
      <c r="O28" s="12"/>
      <c r="P28" s="12"/>
      <c r="Q28" s="12"/>
    </row>
    <row r="29" spans="2:17">
      <c r="B29" s="38" t="s">
        <v>204</v>
      </c>
      <c r="C29" s="3" t="s">
        <v>212</v>
      </c>
      <c r="E29" s="91" t="str" cm="1">
        <f t="array" ref="E29">TRANSPOSE("'"&amp;_xlfn._xlws.FILTER(Lists!$CA$9:$CA$50,B29=Lists!$CC$9:$CC$50)&amp;"'!"&amp;B29)</f>
        <v>'Resources →'!ResourceGroup</v>
      </c>
      <c r="F29" s="91"/>
      <c r="G29" s="91"/>
      <c r="H29" s="91"/>
      <c r="I29" s="91"/>
      <c r="J29" s="91"/>
      <c r="L29" s="34">
        <f t="shared" ca="1" si="0"/>
        <v>0</v>
      </c>
      <c r="M29" s="12" t="str" cm="1">
        <f t="array" aca="1" ref="M29" ca="1">TRANSPOSE(_xlfn.LET(
_xlpm.all_scenario_tags,
_xlfn.VSTACK(
IFERROR(_xlfn._xlws.FILTER(INDIRECT("'"&amp;model_name&amp;" case settings'!$C$19:$C$42"),ISNUMBER(MATCH(INDIRECT("'"&amp;model_name&amp;" case settings'!$C$19:$C$42"),_xlfn._xlws.FILTER(INDIRECT(E29&amp;".scenario"),INDIRECT(E29)=$C29),0))),"-/-"),
IFERROR(_xlfn._xlws.FILTER(INDIRECT("'"&amp;model_name&amp;" case settings'!$C$19:$C$42"),ISNUMBER(MATCH(INDIRECT("'"&amp;model_name&amp;" case settings'!$C$19:$C$42"),_xlfn._xlws.FILTER(INDIRECT(F29&amp;".scenario"),INDIRECT(F29)=$C29),0))),"-/-"),
IFERROR(_xlfn._xlws.FILTER(INDIRECT("'"&amp;model_name&amp;" case settings'!$C$19:$C$42"),ISNUMBER(MATCH(INDIRECT("'"&amp;model_name&amp;" case settings'!$C$19:$C$42"),_xlfn._xlws.FILTER(INDIRECT(G29&amp;".scenario"),INDIRECT(G29)=$C29),0))),"-/-"),
IFERROR(_xlfn._xlws.FILTER(INDIRECT("'"&amp;model_name&amp;" case settings'!$C$19:$C$42"),ISNUMBER(MATCH(INDIRECT("'"&amp;model_name&amp;" case settings'!$C$19:$C$42"),_xlfn._xlws.FILTER(INDIRECT(H29&amp;".scenario"),INDIRECT(H29)=$C29),0))),"-/-"),
IFERROR(_xlfn._xlws.FILTER(INDIRECT("'"&amp;model_name&amp;" case settings'!$C$19:$C$42"),ISNUMBER(MATCH(INDIRECT("'"&amp;model_name&amp;" case settings'!$C$19:$C$42"),_xlfn._xlws.FILTER(INDIRECT(I29&amp;".scenario"),INDIRECT(I29)=$C29),0))),"-/-"),
IFERROR(_xlfn._xlws.FILTER(INDIRECT("'"&amp;model_name&amp;" case settings'!$C$19:$C$42"),ISNUMBER(MATCH(INDIRECT("'"&amp;model_name&amp;" case settings'!$C$19:$C$42"),_xlfn._xlws.FILTER(INDIRECT(J29&amp;".scenario"),INDIRECT(J29)=$C29),0))),"-/-")),
_xlfn._xlws.FILTER(_xlpm.all_scenario_tags,_xlpm.all_scenario_tags&lt;&gt;"-/-","-/-")
))</f>
        <v>-/-</v>
      </c>
      <c r="N29" s="12"/>
      <c r="O29" s="12"/>
      <c r="P29" s="12"/>
      <c r="Q29" s="12"/>
    </row>
    <row r="30" spans="2:17">
      <c r="B30" s="38" t="s">
        <v>204</v>
      </c>
      <c r="C30" s="3" t="s">
        <v>213</v>
      </c>
      <c r="E30" s="91" t="str" cm="1">
        <f t="array" ref="E30">TRANSPOSE("'"&amp;_xlfn._xlws.FILTER(Lists!$CA$9:$CA$50,B30=Lists!$CC$9:$CC$50)&amp;"'!"&amp;B30)</f>
        <v>'Resources →'!ResourceGroup</v>
      </c>
      <c r="F30" s="91"/>
      <c r="G30" s="91"/>
      <c r="H30" s="91"/>
      <c r="I30" s="91"/>
      <c r="J30" s="91"/>
      <c r="L30" s="34">
        <f t="shared" ca="1" si="0"/>
        <v>0</v>
      </c>
      <c r="M30" s="12" t="str" cm="1">
        <f t="array" aca="1" ref="M30" ca="1">TRANSPOSE(_xlfn.LET(
_xlpm.all_scenario_tags,
_xlfn.VSTACK(
IFERROR(_xlfn._xlws.FILTER(INDIRECT("'"&amp;model_name&amp;" case settings'!$C$19:$C$42"),ISNUMBER(MATCH(INDIRECT("'"&amp;model_name&amp;" case settings'!$C$19:$C$42"),_xlfn._xlws.FILTER(INDIRECT(E30&amp;".scenario"),INDIRECT(E30)=$C30),0))),"-/-"),
IFERROR(_xlfn._xlws.FILTER(INDIRECT("'"&amp;model_name&amp;" case settings'!$C$19:$C$42"),ISNUMBER(MATCH(INDIRECT("'"&amp;model_name&amp;" case settings'!$C$19:$C$42"),_xlfn._xlws.FILTER(INDIRECT(F30&amp;".scenario"),INDIRECT(F30)=$C30),0))),"-/-"),
IFERROR(_xlfn._xlws.FILTER(INDIRECT("'"&amp;model_name&amp;" case settings'!$C$19:$C$42"),ISNUMBER(MATCH(INDIRECT("'"&amp;model_name&amp;" case settings'!$C$19:$C$42"),_xlfn._xlws.FILTER(INDIRECT(G30&amp;".scenario"),INDIRECT(G30)=$C30),0))),"-/-"),
IFERROR(_xlfn._xlws.FILTER(INDIRECT("'"&amp;model_name&amp;" case settings'!$C$19:$C$42"),ISNUMBER(MATCH(INDIRECT("'"&amp;model_name&amp;" case settings'!$C$19:$C$42"),_xlfn._xlws.FILTER(INDIRECT(H30&amp;".scenario"),INDIRECT(H30)=$C30),0))),"-/-"),
IFERROR(_xlfn._xlws.FILTER(INDIRECT("'"&amp;model_name&amp;" case settings'!$C$19:$C$42"),ISNUMBER(MATCH(INDIRECT("'"&amp;model_name&amp;" case settings'!$C$19:$C$42"),_xlfn._xlws.FILTER(INDIRECT(I30&amp;".scenario"),INDIRECT(I30)=$C30),0))),"-/-"),
IFERROR(_xlfn._xlws.FILTER(INDIRECT("'"&amp;model_name&amp;" case settings'!$C$19:$C$42"),ISNUMBER(MATCH(INDIRECT("'"&amp;model_name&amp;" case settings'!$C$19:$C$42"),_xlfn._xlws.FILTER(INDIRECT(J30&amp;".scenario"),INDIRECT(J30)=$C30),0))),"-/-")),
_xlfn._xlws.FILTER(_xlpm.all_scenario_tags,_xlpm.all_scenario_tags&lt;&gt;"-/-","-/-")
))</f>
        <v>-/-</v>
      </c>
      <c r="N30" s="12"/>
      <c r="O30" s="12"/>
      <c r="P30" s="12"/>
      <c r="Q30" s="12"/>
    </row>
    <row r="31" spans="2:17">
      <c r="B31" s="38" t="s">
        <v>204</v>
      </c>
      <c r="C31" s="3" t="s">
        <v>214</v>
      </c>
      <c r="E31" s="91" t="str" cm="1">
        <f t="array" ref="E31">TRANSPOSE("'"&amp;_xlfn._xlws.FILTER(Lists!$CA$9:$CA$50,B31=Lists!$CC$9:$CC$50)&amp;"'!"&amp;B31)</f>
        <v>'Resources →'!ResourceGroup</v>
      </c>
      <c r="F31" s="91"/>
      <c r="G31" s="91"/>
      <c r="H31" s="91"/>
      <c r="I31" s="91"/>
      <c r="J31" s="91"/>
      <c r="L31" s="34">
        <f t="shared" ca="1" si="0"/>
        <v>0</v>
      </c>
      <c r="M31" s="12" t="str" cm="1">
        <f t="array" aca="1" ref="M31" ca="1">TRANSPOSE(_xlfn.LET(
_xlpm.all_scenario_tags,
_xlfn.VSTACK(
IFERROR(_xlfn._xlws.FILTER(INDIRECT("'"&amp;model_name&amp;" case settings'!$C$19:$C$42"),ISNUMBER(MATCH(INDIRECT("'"&amp;model_name&amp;" case settings'!$C$19:$C$42"),_xlfn._xlws.FILTER(INDIRECT(E31&amp;".scenario"),INDIRECT(E31)=$C31),0))),"-/-"),
IFERROR(_xlfn._xlws.FILTER(INDIRECT("'"&amp;model_name&amp;" case settings'!$C$19:$C$42"),ISNUMBER(MATCH(INDIRECT("'"&amp;model_name&amp;" case settings'!$C$19:$C$42"),_xlfn._xlws.FILTER(INDIRECT(F31&amp;".scenario"),INDIRECT(F31)=$C31),0))),"-/-"),
IFERROR(_xlfn._xlws.FILTER(INDIRECT("'"&amp;model_name&amp;" case settings'!$C$19:$C$42"),ISNUMBER(MATCH(INDIRECT("'"&amp;model_name&amp;" case settings'!$C$19:$C$42"),_xlfn._xlws.FILTER(INDIRECT(G31&amp;".scenario"),INDIRECT(G31)=$C31),0))),"-/-"),
IFERROR(_xlfn._xlws.FILTER(INDIRECT("'"&amp;model_name&amp;" case settings'!$C$19:$C$42"),ISNUMBER(MATCH(INDIRECT("'"&amp;model_name&amp;" case settings'!$C$19:$C$42"),_xlfn._xlws.FILTER(INDIRECT(H31&amp;".scenario"),INDIRECT(H31)=$C31),0))),"-/-"),
IFERROR(_xlfn._xlws.FILTER(INDIRECT("'"&amp;model_name&amp;" case settings'!$C$19:$C$42"),ISNUMBER(MATCH(INDIRECT("'"&amp;model_name&amp;" case settings'!$C$19:$C$42"),_xlfn._xlws.FILTER(INDIRECT(I31&amp;".scenario"),INDIRECT(I31)=$C31),0))),"-/-"),
IFERROR(_xlfn._xlws.FILTER(INDIRECT("'"&amp;model_name&amp;" case settings'!$C$19:$C$42"),ISNUMBER(MATCH(INDIRECT("'"&amp;model_name&amp;" case settings'!$C$19:$C$42"),_xlfn._xlws.FILTER(INDIRECT(J31&amp;".scenario"),INDIRECT(J31)=$C31),0))),"-/-")),
_xlfn._xlws.FILTER(_xlpm.all_scenario_tags,_xlpm.all_scenario_tags&lt;&gt;"-/-","-/-")
))</f>
        <v>-/-</v>
      </c>
      <c r="N31" s="12"/>
      <c r="O31" s="12"/>
      <c r="P31" s="12"/>
      <c r="Q31" s="12"/>
    </row>
    <row r="32" spans="2:17">
      <c r="B32" s="38" t="s">
        <v>215</v>
      </c>
      <c r="C32" s="3" t="s">
        <v>216</v>
      </c>
      <c r="E32" s="91" t="str" cm="1">
        <f t="array" ref="E32">TRANSPOSE("'"&amp;_xlfn._xlws.FILTER(Lists!$CA$9:$CA$50,B32=Lists!$CC$9:$CC$50)&amp;"'!"&amp;B32)</f>
        <v>'Outage Distributions'!OutageDistribution</v>
      </c>
      <c r="F32" s="91"/>
      <c r="G32" s="91"/>
      <c r="H32" s="91"/>
      <c r="I32" s="91"/>
      <c r="J32" s="91"/>
      <c r="L32" s="34">
        <f t="shared" ca="1" si="0"/>
        <v>0</v>
      </c>
      <c r="M32" s="12" t="str" cm="1">
        <f t="array" aca="1" ref="M32" ca="1">TRANSPOSE(_xlfn.LET(
_xlpm.all_scenario_tags,
_xlfn.VSTACK(
IFERROR(_xlfn._xlws.FILTER(INDIRECT("'"&amp;model_name&amp;" case settings'!$C$19:$C$42"),ISNUMBER(MATCH(INDIRECT("'"&amp;model_name&amp;" case settings'!$C$19:$C$42"),_xlfn._xlws.FILTER(INDIRECT(E32&amp;".scenario"),INDIRECT(E32)=$C32),0))),"-/-"),
IFERROR(_xlfn._xlws.FILTER(INDIRECT("'"&amp;model_name&amp;" case settings'!$C$19:$C$42"),ISNUMBER(MATCH(INDIRECT("'"&amp;model_name&amp;" case settings'!$C$19:$C$42"),_xlfn._xlws.FILTER(INDIRECT(F32&amp;".scenario"),INDIRECT(F32)=$C32),0))),"-/-"),
IFERROR(_xlfn._xlws.FILTER(INDIRECT("'"&amp;model_name&amp;" case settings'!$C$19:$C$42"),ISNUMBER(MATCH(INDIRECT("'"&amp;model_name&amp;" case settings'!$C$19:$C$42"),_xlfn._xlws.FILTER(INDIRECT(G32&amp;".scenario"),INDIRECT(G32)=$C32),0))),"-/-"),
IFERROR(_xlfn._xlws.FILTER(INDIRECT("'"&amp;model_name&amp;" case settings'!$C$19:$C$42"),ISNUMBER(MATCH(INDIRECT("'"&amp;model_name&amp;" case settings'!$C$19:$C$42"),_xlfn._xlws.FILTER(INDIRECT(H32&amp;".scenario"),INDIRECT(H32)=$C32),0))),"-/-"),
IFERROR(_xlfn._xlws.FILTER(INDIRECT("'"&amp;model_name&amp;" case settings'!$C$19:$C$42"),ISNUMBER(MATCH(INDIRECT("'"&amp;model_name&amp;" case settings'!$C$19:$C$42"),_xlfn._xlws.FILTER(INDIRECT(I32&amp;".scenario"),INDIRECT(I32)=$C32),0))),"-/-"),
IFERROR(_xlfn._xlws.FILTER(INDIRECT("'"&amp;model_name&amp;" case settings'!$C$19:$C$42"),ISNUMBER(MATCH(INDIRECT("'"&amp;model_name&amp;" case settings'!$C$19:$C$42"),_xlfn._xlws.FILTER(INDIRECT(J32&amp;".scenario"),INDIRECT(J32)=$C32),0))),"-/-")),
_xlfn._xlws.FILTER(_xlpm.all_scenario_tags,_xlpm.all_scenario_tags&lt;&gt;"-/-","-/-")
))</f>
        <v>-/-</v>
      </c>
      <c r="N32" s="12"/>
      <c r="O32" s="12"/>
      <c r="P32" s="12"/>
      <c r="Q32" s="12"/>
    </row>
    <row r="33" spans="2:17">
      <c r="B33" s="38" t="s">
        <v>217</v>
      </c>
      <c r="C33" s="3" t="s">
        <v>218</v>
      </c>
      <c r="E33" s="91" t="str" cm="1">
        <f t="array" ref="E33">TRANSPOSE("'"&amp;_xlfn._xlws.FILTER(Lists!$CA$9:$CA$50,B33=Lists!$CC$9:$CC$50)&amp;"'!"&amp;B33)</f>
        <v>'Thermal'!ThermalResource</v>
      </c>
      <c r="F33" s="91"/>
      <c r="G33" s="91"/>
      <c r="H33" s="91"/>
      <c r="I33" s="91"/>
      <c r="J33" s="91"/>
      <c r="L33" s="34">
        <f t="shared" ca="1" si="0"/>
        <v>0</v>
      </c>
      <c r="M33" s="12" t="str" cm="1">
        <f t="array" aca="1" ref="M33" ca="1">TRANSPOSE(_xlfn.LET(
_xlpm.all_scenario_tags,
_xlfn.VSTACK(
IFERROR(_xlfn._xlws.FILTER(INDIRECT("'"&amp;model_name&amp;" case settings'!$C$19:$C$42"),ISNUMBER(MATCH(INDIRECT("'"&amp;model_name&amp;" case settings'!$C$19:$C$42"),_xlfn._xlws.FILTER(INDIRECT(E33&amp;".scenario"),INDIRECT(E33)=$C33),0))),"-/-"),
IFERROR(_xlfn._xlws.FILTER(INDIRECT("'"&amp;model_name&amp;" case settings'!$C$19:$C$42"),ISNUMBER(MATCH(INDIRECT("'"&amp;model_name&amp;" case settings'!$C$19:$C$42"),_xlfn._xlws.FILTER(INDIRECT(F33&amp;".scenario"),INDIRECT(F33)=$C33),0))),"-/-"),
IFERROR(_xlfn._xlws.FILTER(INDIRECT("'"&amp;model_name&amp;" case settings'!$C$19:$C$42"),ISNUMBER(MATCH(INDIRECT("'"&amp;model_name&amp;" case settings'!$C$19:$C$42"),_xlfn._xlws.FILTER(INDIRECT(G33&amp;".scenario"),INDIRECT(G33)=$C33),0))),"-/-"),
IFERROR(_xlfn._xlws.FILTER(INDIRECT("'"&amp;model_name&amp;" case settings'!$C$19:$C$42"),ISNUMBER(MATCH(INDIRECT("'"&amp;model_name&amp;" case settings'!$C$19:$C$42"),_xlfn._xlws.FILTER(INDIRECT(H33&amp;".scenario"),INDIRECT(H33)=$C33),0))),"-/-"),
IFERROR(_xlfn._xlws.FILTER(INDIRECT("'"&amp;model_name&amp;" case settings'!$C$19:$C$42"),ISNUMBER(MATCH(INDIRECT("'"&amp;model_name&amp;" case settings'!$C$19:$C$42"),_xlfn._xlws.FILTER(INDIRECT(I33&amp;".scenario"),INDIRECT(I33)=$C33),0))),"-/-"),
IFERROR(_xlfn._xlws.FILTER(INDIRECT("'"&amp;model_name&amp;" case settings'!$C$19:$C$42"),ISNUMBER(MATCH(INDIRECT("'"&amp;model_name&amp;" case settings'!$C$19:$C$42"),_xlfn._xlws.FILTER(INDIRECT(J33&amp;".scenario"),INDIRECT(J33)=$C33),0))),"-/-")),
_xlfn._xlws.FILTER(_xlpm.all_scenario_tags,_xlpm.all_scenario_tags&lt;&gt;"-/-","-/-")
))</f>
        <v>-/-</v>
      </c>
      <c r="N33" s="12"/>
      <c r="O33" s="12"/>
      <c r="P33" s="12"/>
      <c r="Q33" s="12"/>
    </row>
    <row r="34" spans="2:17">
      <c r="B34" s="38" t="s">
        <v>217</v>
      </c>
      <c r="C34" s="3" t="s">
        <v>219</v>
      </c>
      <c r="E34" s="91" t="str" cm="1">
        <f t="array" ref="E34">TRANSPOSE("'"&amp;_xlfn._xlws.FILTER(Lists!$CA$9:$CA$50,B34=Lists!$CC$9:$CC$50)&amp;"'!"&amp;B34)</f>
        <v>'Thermal'!ThermalResource</v>
      </c>
      <c r="F34" s="91"/>
      <c r="G34" s="91"/>
      <c r="H34" s="91"/>
      <c r="I34" s="91"/>
      <c r="J34" s="91"/>
      <c r="L34" s="34">
        <f t="shared" ca="1" si="0"/>
        <v>0</v>
      </c>
      <c r="M34" s="12" t="str" cm="1">
        <f t="array" aca="1" ref="M34" ca="1">TRANSPOSE(_xlfn.LET(
_xlpm.all_scenario_tags,
_xlfn.VSTACK(
IFERROR(_xlfn._xlws.FILTER(INDIRECT("'"&amp;model_name&amp;" case settings'!$C$19:$C$42"),ISNUMBER(MATCH(INDIRECT("'"&amp;model_name&amp;" case settings'!$C$19:$C$42"),_xlfn._xlws.FILTER(INDIRECT(E34&amp;".scenario"),INDIRECT(E34)=$C34),0))),"-/-"),
IFERROR(_xlfn._xlws.FILTER(INDIRECT("'"&amp;model_name&amp;" case settings'!$C$19:$C$42"),ISNUMBER(MATCH(INDIRECT("'"&amp;model_name&amp;" case settings'!$C$19:$C$42"),_xlfn._xlws.FILTER(INDIRECT(F34&amp;".scenario"),INDIRECT(F34)=$C34),0))),"-/-"),
IFERROR(_xlfn._xlws.FILTER(INDIRECT("'"&amp;model_name&amp;" case settings'!$C$19:$C$42"),ISNUMBER(MATCH(INDIRECT("'"&amp;model_name&amp;" case settings'!$C$19:$C$42"),_xlfn._xlws.FILTER(INDIRECT(G34&amp;".scenario"),INDIRECT(G34)=$C34),0))),"-/-"),
IFERROR(_xlfn._xlws.FILTER(INDIRECT("'"&amp;model_name&amp;" case settings'!$C$19:$C$42"),ISNUMBER(MATCH(INDIRECT("'"&amp;model_name&amp;" case settings'!$C$19:$C$42"),_xlfn._xlws.FILTER(INDIRECT(H34&amp;".scenario"),INDIRECT(H34)=$C34),0))),"-/-"),
IFERROR(_xlfn._xlws.FILTER(INDIRECT("'"&amp;model_name&amp;" case settings'!$C$19:$C$42"),ISNUMBER(MATCH(INDIRECT("'"&amp;model_name&amp;" case settings'!$C$19:$C$42"),_xlfn._xlws.FILTER(INDIRECT(I34&amp;".scenario"),INDIRECT(I34)=$C34),0))),"-/-"),
IFERROR(_xlfn._xlws.FILTER(INDIRECT("'"&amp;model_name&amp;" case settings'!$C$19:$C$42"),ISNUMBER(MATCH(INDIRECT("'"&amp;model_name&amp;" case settings'!$C$19:$C$42"),_xlfn._xlws.FILTER(INDIRECT(J34&amp;".scenario"),INDIRECT(J34)=$C34),0))),"-/-")),
_xlfn._xlws.FILTER(_xlpm.all_scenario_tags,_xlpm.all_scenario_tags&lt;&gt;"-/-","-/-")
))</f>
        <v>-/-</v>
      </c>
      <c r="N34" s="12"/>
      <c r="O34" s="12"/>
      <c r="P34" s="12"/>
      <c r="Q34" s="12"/>
    </row>
    <row r="35" spans="2:17">
      <c r="B35" s="38" t="s">
        <v>217</v>
      </c>
      <c r="C35" s="3" t="s">
        <v>220</v>
      </c>
      <c r="E35" s="91" t="str" cm="1">
        <f t="array" ref="E35">TRANSPOSE("'"&amp;_xlfn._xlws.FILTER(Lists!$CA$9:$CA$50,B35=Lists!$CC$9:$CC$50)&amp;"'!"&amp;B35)</f>
        <v>'Thermal'!ThermalResource</v>
      </c>
      <c r="F35" s="91"/>
      <c r="G35" s="91"/>
      <c r="H35" s="91"/>
      <c r="I35" s="91"/>
      <c r="J35" s="91"/>
      <c r="L35" s="34">
        <f t="shared" ca="1" si="0"/>
        <v>0</v>
      </c>
      <c r="M35" s="12" t="str" cm="1">
        <f t="array" aca="1" ref="M35" ca="1">TRANSPOSE(_xlfn.LET(
_xlpm.all_scenario_tags,
_xlfn.VSTACK(
IFERROR(_xlfn._xlws.FILTER(INDIRECT("'"&amp;model_name&amp;" case settings'!$C$19:$C$42"),ISNUMBER(MATCH(INDIRECT("'"&amp;model_name&amp;" case settings'!$C$19:$C$42"),_xlfn._xlws.FILTER(INDIRECT(E35&amp;".scenario"),INDIRECT(E35)=$C35),0))),"-/-"),
IFERROR(_xlfn._xlws.FILTER(INDIRECT("'"&amp;model_name&amp;" case settings'!$C$19:$C$42"),ISNUMBER(MATCH(INDIRECT("'"&amp;model_name&amp;" case settings'!$C$19:$C$42"),_xlfn._xlws.FILTER(INDIRECT(F35&amp;".scenario"),INDIRECT(F35)=$C35),0))),"-/-"),
IFERROR(_xlfn._xlws.FILTER(INDIRECT("'"&amp;model_name&amp;" case settings'!$C$19:$C$42"),ISNUMBER(MATCH(INDIRECT("'"&amp;model_name&amp;" case settings'!$C$19:$C$42"),_xlfn._xlws.FILTER(INDIRECT(G35&amp;".scenario"),INDIRECT(G35)=$C35),0))),"-/-"),
IFERROR(_xlfn._xlws.FILTER(INDIRECT("'"&amp;model_name&amp;" case settings'!$C$19:$C$42"),ISNUMBER(MATCH(INDIRECT("'"&amp;model_name&amp;" case settings'!$C$19:$C$42"),_xlfn._xlws.FILTER(INDIRECT(H35&amp;".scenario"),INDIRECT(H35)=$C35),0))),"-/-"),
IFERROR(_xlfn._xlws.FILTER(INDIRECT("'"&amp;model_name&amp;" case settings'!$C$19:$C$42"),ISNUMBER(MATCH(INDIRECT("'"&amp;model_name&amp;" case settings'!$C$19:$C$42"),_xlfn._xlws.FILTER(INDIRECT(I35&amp;".scenario"),INDIRECT(I35)=$C35),0))),"-/-"),
IFERROR(_xlfn._xlws.FILTER(INDIRECT("'"&amp;model_name&amp;" case settings'!$C$19:$C$42"),ISNUMBER(MATCH(INDIRECT("'"&amp;model_name&amp;" case settings'!$C$19:$C$42"),_xlfn._xlws.FILTER(INDIRECT(J35&amp;".scenario"),INDIRECT(J35)=$C35),0))),"-/-")),
_xlfn._xlws.FILTER(_xlpm.all_scenario_tags,_xlpm.all_scenario_tags&lt;&gt;"-/-","-/-")
))</f>
        <v>-/-</v>
      </c>
      <c r="N35" s="12"/>
      <c r="O35" s="12"/>
      <c r="P35" s="12"/>
      <c r="Q35" s="12"/>
    </row>
    <row r="36" spans="2:17">
      <c r="B36" s="38" t="s">
        <v>221</v>
      </c>
      <c r="C36" s="3" t="s">
        <v>222</v>
      </c>
      <c r="E36" s="91" t="str" cm="1">
        <f t="array" ref="E36">TRANSPOSE("'"&amp;_xlfn._xlws.FILTER(Lists!$CA$9:$CA$50,B36=Lists!$CC$9:$CC$50)&amp;"'!"&amp;B36)</f>
        <v>'Variable'!VariableResource</v>
      </c>
      <c r="F36" s="91"/>
      <c r="G36" s="91"/>
      <c r="H36" s="91"/>
      <c r="I36" s="91"/>
      <c r="J36" s="91"/>
      <c r="L36" s="34">
        <f t="shared" ca="1" si="0"/>
        <v>0</v>
      </c>
      <c r="M36" s="12" t="str" cm="1">
        <f t="array" aca="1" ref="M36" ca="1">TRANSPOSE(_xlfn.LET(
_xlpm.all_scenario_tags,
_xlfn.VSTACK(
IFERROR(_xlfn._xlws.FILTER(INDIRECT("'"&amp;model_name&amp;" case settings'!$C$19:$C$42"),ISNUMBER(MATCH(INDIRECT("'"&amp;model_name&amp;" case settings'!$C$19:$C$42"),_xlfn._xlws.FILTER(INDIRECT(E36&amp;".scenario"),INDIRECT(E36)=$C36),0))),"-/-"),
IFERROR(_xlfn._xlws.FILTER(INDIRECT("'"&amp;model_name&amp;" case settings'!$C$19:$C$42"),ISNUMBER(MATCH(INDIRECT("'"&amp;model_name&amp;" case settings'!$C$19:$C$42"),_xlfn._xlws.FILTER(INDIRECT(F36&amp;".scenario"),INDIRECT(F36)=$C36),0))),"-/-"),
IFERROR(_xlfn._xlws.FILTER(INDIRECT("'"&amp;model_name&amp;" case settings'!$C$19:$C$42"),ISNUMBER(MATCH(INDIRECT("'"&amp;model_name&amp;" case settings'!$C$19:$C$42"),_xlfn._xlws.FILTER(INDIRECT(G36&amp;".scenario"),INDIRECT(G36)=$C36),0))),"-/-"),
IFERROR(_xlfn._xlws.FILTER(INDIRECT("'"&amp;model_name&amp;" case settings'!$C$19:$C$42"),ISNUMBER(MATCH(INDIRECT("'"&amp;model_name&amp;" case settings'!$C$19:$C$42"),_xlfn._xlws.FILTER(INDIRECT(H36&amp;".scenario"),INDIRECT(H36)=$C36),0))),"-/-"),
IFERROR(_xlfn._xlws.FILTER(INDIRECT("'"&amp;model_name&amp;" case settings'!$C$19:$C$42"),ISNUMBER(MATCH(INDIRECT("'"&amp;model_name&amp;" case settings'!$C$19:$C$42"),_xlfn._xlws.FILTER(INDIRECT(I36&amp;".scenario"),INDIRECT(I36)=$C36),0))),"-/-"),
IFERROR(_xlfn._xlws.FILTER(INDIRECT("'"&amp;model_name&amp;" case settings'!$C$19:$C$42"),ISNUMBER(MATCH(INDIRECT("'"&amp;model_name&amp;" case settings'!$C$19:$C$42"),_xlfn._xlws.FILTER(INDIRECT(J36&amp;".scenario"),INDIRECT(J36)=$C36),0))),"-/-")),
_xlfn._xlws.FILTER(_xlpm.all_scenario_tags,_xlpm.all_scenario_tags&lt;&gt;"-/-","-/-")
))</f>
        <v>-/-</v>
      </c>
      <c r="N36" s="12"/>
      <c r="O36" s="12"/>
      <c r="P36" s="12"/>
      <c r="Q36" s="12"/>
    </row>
    <row r="37" spans="2:17">
      <c r="B37" s="38" t="s">
        <v>221</v>
      </c>
      <c r="C37" s="3" t="s">
        <v>223</v>
      </c>
      <c r="E37" s="91" t="str" cm="1">
        <f t="array" ref="E37">TRANSPOSE("'"&amp;_xlfn._xlws.FILTER(Lists!$CA$9:$CA$50,B37=Lists!$CC$9:$CC$50)&amp;"'!"&amp;B37)</f>
        <v>'Variable'!VariableResource</v>
      </c>
      <c r="F37" s="91"/>
      <c r="G37" s="91"/>
      <c r="H37" s="91"/>
      <c r="I37" s="91"/>
      <c r="J37" s="91"/>
      <c r="L37" s="34">
        <f t="shared" ca="1" si="0"/>
        <v>0</v>
      </c>
      <c r="M37" s="12" t="str" cm="1">
        <f t="array" aca="1" ref="M37" ca="1">TRANSPOSE(_xlfn.LET(
_xlpm.all_scenario_tags,
_xlfn.VSTACK(
IFERROR(_xlfn._xlws.FILTER(INDIRECT("'"&amp;model_name&amp;" case settings'!$C$19:$C$42"),ISNUMBER(MATCH(INDIRECT("'"&amp;model_name&amp;" case settings'!$C$19:$C$42"),_xlfn._xlws.FILTER(INDIRECT(E37&amp;".scenario"),INDIRECT(E37)=$C37),0))),"-/-"),
IFERROR(_xlfn._xlws.FILTER(INDIRECT("'"&amp;model_name&amp;" case settings'!$C$19:$C$42"),ISNUMBER(MATCH(INDIRECT("'"&amp;model_name&amp;" case settings'!$C$19:$C$42"),_xlfn._xlws.FILTER(INDIRECT(F37&amp;".scenario"),INDIRECT(F37)=$C37),0))),"-/-"),
IFERROR(_xlfn._xlws.FILTER(INDIRECT("'"&amp;model_name&amp;" case settings'!$C$19:$C$42"),ISNUMBER(MATCH(INDIRECT("'"&amp;model_name&amp;" case settings'!$C$19:$C$42"),_xlfn._xlws.FILTER(INDIRECT(G37&amp;".scenario"),INDIRECT(G37)=$C37),0))),"-/-"),
IFERROR(_xlfn._xlws.FILTER(INDIRECT("'"&amp;model_name&amp;" case settings'!$C$19:$C$42"),ISNUMBER(MATCH(INDIRECT("'"&amp;model_name&amp;" case settings'!$C$19:$C$42"),_xlfn._xlws.FILTER(INDIRECT(H37&amp;".scenario"),INDIRECT(H37)=$C37),0))),"-/-"),
IFERROR(_xlfn._xlws.FILTER(INDIRECT("'"&amp;model_name&amp;" case settings'!$C$19:$C$42"),ISNUMBER(MATCH(INDIRECT("'"&amp;model_name&amp;" case settings'!$C$19:$C$42"),_xlfn._xlws.FILTER(INDIRECT(I37&amp;".scenario"),INDIRECT(I37)=$C37),0))),"-/-"),
IFERROR(_xlfn._xlws.FILTER(INDIRECT("'"&amp;model_name&amp;" case settings'!$C$19:$C$42"),ISNUMBER(MATCH(INDIRECT("'"&amp;model_name&amp;" case settings'!$C$19:$C$42"),_xlfn._xlws.FILTER(INDIRECT(J37&amp;".scenario"),INDIRECT(J37)=$C37),0))),"-/-")),
_xlfn._xlws.FILTER(_xlpm.all_scenario_tags,_xlpm.all_scenario_tags&lt;&gt;"-/-","-/-")
))</f>
        <v>-/-</v>
      </c>
      <c r="N37" s="12"/>
      <c r="O37" s="12"/>
      <c r="P37" s="12"/>
      <c r="Q37" s="12"/>
    </row>
    <row r="38" spans="2:17">
      <c r="B38" s="38" t="s">
        <v>221</v>
      </c>
      <c r="C38" s="3" t="s">
        <v>224</v>
      </c>
      <c r="E38" s="91" t="str" cm="1">
        <f t="array" ref="E38">TRANSPOSE("'"&amp;_xlfn._xlws.FILTER(Lists!$CA$9:$CA$50,B38=Lists!$CC$9:$CC$50)&amp;"'!"&amp;B38)</f>
        <v>'Variable'!VariableResource</v>
      </c>
      <c r="F38" s="91"/>
      <c r="G38" s="91"/>
      <c r="H38" s="91"/>
      <c r="I38" s="91"/>
      <c r="J38" s="91"/>
      <c r="L38" s="34">
        <f t="shared" ca="1" si="0"/>
        <v>0</v>
      </c>
      <c r="M38" s="12" t="str" cm="1">
        <f t="array" aca="1" ref="M38" ca="1">TRANSPOSE(_xlfn.LET(
_xlpm.all_scenario_tags,
_xlfn.VSTACK(
IFERROR(_xlfn._xlws.FILTER(INDIRECT("'"&amp;model_name&amp;" case settings'!$C$19:$C$42"),ISNUMBER(MATCH(INDIRECT("'"&amp;model_name&amp;" case settings'!$C$19:$C$42"),_xlfn._xlws.FILTER(INDIRECT(E38&amp;".scenario"),INDIRECT(E38)=$C38),0))),"-/-"),
IFERROR(_xlfn._xlws.FILTER(INDIRECT("'"&amp;model_name&amp;" case settings'!$C$19:$C$42"),ISNUMBER(MATCH(INDIRECT("'"&amp;model_name&amp;" case settings'!$C$19:$C$42"),_xlfn._xlws.FILTER(INDIRECT(F38&amp;".scenario"),INDIRECT(F38)=$C38),0))),"-/-"),
IFERROR(_xlfn._xlws.FILTER(INDIRECT("'"&amp;model_name&amp;" case settings'!$C$19:$C$42"),ISNUMBER(MATCH(INDIRECT("'"&amp;model_name&amp;" case settings'!$C$19:$C$42"),_xlfn._xlws.FILTER(INDIRECT(G38&amp;".scenario"),INDIRECT(G38)=$C38),0))),"-/-"),
IFERROR(_xlfn._xlws.FILTER(INDIRECT("'"&amp;model_name&amp;" case settings'!$C$19:$C$42"),ISNUMBER(MATCH(INDIRECT("'"&amp;model_name&amp;" case settings'!$C$19:$C$42"),_xlfn._xlws.FILTER(INDIRECT(H38&amp;".scenario"),INDIRECT(H38)=$C38),0))),"-/-"),
IFERROR(_xlfn._xlws.FILTER(INDIRECT("'"&amp;model_name&amp;" case settings'!$C$19:$C$42"),ISNUMBER(MATCH(INDIRECT("'"&amp;model_name&amp;" case settings'!$C$19:$C$42"),_xlfn._xlws.FILTER(INDIRECT(I38&amp;".scenario"),INDIRECT(I38)=$C38),0))),"-/-"),
IFERROR(_xlfn._xlws.FILTER(INDIRECT("'"&amp;model_name&amp;" case settings'!$C$19:$C$42"),ISNUMBER(MATCH(INDIRECT("'"&amp;model_name&amp;" case settings'!$C$19:$C$42"),_xlfn._xlws.FILTER(INDIRECT(J38&amp;".scenario"),INDIRECT(J38)=$C38),0))),"-/-")),
_xlfn._xlws.FILTER(_xlpm.all_scenario_tags,_xlpm.all_scenario_tags&lt;&gt;"-/-","-/-")
))</f>
        <v>-/-</v>
      </c>
      <c r="N38" s="12"/>
      <c r="O38" s="12"/>
      <c r="P38" s="12"/>
      <c r="Q38" s="12"/>
    </row>
    <row r="39" spans="2:17">
      <c r="B39" s="38" t="s">
        <v>221</v>
      </c>
      <c r="C39" s="3" t="s">
        <v>225</v>
      </c>
      <c r="E39" s="91" t="str" cm="1">
        <f t="array" ref="E39">TRANSPOSE("'"&amp;_xlfn._xlws.FILTER(Lists!$CA$9:$CA$50,B39=Lists!$CC$9:$CC$50)&amp;"'!"&amp;B39)</f>
        <v>'Variable'!VariableResource</v>
      </c>
      <c r="F39" s="91"/>
      <c r="G39" s="91"/>
      <c r="H39" s="91"/>
      <c r="I39" s="91"/>
      <c r="J39" s="91"/>
      <c r="L39" s="34">
        <f t="shared" ca="1" si="0"/>
        <v>0</v>
      </c>
      <c r="M39" s="12" t="str" cm="1">
        <f t="array" aca="1" ref="M39" ca="1">TRANSPOSE(_xlfn.LET(
_xlpm.all_scenario_tags,
_xlfn.VSTACK(
IFERROR(_xlfn._xlws.FILTER(INDIRECT("'"&amp;model_name&amp;" case settings'!$C$19:$C$42"),ISNUMBER(MATCH(INDIRECT("'"&amp;model_name&amp;" case settings'!$C$19:$C$42"),_xlfn._xlws.FILTER(INDIRECT(E39&amp;".scenario"),INDIRECT(E39)=$C39),0))),"-/-"),
IFERROR(_xlfn._xlws.FILTER(INDIRECT("'"&amp;model_name&amp;" case settings'!$C$19:$C$42"),ISNUMBER(MATCH(INDIRECT("'"&amp;model_name&amp;" case settings'!$C$19:$C$42"),_xlfn._xlws.FILTER(INDIRECT(F39&amp;".scenario"),INDIRECT(F39)=$C39),0))),"-/-"),
IFERROR(_xlfn._xlws.FILTER(INDIRECT("'"&amp;model_name&amp;" case settings'!$C$19:$C$42"),ISNUMBER(MATCH(INDIRECT("'"&amp;model_name&amp;" case settings'!$C$19:$C$42"),_xlfn._xlws.FILTER(INDIRECT(G39&amp;".scenario"),INDIRECT(G39)=$C39),0))),"-/-"),
IFERROR(_xlfn._xlws.FILTER(INDIRECT("'"&amp;model_name&amp;" case settings'!$C$19:$C$42"),ISNUMBER(MATCH(INDIRECT("'"&amp;model_name&amp;" case settings'!$C$19:$C$42"),_xlfn._xlws.FILTER(INDIRECT(H39&amp;".scenario"),INDIRECT(H39)=$C39),0))),"-/-"),
IFERROR(_xlfn._xlws.FILTER(INDIRECT("'"&amp;model_name&amp;" case settings'!$C$19:$C$42"),ISNUMBER(MATCH(INDIRECT("'"&amp;model_name&amp;" case settings'!$C$19:$C$42"),_xlfn._xlws.FILTER(INDIRECT(I39&amp;".scenario"),INDIRECT(I39)=$C39),0))),"-/-"),
IFERROR(_xlfn._xlws.FILTER(INDIRECT("'"&amp;model_name&amp;" case settings'!$C$19:$C$42"),ISNUMBER(MATCH(INDIRECT("'"&amp;model_name&amp;" case settings'!$C$19:$C$42"),_xlfn._xlws.FILTER(INDIRECT(J39&amp;".scenario"),INDIRECT(J39)=$C39),0))),"-/-")),
_xlfn._xlws.FILTER(_xlpm.all_scenario_tags,_xlpm.all_scenario_tags&lt;&gt;"-/-","-/-")
))</f>
        <v>-/-</v>
      </c>
      <c r="N39" s="12"/>
      <c r="O39" s="12"/>
      <c r="P39" s="12"/>
      <c r="Q39" s="12"/>
    </row>
    <row r="40" spans="2:17">
      <c r="B40" s="38" t="s">
        <v>217</v>
      </c>
      <c r="C40" s="3" t="s">
        <v>226</v>
      </c>
      <c r="E40" s="91" t="str" cm="1">
        <f t="array" ref="E40">TRANSPOSE("'"&amp;_xlfn._xlws.FILTER(Lists!$CA$9:$CA$50,B40=Lists!$CC$9:$CC$50)&amp;"'!"&amp;B40)</f>
        <v>'Thermal'!ThermalResource</v>
      </c>
      <c r="F40" s="91"/>
      <c r="G40" s="91"/>
      <c r="H40" s="91"/>
      <c r="I40" s="91"/>
      <c r="J40" s="91"/>
      <c r="L40" s="34">
        <f t="shared" ca="1" si="0"/>
        <v>0</v>
      </c>
      <c r="M40" s="12" t="str" cm="1">
        <f t="array" aca="1" ref="M40" ca="1">TRANSPOSE(_xlfn.LET(
_xlpm.all_scenario_tags,
_xlfn.VSTACK(
IFERROR(_xlfn._xlws.FILTER(INDIRECT("'"&amp;model_name&amp;" case settings'!$C$19:$C$42"),ISNUMBER(MATCH(INDIRECT("'"&amp;model_name&amp;" case settings'!$C$19:$C$42"),_xlfn._xlws.FILTER(INDIRECT(E40&amp;".scenario"),INDIRECT(E40)=$C40),0))),"-/-"),
IFERROR(_xlfn._xlws.FILTER(INDIRECT("'"&amp;model_name&amp;" case settings'!$C$19:$C$42"),ISNUMBER(MATCH(INDIRECT("'"&amp;model_name&amp;" case settings'!$C$19:$C$42"),_xlfn._xlws.FILTER(INDIRECT(F40&amp;".scenario"),INDIRECT(F40)=$C40),0))),"-/-"),
IFERROR(_xlfn._xlws.FILTER(INDIRECT("'"&amp;model_name&amp;" case settings'!$C$19:$C$42"),ISNUMBER(MATCH(INDIRECT("'"&amp;model_name&amp;" case settings'!$C$19:$C$42"),_xlfn._xlws.FILTER(INDIRECT(G40&amp;".scenario"),INDIRECT(G40)=$C40),0))),"-/-"),
IFERROR(_xlfn._xlws.FILTER(INDIRECT("'"&amp;model_name&amp;" case settings'!$C$19:$C$42"),ISNUMBER(MATCH(INDIRECT("'"&amp;model_name&amp;" case settings'!$C$19:$C$42"),_xlfn._xlws.FILTER(INDIRECT(H40&amp;".scenario"),INDIRECT(H40)=$C40),0))),"-/-"),
IFERROR(_xlfn._xlws.FILTER(INDIRECT("'"&amp;model_name&amp;" case settings'!$C$19:$C$42"),ISNUMBER(MATCH(INDIRECT("'"&amp;model_name&amp;" case settings'!$C$19:$C$42"),_xlfn._xlws.FILTER(INDIRECT(I40&amp;".scenario"),INDIRECT(I40)=$C40),0))),"-/-"),
IFERROR(_xlfn._xlws.FILTER(INDIRECT("'"&amp;model_name&amp;" case settings'!$C$19:$C$42"),ISNUMBER(MATCH(INDIRECT("'"&amp;model_name&amp;" case settings'!$C$19:$C$42"),_xlfn._xlws.FILTER(INDIRECT(J40&amp;".scenario"),INDIRECT(J40)=$C40),0))),"-/-")),
_xlfn._xlws.FILTER(_xlpm.all_scenario_tags,_xlpm.all_scenario_tags&lt;&gt;"-/-","-/-")
))</f>
        <v>-/-</v>
      </c>
      <c r="N40" s="12"/>
      <c r="O40" s="12"/>
      <c r="P40" s="12"/>
      <c r="Q40" s="12"/>
    </row>
    <row r="41" spans="2:17">
      <c r="B41" s="38" t="s">
        <v>227</v>
      </c>
      <c r="C41" s="3" t="s">
        <v>228</v>
      </c>
      <c r="E41" s="91" t="str" cm="1">
        <f t="array" ref="E41">TRANSPOSE("'"&amp;_xlfn._xlws.FILTER(Lists!$CA$9:$CA$50,B41=Lists!$CC$9:$CC$50)&amp;"'!"&amp;B41)</f>
        <v>'Hydro'!HydroResource</v>
      </c>
      <c r="F41" s="91"/>
      <c r="G41" s="91"/>
      <c r="H41" s="91"/>
      <c r="I41" s="91"/>
      <c r="J41" s="91"/>
      <c r="L41" s="34">
        <f t="shared" ca="1" si="0"/>
        <v>0</v>
      </c>
      <c r="M41" s="12" t="str" cm="1">
        <f t="array" aca="1" ref="M41" ca="1">TRANSPOSE(_xlfn.LET(
_xlpm.all_scenario_tags,
_xlfn.VSTACK(
IFERROR(_xlfn._xlws.FILTER(INDIRECT("'"&amp;model_name&amp;" case settings'!$C$19:$C$42"),ISNUMBER(MATCH(INDIRECT("'"&amp;model_name&amp;" case settings'!$C$19:$C$42"),_xlfn._xlws.FILTER(INDIRECT(E41&amp;".scenario"),INDIRECT(E41)=$C41),0))),"-/-"),
IFERROR(_xlfn._xlws.FILTER(INDIRECT("'"&amp;model_name&amp;" case settings'!$C$19:$C$42"),ISNUMBER(MATCH(INDIRECT("'"&amp;model_name&amp;" case settings'!$C$19:$C$42"),_xlfn._xlws.FILTER(INDIRECT(F41&amp;".scenario"),INDIRECT(F41)=$C41),0))),"-/-"),
IFERROR(_xlfn._xlws.FILTER(INDIRECT("'"&amp;model_name&amp;" case settings'!$C$19:$C$42"),ISNUMBER(MATCH(INDIRECT("'"&amp;model_name&amp;" case settings'!$C$19:$C$42"),_xlfn._xlws.FILTER(INDIRECT(G41&amp;".scenario"),INDIRECT(G41)=$C41),0))),"-/-"),
IFERROR(_xlfn._xlws.FILTER(INDIRECT("'"&amp;model_name&amp;" case settings'!$C$19:$C$42"),ISNUMBER(MATCH(INDIRECT("'"&amp;model_name&amp;" case settings'!$C$19:$C$42"),_xlfn._xlws.FILTER(INDIRECT(H41&amp;".scenario"),INDIRECT(H41)=$C41),0))),"-/-"),
IFERROR(_xlfn._xlws.FILTER(INDIRECT("'"&amp;model_name&amp;" case settings'!$C$19:$C$42"),ISNUMBER(MATCH(INDIRECT("'"&amp;model_name&amp;" case settings'!$C$19:$C$42"),_xlfn._xlws.FILTER(INDIRECT(I41&amp;".scenario"),INDIRECT(I41)=$C41),0))),"-/-"),
IFERROR(_xlfn._xlws.FILTER(INDIRECT("'"&amp;model_name&amp;" case settings'!$C$19:$C$42"),ISNUMBER(MATCH(INDIRECT("'"&amp;model_name&amp;" case settings'!$C$19:$C$42"),_xlfn._xlws.FILTER(INDIRECT(J41&amp;".scenario"),INDIRECT(J41)=$C41),0))),"-/-")),
_xlfn._xlws.FILTER(_xlpm.all_scenario_tags,_xlpm.all_scenario_tags&lt;&gt;"-/-","-/-")
))</f>
        <v>-/-</v>
      </c>
      <c r="N41" s="12"/>
      <c r="O41" s="12"/>
      <c r="P41" s="12"/>
      <c r="Q41" s="12"/>
    </row>
    <row r="42" spans="2:17">
      <c r="B42" s="38" t="s">
        <v>229</v>
      </c>
      <c r="C42" s="3" t="s">
        <v>230</v>
      </c>
      <c r="E42" s="91" t="str" cm="1">
        <f t="array" ref="E42">TRANSPOSE("'"&amp;_xlfn._xlws.FILTER(Lists!$CA$9:$CA$50,B42=Lists!$CC$9:$CC$50)&amp;"'!"&amp;B42)</f>
        <v>'Storage'!StorageResource</v>
      </c>
      <c r="F42" s="91"/>
      <c r="G42" s="91"/>
      <c r="H42" s="91"/>
      <c r="I42" s="91"/>
      <c r="J42" s="91"/>
      <c r="L42" s="34">
        <f t="shared" ca="1" si="0"/>
        <v>0</v>
      </c>
      <c r="M42" s="12" t="str" cm="1">
        <f t="array" aca="1" ref="M42" ca="1">TRANSPOSE(_xlfn.LET(
_xlpm.all_scenario_tags,
_xlfn.VSTACK(
IFERROR(_xlfn._xlws.FILTER(INDIRECT("'"&amp;model_name&amp;" case settings'!$C$19:$C$42"),ISNUMBER(MATCH(INDIRECT("'"&amp;model_name&amp;" case settings'!$C$19:$C$42"),_xlfn._xlws.FILTER(INDIRECT(E42&amp;".scenario"),INDIRECT(E42)=$C42),0))),"-/-"),
IFERROR(_xlfn._xlws.FILTER(INDIRECT("'"&amp;model_name&amp;" case settings'!$C$19:$C$42"),ISNUMBER(MATCH(INDIRECT("'"&amp;model_name&amp;" case settings'!$C$19:$C$42"),_xlfn._xlws.FILTER(INDIRECT(F42&amp;".scenario"),INDIRECT(F42)=$C42),0))),"-/-"),
IFERROR(_xlfn._xlws.FILTER(INDIRECT("'"&amp;model_name&amp;" case settings'!$C$19:$C$42"),ISNUMBER(MATCH(INDIRECT("'"&amp;model_name&amp;" case settings'!$C$19:$C$42"),_xlfn._xlws.FILTER(INDIRECT(G42&amp;".scenario"),INDIRECT(G42)=$C42),0))),"-/-"),
IFERROR(_xlfn._xlws.FILTER(INDIRECT("'"&amp;model_name&amp;" case settings'!$C$19:$C$42"),ISNUMBER(MATCH(INDIRECT("'"&amp;model_name&amp;" case settings'!$C$19:$C$42"),_xlfn._xlws.FILTER(INDIRECT(H42&amp;".scenario"),INDIRECT(H42)=$C42),0))),"-/-"),
IFERROR(_xlfn._xlws.FILTER(INDIRECT("'"&amp;model_name&amp;" case settings'!$C$19:$C$42"),ISNUMBER(MATCH(INDIRECT("'"&amp;model_name&amp;" case settings'!$C$19:$C$42"),_xlfn._xlws.FILTER(INDIRECT(I42&amp;".scenario"),INDIRECT(I42)=$C42),0))),"-/-"),
IFERROR(_xlfn._xlws.FILTER(INDIRECT("'"&amp;model_name&amp;" case settings'!$C$19:$C$42"),ISNUMBER(MATCH(INDIRECT("'"&amp;model_name&amp;" case settings'!$C$19:$C$42"),_xlfn._xlws.FILTER(INDIRECT(J42&amp;".scenario"),INDIRECT(J42)=$C42),0))),"-/-")),
_xlfn._xlws.FILTER(_xlpm.all_scenario_tags,_xlpm.all_scenario_tags&lt;&gt;"-/-","-/-")
))</f>
        <v>-/-</v>
      </c>
      <c r="N42" s="12"/>
      <c r="O42" s="12"/>
      <c r="P42" s="12"/>
      <c r="Q42" s="12"/>
    </row>
    <row r="43" spans="2:17">
      <c r="B43" s="38" t="s">
        <v>229</v>
      </c>
      <c r="C43" s="3" t="s">
        <v>231</v>
      </c>
      <c r="E43" s="91" t="str" cm="1">
        <f t="array" ref="E43">TRANSPOSE("'"&amp;_xlfn._xlws.FILTER(Lists!$CA$9:$CA$50,B43=Lists!$CC$9:$CC$50)&amp;"'!"&amp;B43)</f>
        <v>'Storage'!StorageResource</v>
      </c>
      <c r="F43" s="91"/>
      <c r="G43" s="91"/>
      <c r="H43" s="91"/>
      <c r="I43" s="91"/>
      <c r="J43" s="91"/>
      <c r="L43" s="34">
        <f t="shared" ca="1" si="0"/>
        <v>0</v>
      </c>
      <c r="M43" s="12" t="str" cm="1">
        <f t="array" aca="1" ref="M43" ca="1">TRANSPOSE(_xlfn.LET(
_xlpm.all_scenario_tags,
_xlfn.VSTACK(
IFERROR(_xlfn._xlws.FILTER(INDIRECT("'"&amp;model_name&amp;" case settings'!$C$19:$C$42"),ISNUMBER(MATCH(INDIRECT("'"&amp;model_name&amp;" case settings'!$C$19:$C$42"),_xlfn._xlws.FILTER(INDIRECT(E43&amp;".scenario"),INDIRECT(E43)=$C43),0))),"-/-"),
IFERROR(_xlfn._xlws.FILTER(INDIRECT("'"&amp;model_name&amp;" case settings'!$C$19:$C$42"),ISNUMBER(MATCH(INDIRECT("'"&amp;model_name&amp;" case settings'!$C$19:$C$42"),_xlfn._xlws.FILTER(INDIRECT(F43&amp;".scenario"),INDIRECT(F43)=$C43),0))),"-/-"),
IFERROR(_xlfn._xlws.FILTER(INDIRECT("'"&amp;model_name&amp;" case settings'!$C$19:$C$42"),ISNUMBER(MATCH(INDIRECT("'"&amp;model_name&amp;" case settings'!$C$19:$C$42"),_xlfn._xlws.FILTER(INDIRECT(G43&amp;".scenario"),INDIRECT(G43)=$C43),0))),"-/-"),
IFERROR(_xlfn._xlws.FILTER(INDIRECT("'"&amp;model_name&amp;" case settings'!$C$19:$C$42"),ISNUMBER(MATCH(INDIRECT("'"&amp;model_name&amp;" case settings'!$C$19:$C$42"),_xlfn._xlws.FILTER(INDIRECT(H43&amp;".scenario"),INDIRECT(H43)=$C43),0))),"-/-"),
IFERROR(_xlfn._xlws.FILTER(INDIRECT("'"&amp;model_name&amp;" case settings'!$C$19:$C$42"),ISNUMBER(MATCH(INDIRECT("'"&amp;model_name&amp;" case settings'!$C$19:$C$42"),_xlfn._xlws.FILTER(INDIRECT(I43&amp;".scenario"),INDIRECT(I43)=$C43),0))),"-/-"),
IFERROR(_xlfn._xlws.FILTER(INDIRECT("'"&amp;model_name&amp;" case settings'!$C$19:$C$42"),ISNUMBER(MATCH(INDIRECT("'"&amp;model_name&amp;" case settings'!$C$19:$C$42"),_xlfn._xlws.FILTER(INDIRECT(J43&amp;".scenario"),INDIRECT(J43)=$C43),0))),"-/-")),
_xlfn._xlws.FILTER(_xlpm.all_scenario_tags,_xlpm.all_scenario_tags&lt;&gt;"-/-","-/-")
))</f>
        <v>-/-</v>
      </c>
      <c r="N43" s="12"/>
      <c r="O43" s="12"/>
      <c r="P43" s="12"/>
      <c r="Q43" s="12"/>
    </row>
    <row r="44" spans="2:17">
      <c r="B44" s="38" t="s">
        <v>229</v>
      </c>
      <c r="C44" s="3" t="s">
        <v>232</v>
      </c>
      <c r="E44" s="91" t="str" cm="1">
        <f t="array" ref="E44">TRANSPOSE("'"&amp;_xlfn._xlws.FILTER(Lists!$CA$9:$CA$50,B44=Lists!$CC$9:$CC$50)&amp;"'!"&amp;B44)</f>
        <v>'Storage'!StorageResource</v>
      </c>
      <c r="F44" s="91"/>
      <c r="G44" s="91"/>
      <c r="H44" s="91"/>
      <c r="I44" s="91"/>
      <c r="J44" s="91"/>
      <c r="L44" s="34">
        <f t="shared" ca="1" si="0"/>
        <v>0</v>
      </c>
      <c r="M44" s="12" t="str" cm="1">
        <f t="array" aca="1" ref="M44" ca="1">TRANSPOSE(_xlfn.LET(
_xlpm.all_scenario_tags,
_xlfn.VSTACK(
IFERROR(_xlfn._xlws.FILTER(INDIRECT("'"&amp;model_name&amp;" case settings'!$C$19:$C$42"),ISNUMBER(MATCH(INDIRECT("'"&amp;model_name&amp;" case settings'!$C$19:$C$42"),_xlfn._xlws.FILTER(INDIRECT(E44&amp;".scenario"),INDIRECT(E44)=$C44),0))),"-/-"),
IFERROR(_xlfn._xlws.FILTER(INDIRECT("'"&amp;model_name&amp;" case settings'!$C$19:$C$42"),ISNUMBER(MATCH(INDIRECT("'"&amp;model_name&amp;" case settings'!$C$19:$C$42"),_xlfn._xlws.FILTER(INDIRECT(F44&amp;".scenario"),INDIRECT(F44)=$C44),0))),"-/-"),
IFERROR(_xlfn._xlws.FILTER(INDIRECT("'"&amp;model_name&amp;" case settings'!$C$19:$C$42"),ISNUMBER(MATCH(INDIRECT("'"&amp;model_name&amp;" case settings'!$C$19:$C$42"),_xlfn._xlws.FILTER(INDIRECT(G44&amp;".scenario"),INDIRECT(G44)=$C44),0))),"-/-"),
IFERROR(_xlfn._xlws.FILTER(INDIRECT("'"&amp;model_name&amp;" case settings'!$C$19:$C$42"),ISNUMBER(MATCH(INDIRECT("'"&amp;model_name&amp;" case settings'!$C$19:$C$42"),_xlfn._xlws.FILTER(INDIRECT(H44&amp;".scenario"),INDIRECT(H44)=$C44),0))),"-/-"),
IFERROR(_xlfn._xlws.FILTER(INDIRECT("'"&amp;model_name&amp;" case settings'!$C$19:$C$42"),ISNUMBER(MATCH(INDIRECT("'"&amp;model_name&amp;" case settings'!$C$19:$C$42"),_xlfn._xlws.FILTER(INDIRECT(I44&amp;".scenario"),INDIRECT(I44)=$C44),0))),"-/-"),
IFERROR(_xlfn._xlws.FILTER(INDIRECT("'"&amp;model_name&amp;" case settings'!$C$19:$C$42"),ISNUMBER(MATCH(INDIRECT("'"&amp;model_name&amp;" case settings'!$C$19:$C$42"),_xlfn._xlws.FILTER(INDIRECT(J44&amp;".scenario"),INDIRECT(J44)=$C44),0))),"-/-")),
_xlfn._xlws.FILTER(_xlpm.all_scenario_tags,_xlpm.all_scenario_tags&lt;&gt;"-/-","-/-")
))</f>
        <v>-/-</v>
      </c>
      <c r="N44" s="12"/>
      <c r="O44" s="12"/>
      <c r="P44" s="12"/>
      <c r="Q44" s="12"/>
    </row>
    <row r="45" spans="2:17">
      <c r="B45" s="38" t="s">
        <v>233</v>
      </c>
      <c r="C45" s="3" t="s">
        <v>234</v>
      </c>
      <c r="E45" s="91" t="str" cm="1">
        <f t="array" ref="E45">TRANSPOSE("'"&amp;_xlfn._xlws.FILTER(Lists!$CA$9:$CA$50,B45=Lists!$CC$9:$CC$50)&amp;"'!"&amp;B45)</f>
        <v>'Shed DR'!ShedDrResource</v>
      </c>
      <c r="F45" s="91"/>
      <c r="G45" s="91"/>
      <c r="H45" s="91"/>
      <c r="I45" s="91"/>
      <c r="J45" s="91"/>
      <c r="L45" s="34">
        <f t="shared" ca="1" si="0"/>
        <v>0</v>
      </c>
      <c r="M45" s="12" t="str" cm="1">
        <f t="array" aca="1" ref="M45" ca="1">TRANSPOSE(_xlfn.LET(
_xlpm.all_scenario_tags,
_xlfn.VSTACK(
IFERROR(_xlfn._xlws.FILTER(INDIRECT("'"&amp;model_name&amp;" case settings'!$C$19:$C$42"),ISNUMBER(MATCH(INDIRECT("'"&amp;model_name&amp;" case settings'!$C$19:$C$42"),_xlfn._xlws.FILTER(INDIRECT(E45&amp;".scenario"),INDIRECT(E45)=$C45),0))),"-/-"),
IFERROR(_xlfn._xlws.FILTER(INDIRECT("'"&amp;model_name&amp;" case settings'!$C$19:$C$42"),ISNUMBER(MATCH(INDIRECT("'"&amp;model_name&amp;" case settings'!$C$19:$C$42"),_xlfn._xlws.FILTER(INDIRECT(F45&amp;".scenario"),INDIRECT(F45)=$C45),0))),"-/-"),
IFERROR(_xlfn._xlws.FILTER(INDIRECT("'"&amp;model_name&amp;" case settings'!$C$19:$C$42"),ISNUMBER(MATCH(INDIRECT("'"&amp;model_name&amp;" case settings'!$C$19:$C$42"),_xlfn._xlws.FILTER(INDIRECT(G45&amp;".scenario"),INDIRECT(G45)=$C45),0))),"-/-"),
IFERROR(_xlfn._xlws.FILTER(INDIRECT("'"&amp;model_name&amp;" case settings'!$C$19:$C$42"),ISNUMBER(MATCH(INDIRECT("'"&amp;model_name&amp;" case settings'!$C$19:$C$42"),_xlfn._xlws.FILTER(INDIRECT(H45&amp;".scenario"),INDIRECT(H45)=$C45),0))),"-/-"),
IFERROR(_xlfn._xlws.FILTER(INDIRECT("'"&amp;model_name&amp;" case settings'!$C$19:$C$42"),ISNUMBER(MATCH(INDIRECT("'"&amp;model_name&amp;" case settings'!$C$19:$C$42"),_xlfn._xlws.FILTER(INDIRECT(I45&amp;".scenario"),INDIRECT(I45)=$C45),0))),"-/-"),
IFERROR(_xlfn._xlws.FILTER(INDIRECT("'"&amp;model_name&amp;" case settings'!$C$19:$C$42"),ISNUMBER(MATCH(INDIRECT("'"&amp;model_name&amp;" case settings'!$C$19:$C$42"),_xlfn._xlws.FILTER(INDIRECT(J45&amp;".scenario"),INDIRECT(J45)=$C45),0))),"-/-")),
_xlfn._xlws.FILTER(_xlpm.all_scenario_tags,_xlpm.all_scenario_tags&lt;&gt;"-/-","-/-")
))</f>
        <v>-/-</v>
      </c>
      <c r="N45" s="12"/>
      <c r="O45" s="12"/>
      <c r="P45" s="12"/>
      <c r="Q45" s="12"/>
    </row>
    <row r="46" spans="2:17">
      <c r="B46" s="38" t="s">
        <v>235</v>
      </c>
      <c r="C46" s="3" t="s">
        <v>236</v>
      </c>
      <c r="E46" s="91" t="str" cm="1">
        <f t="array" ref="E46">TRANSPOSE("'"&amp;_xlfn._xlws.FILTER(Lists!$CA$9:$CA$50,B46=Lists!$CC$9:$CC$50)&amp;"'!"&amp;B46)</f>
        <v>'Flexible Loads'!FlexLoadResource</v>
      </c>
      <c r="F46" s="91"/>
      <c r="G46" s="91"/>
      <c r="H46" s="91"/>
      <c r="I46" s="91"/>
      <c r="J46" s="91"/>
      <c r="L46" s="34">
        <f ca="1">COUNTIFS(M46:Q46,"&lt;&gt;"&amp;"")-COUNTIFS(M46:Q46,"-/-")</f>
        <v>0</v>
      </c>
      <c r="M46" s="12" t="str" cm="1">
        <f t="array" aca="1" ref="M46" ca="1">TRANSPOSE(_xlfn.LET(
_xlpm.all_scenario_tags,
_xlfn.VSTACK(
IFERROR(_xlfn._xlws.FILTER(INDIRECT("'"&amp;model_name&amp;" case settings'!$C$19:$C$42"),ISNUMBER(MATCH(INDIRECT("'"&amp;model_name&amp;" case settings'!$C$19:$C$42"),_xlfn._xlws.FILTER(INDIRECT(E46&amp;".scenario"),INDIRECT(E46)=$C46),0))),"-/-"),
IFERROR(_xlfn._xlws.FILTER(INDIRECT("'"&amp;model_name&amp;" case settings'!$C$19:$C$42"),ISNUMBER(MATCH(INDIRECT("'"&amp;model_name&amp;" case settings'!$C$19:$C$42"),_xlfn._xlws.FILTER(INDIRECT(F46&amp;".scenario"),INDIRECT(F46)=$C46),0))),"-/-"),
IFERROR(_xlfn._xlws.FILTER(INDIRECT("'"&amp;model_name&amp;" case settings'!$C$19:$C$42"),ISNUMBER(MATCH(INDIRECT("'"&amp;model_name&amp;" case settings'!$C$19:$C$42"),_xlfn._xlws.FILTER(INDIRECT(G46&amp;".scenario"),INDIRECT(G46)=$C46),0))),"-/-"),
IFERROR(_xlfn._xlws.FILTER(INDIRECT("'"&amp;model_name&amp;" case settings'!$C$19:$C$42"),ISNUMBER(MATCH(INDIRECT("'"&amp;model_name&amp;" case settings'!$C$19:$C$42"),_xlfn._xlws.FILTER(INDIRECT(H46&amp;".scenario"),INDIRECT(H46)=$C46),0))),"-/-"),
IFERROR(_xlfn._xlws.FILTER(INDIRECT("'"&amp;model_name&amp;" case settings'!$C$19:$C$42"),ISNUMBER(MATCH(INDIRECT("'"&amp;model_name&amp;" case settings'!$C$19:$C$42"),_xlfn._xlws.FILTER(INDIRECT(I46&amp;".scenario"),INDIRECT(I46)=$C46),0))),"-/-"),
IFERROR(_xlfn._xlws.FILTER(INDIRECT("'"&amp;model_name&amp;" case settings'!$C$19:$C$42"),ISNUMBER(MATCH(INDIRECT("'"&amp;model_name&amp;" case settings'!$C$19:$C$42"),_xlfn._xlws.FILTER(INDIRECT(J46&amp;".scenario"),INDIRECT(J46)=$C46),0))),"-/-")),
_xlfn._xlws.FILTER(_xlpm.all_scenario_tags,_xlpm.all_scenario_tags&lt;&gt;"-/-","-/-")
))</f>
        <v>-/-</v>
      </c>
      <c r="N46" s="12"/>
      <c r="O46" s="12"/>
      <c r="P46" s="12"/>
      <c r="Q46" s="12"/>
    </row>
    <row r="47" spans="2:17">
      <c r="B47" s="38" t="s">
        <v>237</v>
      </c>
      <c r="C47" s="3" t="s">
        <v>238</v>
      </c>
      <c r="E47" s="91" t="str" cm="1">
        <f t="array" ref="E47">TRANSPOSE("'"&amp;_xlfn._xlws.FILTER(Lists!$CA$9:$CA$50,B47=Lists!$CC$9:$CC$50)&amp;"'!"&amp;B47)</f>
        <v>'Hybrid Storage'!HybridStorageResource</v>
      </c>
      <c r="F47" s="91"/>
      <c r="G47" s="91"/>
      <c r="H47" s="91"/>
      <c r="I47" s="91"/>
      <c r="J47" s="91"/>
      <c r="L47" s="34">
        <f t="shared" ca="1" si="0"/>
        <v>0</v>
      </c>
      <c r="M47" s="12" t="str" cm="1">
        <f t="array" aca="1" ref="M47" ca="1">TRANSPOSE(_xlfn.LET(
_xlpm.all_scenario_tags,
_xlfn.VSTACK(
IFERROR(_xlfn._xlws.FILTER(INDIRECT("'"&amp;model_name&amp;" case settings'!$C$19:$C$42"),ISNUMBER(MATCH(INDIRECT("'"&amp;model_name&amp;" case settings'!$C$19:$C$42"),_xlfn._xlws.FILTER(INDIRECT(E47&amp;".scenario"),INDIRECT(E47)=$C47),0))),"-/-"),
IFERROR(_xlfn._xlws.FILTER(INDIRECT("'"&amp;model_name&amp;" case settings'!$C$19:$C$42"),ISNUMBER(MATCH(INDIRECT("'"&amp;model_name&amp;" case settings'!$C$19:$C$42"),_xlfn._xlws.FILTER(INDIRECT(F47&amp;".scenario"),INDIRECT(F47)=$C47),0))),"-/-"),
IFERROR(_xlfn._xlws.FILTER(INDIRECT("'"&amp;model_name&amp;" case settings'!$C$19:$C$42"),ISNUMBER(MATCH(INDIRECT("'"&amp;model_name&amp;" case settings'!$C$19:$C$42"),_xlfn._xlws.FILTER(INDIRECT(G47&amp;".scenario"),INDIRECT(G47)=$C47),0))),"-/-"),
IFERROR(_xlfn._xlws.FILTER(INDIRECT("'"&amp;model_name&amp;" case settings'!$C$19:$C$42"),ISNUMBER(MATCH(INDIRECT("'"&amp;model_name&amp;" case settings'!$C$19:$C$42"),_xlfn._xlws.FILTER(INDIRECT(H47&amp;".scenario"),INDIRECT(H47)=$C47),0))),"-/-"),
IFERROR(_xlfn._xlws.FILTER(INDIRECT("'"&amp;model_name&amp;" case settings'!$C$19:$C$42"),ISNUMBER(MATCH(INDIRECT("'"&amp;model_name&amp;" case settings'!$C$19:$C$42"),_xlfn._xlws.FILTER(INDIRECT(I47&amp;".scenario"),INDIRECT(I47)=$C47),0))),"-/-"),
IFERROR(_xlfn._xlws.FILTER(INDIRECT("'"&amp;model_name&amp;" case settings'!$C$19:$C$42"),ISNUMBER(MATCH(INDIRECT("'"&amp;model_name&amp;" case settings'!$C$19:$C$42"),_xlfn._xlws.FILTER(INDIRECT(J47&amp;".scenario"),INDIRECT(J47)=$C47),0))),"-/-")),
_xlfn._xlws.FILTER(_xlpm.all_scenario_tags,_xlpm.all_scenario_tags&lt;&gt;"-/-","-/-")
))</f>
        <v>-/-</v>
      </c>
      <c r="N47" s="12"/>
      <c r="O47" s="12"/>
      <c r="P47" s="12"/>
      <c r="Q47" s="12"/>
    </row>
    <row r="48" spans="2:17">
      <c r="B48" s="38" t="s">
        <v>239</v>
      </c>
      <c r="C48" s="3" t="s">
        <v>240</v>
      </c>
      <c r="E48" s="91" t="str" cm="1">
        <f t="array" ref="E48">TRANSPOSE("'"&amp;_xlfn._xlws.FILTER(Lists!$CA$9:$CA$50,B48=Lists!$CC$9:$CC$50)&amp;"'!"&amp;B48)</f>
        <v>'Hybrid Variable'!HybridVariableResource</v>
      </c>
      <c r="F48" s="91"/>
      <c r="G48" s="91"/>
      <c r="H48" s="91"/>
      <c r="I48" s="91"/>
      <c r="J48" s="91"/>
      <c r="L48" s="34">
        <f t="shared" ca="1" si="0"/>
        <v>0</v>
      </c>
      <c r="M48" s="12" t="str" cm="1">
        <f t="array" aca="1" ref="M48" ca="1">TRANSPOSE(_xlfn.LET(
_xlpm.all_scenario_tags,
_xlfn.VSTACK(
IFERROR(_xlfn._xlws.FILTER(INDIRECT("'"&amp;model_name&amp;" case settings'!$C$19:$C$42"),ISNUMBER(MATCH(INDIRECT("'"&amp;model_name&amp;" case settings'!$C$19:$C$42"),_xlfn._xlws.FILTER(INDIRECT(E48&amp;".scenario"),INDIRECT(E48)=$C48),0))),"-/-"),
IFERROR(_xlfn._xlws.FILTER(INDIRECT("'"&amp;model_name&amp;" case settings'!$C$19:$C$42"),ISNUMBER(MATCH(INDIRECT("'"&amp;model_name&amp;" case settings'!$C$19:$C$42"),_xlfn._xlws.FILTER(INDIRECT(F48&amp;".scenario"),INDIRECT(F48)=$C48),0))),"-/-"),
IFERROR(_xlfn._xlws.FILTER(INDIRECT("'"&amp;model_name&amp;" case settings'!$C$19:$C$42"),ISNUMBER(MATCH(INDIRECT("'"&amp;model_name&amp;" case settings'!$C$19:$C$42"),_xlfn._xlws.FILTER(INDIRECT(G48&amp;".scenario"),INDIRECT(G48)=$C48),0))),"-/-"),
IFERROR(_xlfn._xlws.FILTER(INDIRECT("'"&amp;model_name&amp;" case settings'!$C$19:$C$42"),ISNUMBER(MATCH(INDIRECT("'"&amp;model_name&amp;" case settings'!$C$19:$C$42"),_xlfn._xlws.FILTER(INDIRECT(H48&amp;".scenario"),INDIRECT(H48)=$C48),0))),"-/-"),
IFERROR(_xlfn._xlws.FILTER(INDIRECT("'"&amp;model_name&amp;" case settings'!$C$19:$C$42"),ISNUMBER(MATCH(INDIRECT("'"&amp;model_name&amp;" case settings'!$C$19:$C$42"),_xlfn._xlws.FILTER(INDIRECT(I48&amp;".scenario"),INDIRECT(I48)=$C48),0))),"-/-"),
IFERROR(_xlfn._xlws.FILTER(INDIRECT("'"&amp;model_name&amp;" case settings'!$C$19:$C$42"),ISNUMBER(MATCH(INDIRECT("'"&amp;model_name&amp;" case settings'!$C$19:$C$42"),_xlfn._xlws.FILTER(INDIRECT(J48&amp;".scenario"),INDIRECT(J48)=$C48),0))),"-/-")),
_xlfn._xlws.FILTER(_xlpm.all_scenario_tags,_xlpm.all_scenario_tags&lt;&gt;"-/-","-/-")
))</f>
        <v>-/-</v>
      </c>
      <c r="N48" s="12"/>
      <c r="O48" s="12"/>
      <c r="P48" s="12"/>
      <c r="Q48" s="12"/>
    </row>
    <row r="49" spans="2:17">
      <c r="B49" s="38" t="s">
        <v>241</v>
      </c>
      <c r="C49" s="3" t="s">
        <v>242</v>
      </c>
      <c r="E49" s="91" t="str" cm="1">
        <f t="array" ref="E49">TRANSPOSE("'"&amp;_xlfn._xlws.FILTER(Lists!$CA$9:$CA$50,B49=Lists!$CC$9:$CC$50)&amp;"'!"&amp;B49)</f>
        <v>'Operating Reserves'!Reserve</v>
      </c>
      <c r="F49" s="91"/>
      <c r="G49" s="91"/>
      <c r="H49" s="91"/>
      <c r="I49" s="91"/>
      <c r="J49" s="91"/>
      <c r="L49" s="34">
        <f t="shared" ca="1" si="0"/>
        <v>0</v>
      </c>
      <c r="M49" s="12" t="str" cm="1">
        <f t="array" aca="1" ref="M49" ca="1">TRANSPOSE(_xlfn.LET(
_xlpm.all_scenario_tags,
_xlfn.VSTACK(
IFERROR(_xlfn._xlws.FILTER(INDIRECT("'"&amp;model_name&amp;" case settings'!$C$19:$C$42"),ISNUMBER(MATCH(INDIRECT("'"&amp;model_name&amp;" case settings'!$C$19:$C$42"),_xlfn._xlws.FILTER(INDIRECT(E49&amp;".scenario"),INDIRECT(E49)=$C49),0))),"-/-"),
IFERROR(_xlfn._xlws.FILTER(INDIRECT("'"&amp;model_name&amp;" case settings'!$C$19:$C$42"),ISNUMBER(MATCH(INDIRECT("'"&amp;model_name&amp;" case settings'!$C$19:$C$42"),_xlfn._xlws.FILTER(INDIRECT(F49&amp;".scenario"),INDIRECT(F49)=$C49),0))),"-/-"),
IFERROR(_xlfn._xlws.FILTER(INDIRECT("'"&amp;model_name&amp;" case settings'!$C$19:$C$42"),ISNUMBER(MATCH(INDIRECT("'"&amp;model_name&amp;" case settings'!$C$19:$C$42"),_xlfn._xlws.FILTER(INDIRECT(G49&amp;".scenario"),INDIRECT(G49)=$C49),0))),"-/-"),
IFERROR(_xlfn._xlws.FILTER(INDIRECT("'"&amp;model_name&amp;" case settings'!$C$19:$C$42"),ISNUMBER(MATCH(INDIRECT("'"&amp;model_name&amp;" case settings'!$C$19:$C$42"),_xlfn._xlws.FILTER(INDIRECT(H49&amp;".scenario"),INDIRECT(H49)=$C49),0))),"-/-"),
IFERROR(_xlfn._xlws.FILTER(INDIRECT("'"&amp;model_name&amp;" case settings'!$C$19:$C$42"),ISNUMBER(MATCH(INDIRECT("'"&amp;model_name&amp;" case settings'!$C$19:$C$42"),_xlfn._xlws.FILTER(INDIRECT(I49&amp;".scenario"),INDIRECT(I49)=$C49),0))),"-/-"),
IFERROR(_xlfn._xlws.FILTER(INDIRECT("'"&amp;model_name&amp;" case settings'!$C$19:$C$42"),ISNUMBER(MATCH(INDIRECT("'"&amp;model_name&amp;" case settings'!$C$19:$C$42"),_xlfn._xlws.FILTER(INDIRECT(J49&amp;".scenario"),INDIRECT(J49)=$C49),0))),"-/-")),
_xlfn._xlws.FILTER(_xlpm.all_scenario_tags,_xlpm.all_scenario_tags&lt;&gt;"-/-","-/-")
))</f>
        <v>-/-</v>
      </c>
      <c r="N49" s="12"/>
      <c r="O49" s="12"/>
      <c r="P49" s="12"/>
      <c r="Q49" s="12"/>
    </row>
    <row r="50" spans="2:17">
      <c r="B50" s="38" t="s">
        <v>243</v>
      </c>
      <c r="C50" s="3" t="s">
        <v>244</v>
      </c>
      <c r="E50" s="91" t="str" cm="1">
        <f t="array" ref="E50">TRANSPOSE("'"&amp;_xlfn._xlws.FILTER(Lists!$CA$9:$CA$50,B50=Lists!$CC$9:$CC$50)&amp;"'!"&amp;B50)</f>
        <v>'Loads'!Load</v>
      </c>
      <c r="F50" s="91"/>
      <c r="G50" s="91"/>
      <c r="H50" s="91"/>
      <c r="I50" s="91"/>
      <c r="J50" s="91"/>
      <c r="L50" s="34">
        <f t="shared" ca="1" si="0"/>
        <v>0</v>
      </c>
      <c r="M50" s="12" t="str" cm="1">
        <f t="array" aca="1" ref="M50" ca="1">TRANSPOSE(_xlfn.LET(
_xlpm.all_scenario_tags,
_xlfn.VSTACK(
IFERROR(_xlfn._xlws.FILTER(INDIRECT("'"&amp;model_name&amp;" case settings'!$C$19:$C$42"),ISNUMBER(MATCH(INDIRECT("'"&amp;model_name&amp;" case settings'!$C$19:$C$42"),_xlfn._xlws.FILTER(INDIRECT(E50&amp;".scenario"),INDIRECT(E50)=$C50),0))),"-/-"),
IFERROR(_xlfn._xlws.FILTER(INDIRECT("'"&amp;model_name&amp;" case settings'!$C$19:$C$42"),ISNUMBER(MATCH(INDIRECT("'"&amp;model_name&amp;" case settings'!$C$19:$C$42"),_xlfn._xlws.FILTER(INDIRECT(F50&amp;".scenario"),INDIRECT(F50)=$C50),0))),"-/-"),
IFERROR(_xlfn._xlws.FILTER(INDIRECT("'"&amp;model_name&amp;" case settings'!$C$19:$C$42"),ISNUMBER(MATCH(INDIRECT("'"&amp;model_name&amp;" case settings'!$C$19:$C$42"),_xlfn._xlws.FILTER(INDIRECT(G50&amp;".scenario"),INDIRECT(G50)=$C50),0))),"-/-"),
IFERROR(_xlfn._xlws.FILTER(INDIRECT("'"&amp;model_name&amp;" case settings'!$C$19:$C$42"),ISNUMBER(MATCH(INDIRECT("'"&amp;model_name&amp;" case settings'!$C$19:$C$42"),_xlfn._xlws.FILTER(INDIRECT(H50&amp;".scenario"),INDIRECT(H50)=$C50),0))),"-/-"),
IFERROR(_xlfn._xlws.FILTER(INDIRECT("'"&amp;model_name&amp;" case settings'!$C$19:$C$42"),ISNUMBER(MATCH(INDIRECT("'"&amp;model_name&amp;" case settings'!$C$19:$C$42"),_xlfn._xlws.FILTER(INDIRECT(I50&amp;".scenario"),INDIRECT(I50)=$C50),0))),"-/-"),
IFERROR(_xlfn._xlws.FILTER(INDIRECT("'"&amp;model_name&amp;" case settings'!$C$19:$C$42"),ISNUMBER(MATCH(INDIRECT("'"&amp;model_name&amp;" case settings'!$C$19:$C$42"),_xlfn._xlws.FILTER(INDIRECT(J50&amp;".scenario"),INDIRECT(J50)=$C50),0))),"-/-")),
_xlfn._xlws.FILTER(_xlpm.all_scenario_tags,_xlpm.all_scenario_tags&lt;&gt;"-/-","-/-")
))</f>
        <v>-/-</v>
      </c>
      <c r="N50" s="12"/>
      <c r="O50" s="12"/>
      <c r="P50" s="12"/>
      <c r="Q50" s="12"/>
    </row>
    <row r="51" spans="2:17">
      <c r="B51" s="38"/>
      <c r="C51" s="3"/>
      <c r="E51" s="91" t="str" cm="1">
        <f t="array" ref="E51:G51">TRANSPOSE("'"&amp;_xlfn._xlws.FILTER(Lists!$CA$9:$CA$50,B51=Lists!$CC$9:$CC$50)&amp;"'!"&amp;B51)</f>
        <v>''!</v>
      </c>
      <c r="F51" s="91" t="str">
        <v>''!</v>
      </c>
      <c r="G51" s="91" t="str">
        <v>''!</v>
      </c>
      <c r="H51" s="91"/>
      <c r="I51" s="91"/>
      <c r="J51" s="91"/>
      <c r="L51" s="34">
        <f t="shared" ca="1" si="0"/>
        <v>0</v>
      </c>
      <c r="M51" s="12" t="str" cm="1">
        <f t="array" aca="1" ref="M51" ca="1">TRANSPOSE(_xlfn.LET(
_xlpm.all_scenario_tags,
_xlfn.VSTACK(
IFERROR(_xlfn._xlws.FILTER(INDIRECT("'"&amp;model_name&amp;" case settings'!$C$19:$C$42"),ISNUMBER(MATCH(INDIRECT("'"&amp;model_name&amp;" case settings'!$C$19:$C$42"),_xlfn._xlws.FILTER(INDIRECT(E51&amp;".scenario"),INDIRECT(E51)=$C51),0))),"-/-"),
IFERROR(_xlfn._xlws.FILTER(INDIRECT("'"&amp;model_name&amp;" case settings'!$C$19:$C$42"),ISNUMBER(MATCH(INDIRECT("'"&amp;model_name&amp;" case settings'!$C$19:$C$42"),_xlfn._xlws.FILTER(INDIRECT(F51&amp;".scenario"),INDIRECT(F51)=$C51),0))),"-/-"),
IFERROR(_xlfn._xlws.FILTER(INDIRECT("'"&amp;model_name&amp;" case settings'!$C$19:$C$42"),ISNUMBER(MATCH(INDIRECT("'"&amp;model_name&amp;" case settings'!$C$19:$C$42"),_xlfn._xlws.FILTER(INDIRECT(G51&amp;".scenario"),INDIRECT(G51)=$C51),0))),"-/-"),
IFERROR(_xlfn._xlws.FILTER(INDIRECT("'"&amp;model_name&amp;" case settings'!$C$19:$C$42"),ISNUMBER(MATCH(INDIRECT("'"&amp;model_name&amp;" case settings'!$C$19:$C$42"),_xlfn._xlws.FILTER(INDIRECT(H51&amp;".scenario"),INDIRECT(H51)=$C51),0))),"-/-"),
IFERROR(_xlfn._xlws.FILTER(INDIRECT("'"&amp;model_name&amp;" case settings'!$C$19:$C$42"),ISNUMBER(MATCH(INDIRECT("'"&amp;model_name&amp;" case settings'!$C$19:$C$42"),_xlfn._xlws.FILTER(INDIRECT(I51&amp;".scenario"),INDIRECT(I51)=$C51),0))),"-/-"),
IFERROR(_xlfn._xlws.FILTER(INDIRECT("'"&amp;model_name&amp;" case settings'!$C$19:$C$42"),ISNUMBER(MATCH(INDIRECT("'"&amp;model_name&amp;" case settings'!$C$19:$C$42"),_xlfn._xlws.FILTER(INDIRECT(J51&amp;".scenario"),INDIRECT(J51)=$C51),0))),"-/-")),
_xlfn._xlws.FILTER(_xlpm.all_scenario_tags,_xlpm.all_scenario_tags&lt;&gt;"-/-","-/-")
))</f>
        <v>-/-</v>
      </c>
      <c r="N51" s="12"/>
      <c r="O51" s="12"/>
      <c r="P51" s="12"/>
      <c r="Q51" s="12"/>
    </row>
    <row r="52" spans="2:17">
      <c r="B52" s="38"/>
      <c r="C52" s="3"/>
      <c r="E52" s="91" t="str" cm="1">
        <f t="array" ref="E52:G52">TRANSPOSE("'"&amp;_xlfn._xlws.FILTER(Lists!$CA$9:$CA$50,B52=Lists!$CC$9:$CC$50)&amp;"'!"&amp;B52)</f>
        <v>''!</v>
      </c>
      <c r="F52" s="91" t="str">
        <v>''!</v>
      </c>
      <c r="G52" s="91" t="str">
        <v>''!</v>
      </c>
      <c r="H52" s="91"/>
      <c r="I52" s="91"/>
      <c r="J52" s="91"/>
      <c r="L52" s="34">
        <f t="shared" ca="1" si="0"/>
        <v>0</v>
      </c>
      <c r="M52" s="12" t="str" cm="1">
        <f t="array" aca="1" ref="M52" ca="1">TRANSPOSE(_xlfn.LET(
_xlpm.all_scenario_tags,
_xlfn.VSTACK(
IFERROR(_xlfn._xlws.FILTER(INDIRECT("'"&amp;model_name&amp;" case settings'!$C$19:$C$42"),ISNUMBER(MATCH(INDIRECT("'"&amp;model_name&amp;" case settings'!$C$19:$C$42"),_xlfn._xlws.FILTER(INDIRECT(E52&amp;".scenario"),INDIRECT(E52)=$C52),0))),"-/-"),
IFERROR(_xlfn._xlws.FILTER(INDIRECT("'"&amp;model_name&amp;" case settings'!$C$19:$C$42"),ISNUMBER(MATCH(INDIRECT("'"&amp;model_name&amp;" case settings'!$C$19:$C$42"),_xlfn._xlws.FILTER(INDIRECT(F52&amp;".scenario"),INDIRECT(F52)=$C52),0))),"-/-"),
IFERROR(_xlfn._xlws.FILTER(INDIRECT("'"&amp;model_name&amp;" case settings'!$C$19:$C$42"),ISNUMBER(MATCH(INDIRECT("'"&amp;model_name&amp;" case settings'!$C$19:$C$42"),_xlfn._xlws.FILTER(INDIRECT(G52&amp;".scenario"),INDIRECT(G52)=$C52),0))),"-/-"),
IFERROR(_xlfn._xlws.FILTER(INDIRECT("'"&amp;model_name&amp;" case settings'!$C$19:$C$42"),ISNUMBER(MATCH(INDIRECT("'"&amp;model_name&amp;" case settings'!$C$19:$C$42"),_xlfn._xlws.FILTER(INDIRECT(H52&amp;".scenario"),INDIRECT(H52)=$C52),0))),"-/-"),
IFERROR(_xlfn._xlws.FILTER(INDIRECT("'"&amp;model_name&amp;" case settings'!$C$19:$C$42"),ISNUMBER(MATCH(INDIRECT("'"&amp;model_name&amp;" case settings'!$C$19:$C$42"),_xlfn._xlws.FILTER(INDIRECT(I52&amp;".scenario"),INDIRECT(I52)=$C52),0))),"-/-"),
IFERROR(_xlfn._xlws.FILTER(INDIRECT("'"&amp;model_name&amp;" case settings'!$C$19:$C$42"),ISNUMBER(MATCH(INDIRECT("'"&amp;model_name&amp;" case settings'!$C$19:$C$42"),_xlfn._xlws.FILTER(INDIRECT(J52&amp;".scenario"),INDIRECT(J52)=$C52),0))),"-/-")),
_xlfn._xlws.FILTER(_xlpm.all_scenario_tags,_xlpm.all_scenario_tags&lt;&gt;"-/-","-/-")
))</f>
        <v>-/-</v>
      </c>
      <c r="N52" s="12"/>
      <c r="O52" s="12"/>
      <c r="P52" s="12"/>
      <c r="Q52" s="12"/>
    </row>
    <row r="53" spans="2:17">
      <c r="B53" s="38"/>
      <c r="C53" s="3"/>
      <c r="E53" s="91" t="str" cm="1">
        <f t="array" ref="E53:G53">TRANSPOSE("'"&amp;_xlfn._xlws.FILTER(Lists!$CA$9:$CA$50,B53=Lists!$CC$9:$CC$50)&amp;"'!"&amp;B53)</f>
        <v>''!</v>
      </c>
      <c r="F53" s="91" t="str">
        <v>''!</v>
      </c>
      <c r="G53" s="91" t="str">
        <v>''!</v>
      </c>
      <c r="H53" s="91"/>
      <c r="I53" s="91"/>
      <c r="J53" s="91"/>
      <c r="L53" s="34">
        <f t="shared" ca="1" si="0"/>
        <v>0</v>
      </c>
      <c r="M53" s="12" t="str" cm="1">
        <f t="array" aca="1" ref="M53" ca="1">TRANSPOSE(_xlfn.LET(
_xlpm.all_scenario_tags,
_xlfn.VSTACK(
IFERROR(_xlfn._xlws.FILTER(INDIRECT("'"&amp;model_name&amp;" case settings'!$C$19:$C$42"),ISNUMBER(MATCH(INDIRECT("'"&amp;model_name&amp;" case settings'!$C$19:$C$42"),_xlfn._xlws.FILTER(INDIRECT(E53&amp;".scenario"),INDIRECT(E53)=$C53),0))),"-/-"),
IFERROR(_xlfn._xlws.FILTER(INDIRECT("'"&amp;model_name&amp;" case settings'!$C$19:$C$42"),ISNUMBER(MATCH(INDIRECT("'"&amp;model_name&amp;" case settings'!$C$19:$C$42"),_xlfn._xlws.FILTER(INDIRECT(F53&amp;".scenario"),INDIRECT(F53)=$C53),0))),"-/-"),
IFERROR(_xlfn._xlws.FILTER(INDIRECT("'"&amp;model_name&amp;" case settings'!$C$19:$C$42"),ISNUMBER(MATCH(INDIRECT("'"&amp;model_name&amp;" case settings'!$C$19:$C$42"),_xlfn._xlws.FILTER(INDIRECT(G53&amp;".scenario"),INDIRECT(G53)=$C53),0))),"-/-"),
IFERROR(_xlfn._xlws.FILTER(INDIRECT("'"&amp;model_name&amp;" case settings'!$C$19:$C$42"),ISNUMBER(MATCH(INDIRECT("'"&amp;model_name&amp;" case settings'!$C$19:$C$42"),_xlfn._xlws.FILTER(INDIRECT(H53&amp;".scenario"),INDIRECT(H53)=$C53),0))),"-/-"),
IFERROR(_xlfn._xlws.FILTER(INDIRECT("'"&amp;model_name&amp;" case settings'!$C$19:$C$42"),ISNUMBER(MATCH(INDIRECT("'"&amp;model_name&amp;" case settings'!$C$19:$C$42"),_xlfn._xlws.FILTER(INDIRECT(I53&amp;".scenario"),INDIRECT(I53)=$C53),0))),"-/-"),
IFERROR(_xlfn._xlws.FILTER(INDIRECT("'"&amp;model_name&amp;" case settings'!$C$19:$C$42"),ISNUMBER(MATCH(INDIRECT("'"&amp;model_name&amp;" case settings'!$C$19:$C$42"),_xlfn._xlws.FILTER(INDIRECT(J53&amp;".scenario"),INDIRECT(J53)=$C53),0))),"-/-")),
_xlfn._xlws.FILTER(_xlpm.all_scenario_tags,_xlpm.all_scenario_tags&lt;&gt;"-/-","-/-")
))</f>
        <v>-/-</v>
      </c>
      <c r="N53" s="12"/>
      <c r="O53" s="12"/>
      <c r="P53" s="12"/>
      <c r="Q53" s="12"/>
    </row>
    <row r="54" spans="2:17">
      <c r="B54" s="38"/>
      <c r="C54" s="3"/>
      <c r="E54" s="91" t="str" cm="1">
        <f t="array" ref="E54:G54">TRANSPOSE("'"&amp;_xlfn._xlws.FILTER(Lists!$CA$9:$CA$50,B54=Lists!$CC$9:$CC$50)&amp;"'!"&amp;B54)</f>
        <v>''!</v>
      </c>
      <c r="F54" s="91" t="str">
        <v>''!</v>
      </c>
      <c r="G54" s="91" t="str">
        <v>''!</v>
      </c>
      <c r="H54" s="91"/>
      <c r="I54" s="91"/>
      <c r="J54" s="91"/>
      <c r="L54" s="34">
        <f t="shared" ca="1" si="0"/>
        <v>0</v>
      </c>
      <c r="M54" s="12" t="str" cm="1">
        <f t="array" aca="1" ref="M54" ca="1">TRANSPOSE(_xlfn.LET(
_xlpm.all_scenario_tags,
_xlfn.VSTACK(
IFERROR(_xlfn._xlws.FILTER(INDIRECT("'"&amp;model_name&amp;" case settings'!$C$19:$C$42"),ISNUMBER(MATCH(INDIRECT("'"&amp;model_name&amp;" case settings'!$C$19:$C$42"),_xlfn._xlws.FILTER(INDIRECT(E54&amp;".scenario"),INDIRECT(E54)=$C54),0))),"-/-"),
IFERROR(_xlfn._xlws.FILTER(INDIRECT("'"&amp;model_name&amp;" case settings'!$C$19:$C$42"),ISNUMBER(MATCH(INDIRECT("'"&amp;model_name&amp;" case settings'!$C$19:$C$42"),_xlfn._xlws.FILTER(INDIRECT(F54&amp;".scenario"),INDIRECT(F54)=$C54),0))),"-/-"),
IFERROR(_xlfn._xlws.FILTER(INDIRECT("'"&amp;model_name&amp;" case settings'!$C$19:$C$42"),ISNUMBER(MATCH(INDIRECT("'"&amp;model_name&amp;" case settings'!$C$19:$C$42"),_xlfn._xlws.FILTER(INDIRECT(G54&amp;".scenario"),INDIRECT(G54)=$C54),0))),"-/-"),
IFERROR(_xlfn._xlws.FILTER(INDIRECT("'"&amp;model_name&amp;" case settings'!$C$19:$C$42"),ISNUMBER(MATCH(INDIRECT("'"&amp;model_name&amp;" case settings'!$C$19:$C$42"),_xlfn._xlws.FILTER(INDIRECT(H54&amp;".scenario"),INDIRECT(H54)=$C54),0))),"-/-"),
IFERROR(_xlfn._xlws.FILTER(INDIRECT("'"&amp;model_name&amp;" case settings'!$C$19:$C$42"),ISNUMBER(MATCH(INDIRECT("'"&amp;model_name&amp;" case settings'!$C$19:$C$42"),_xlfn._xlws.FILTER(INDIRECT(I54&amp;".scenario"),INDIRECT(I54)=$C54),0))),"-/-"),
IFERROR(_xlfn._xlws.FILTER(INDIRECT("'"&amp;model_name&amp;" case settings'!$C$19:$C$42"),ISNUMBER(MATCH(INDIRECT("'"&amp;model_name&amp;" case settings'!$C$19:$C$42"),_xlfn._xlws.FILTER(INDIRECT(J54&amp;".scenario"),INDIRECT(J54)=$C54),0))),"-/-")),
_xlfn._xlws.FILTER(_xlpm.all_scenario_tags,_xlpm.all_scenario_tags&lt;&gt;"-/-","-/-")
))</f>
        <v>-/-</v>
      </c>
      <c r="N54" s="12"/>
      <c r="O54" s="12"/>
      <c r="P54" s="12"/>
      <c r="Q54" s="12"/>
    </row>
    <row r="55" spans="2:17">
      <c r="B55" s="38"/>
      <c r="C55" s="3"/>
      <c r="E55" s="91" t="str" cm="1">
        <f t="array" ref="E55:G55">TRANSPOSE("'"&amp;_xlfn._xlws.FILTER(Lists!$CA$9:$CA$50,B55=Lists!$CC$9:$CC$50)&amp;"'!"&amp;B55)</f>
        <v>''!</v>
      </c>
      <c r="F55" s="91" t="str">
        <v>''!</v>
      </c>
      <c r="G55" s="91" t="str">
        <v>''!</v>
      </c>
      <c r="H55" s="91"/>
      <c r="I55" s="91"/>
      <c r="J55" s="91"/>
      <c r="L55" s="34">
        <f t="shared" ca="1" si="0"/>
        <v>0</v>
      </c>
      <c r="M55" s="12" t="str" cm="1">
        <f t="array" aca="1" ref="M55" ca="1">TRANSPOSE(_xlfn.LET(
_xlpm.all_scenario_tags,
_xlfn.VSTACK(
IFERROR(_xlfn._xlws.FILTER(INDIRECT("'"&amp;model_name&amp;" case settings'!$C$19:$C$42"),ISNUMBER(MATCH(INDIRECT("'"&amp;model_name&amp;" case settings'!$C$19:$C$42"),_xlfn._xlws.FILTER(INDIRECT(E55&amp;".scenario"),INDIRECT(E55)=$C55),0))),"-/-"),
IFERROR(_xlfn._xlws.FILTER(INDIRECT("'"&amp;model_name&amp;" case settings'!$C$19:$C$42"),ISNUMBER(MATCH(INDIRECT("'"&amp;model_name&amp;" case settings'!$C$19:$C$42"),_xlfn._xlws.FILTER(INDIRECT(F55&amp;".scenario"),INDIRECT(F55)=$C55),0))),"-/-"),
IFERROR(_xlfn._xlws.FILTER(INDIRECT("'"&amp;model_name&amp;" case settings'!$C$19:$C$42"),ISNUMBER(MATCH(INDIRECT("'"&amp;model_name&amp;" case settings'!$C$19:$C$42"),_xlfn._xlws.FILTER(INDIRECT(G55&amp;".scenario"),INDIRECT(G55)=$C55),0))),"-/-"),
IFERROR(_xlfn._xlws.FILTER(INDIRECT("'"&amp;model_name&amp;" case settings'!$C$19:$C$42"),ISNUMBER(MATCH(INDIRECT("'"&amp;model_name&amp;" case settings'!$C$19:$C$42"),_xlfn._xlws.FILTER(INDIRECT(H55&amp;".scenario"),INDIRECT(H55)=$C55),0))),"-/-"),
IFERROR(_xlfn._xlws.FILTER(INDIRECT("'"&amp;model_name&amp;" case settings'!$C$19:$C$42"),ISNUMBER(MATCH(INDIRECT("'"&amp;model_name&amp;" case settings'!$C$19:$C$42"),_xlfn._xlws.FILTER(INDIRECT(I55&amp;".scenario"),INDIRECT(I55)=$C55),0))),"-/-"),
IFERROR(_xlfn._xlws.FILTER(INDIRECT("'"&amp;model_name&amp;" case settings'!$C$19:$C$42"),ISNUMBER(MATCH(INDIRECT("'"&amp;model_name&amp;" case settings'!$C$19:$C$42"),_xlfn._xlws.FILTER(INDIRECT(J55&amp;".scenario"),INDIRECT(J55)=$C55),0))),"-/-")),
_xlfn._xlws.FILTER(_xlpm.all_scenario_tags,_xlpm.all_scenario_tags&lt;&gt;"-/-","-/-")
))</f>
        <v>-/-</v>
      </c>
      <c r="N55" s="12"/>
      <c r="O55" s="12"/>
      <c r="P55" s="12"/>
      <c r="Q55" s="12"/>
    </row>
    <row r="56" spans="2:17">
      <c r="B56" s="38"/>
      <c r="C56" s="3"/>
      <c r="E56" s="91" t="str" cm="1">
        <f t="array" ref="E56:G56">TRANSPOSE("'"&amp;_xlfn._xlws.FILTER(Lists!$CA$9:$CA$50,B56=Lists!$CC$9:$CC$50)&amp;"'!"&amp;B56)</f>
        <v>''!</v>
      </c>
      <c r="F56" s="91" t="str">
        <v>''!</v>
      </c>
      <c r="G56" s="91" t="str">
        <v>''!</v>
      </c>
      <c r="H56" s="91"/>
      <c r="I56" s="91"/>
      <c r="J56" s="91"/>
      <c r="L56" s="34">
        <f t="shared" ca="1" si="0"/>
        <v>0</v>
      </c>
      <c r="M56" s="12" t="str" cm="1">
        <f t="array" aca="1" ref="M56" ca="1">TRANSPOSE(_xlfn.LET(
_xlpm.all_scenario_tags,
_xlfn.VSTACK(
IFERROR(_xlfn._xlws.FILTER(INDIRECT("'"&amp;model_name&amp;" case settings'!$C$19:$C$42"),ISNUMBER(MATCH(INDIRECT("'"&amp;model_name&amp;" case settings'!$C$19:$C$42"),_xlfn._xlws.FILTER(INDIRECT(E56&amp;".scenario"),INDIRECT(E56)=$C56),0))),"-/-"),
IFERROR(_xlfn._xlws.FILTER(INDIRECT("'"&amp;model_name&amp;" case settings'!$C$19:$C$42"),ISNUMBER(MATCH(INDIRECT("'"&amp;model_name&amp;" case settings'!$C$19:$C$42"),_xlfn._xlws.FILTER(INDIRECT(F56&amp;".scenario"),INDIRECT(F56)=$C56),0))),"-/-"),
IFERROR(_xlfn._xlws.FILTER(INDIRECT("'"&amp;model_name&amp;" case settings'!$C$19:$C$42"),ISNUMBER(MATCH(INDIRECT("'"&amp;model_name&amp;" case settings'!$C$19:$C$42"),_xlfn._xlws.FILTER(INDIRECT(G56&amp;".scenario"),INDIRECT(G56)=$C56),0))),"-/-"),
IFERROR(_xlfn._xlws.FILTER(INDIRECT("'"&amp;model_name&amp;" case settings'!$C$19:$C$42"),ISNUMBER(MATCH(INDIRECT("'"&amp;model_name&amp;" case settings'!$C$19:$C$42"),_xlfn._xlws.FILTER(INDIRECT(H56&amp;".scenario"),INDIRECT(H56)=$C56),0))),"-/-"),
IFERROR(_xlfn._xlws.FILTER(INDIRECT("'"&amp;model_name&amp;" case settings'!$C$19:$C$42"),ISNUMBER(MATCH(INDIRECT("'"&amp;model_name&amp;" case settings'!$C$19:$C$42"),_xlfn._xlws.FILTER(INDIRECT(I56&amp;".scenario"),INDIRECT(I56)=$C56),0))),"-/-"),
IFERROR(_xlfn._xlws.FILTER(INDIRECT("'"&amp;model_name&amp;" case settings'!$C$19:$C$42"),ISNUMBER(MATCH(INDIRECT("'"&amp;model_name&amp;" case settings'!$C$19:$C$42"),_xlfn._xlws.FILTER(INDIRECT(J56&amp;".scenario"),INDIRECT(J56)=$C56),0))),"-/-")),
_xlfn._xlws.FILTER(_xlpm.all_scenario_tags,_xlpm.all_scenario_tags&lt;&gt;"-/-","-/-")
))</f>
        <v>-/-</v>
      </c>
      <c r="N56" s="12"/>
      <c r="O56" s="12"/>
      <c r="P56" s="12"/>
      <c r="Q56" s="12"/>
    </row>
    <row r="57" spans="2:17">
      <c r="B57" s="38"/>
      <c r="C57" s="3"/>
      <c r="E57" s="91" t="str" cm="1">
        <f t="array" ref="E57:G57">TRANSPOSE("'"&amp;_xlfn._xlws.FILTER(Lists!$CA$9:$CA$50,B57=Lists!$CC$9:$CC$50)&amp;"'!"&amp;B57)</f>
        <v>''!</v>
      </c>
      <c r="F57" s="91" t="str">
        <v>''!</v>
      </c>
      <c r="G57" s="91" t="str">
        <v>''!</v>
      </c>
      <c r="H57" s="91"/>
      <c r="I57" s="91"/>
      <c r="J57" s="91"/>
      <c r="L57" s="34">
        <f t="shared" ca="1" si="0"/>
        <v>0</v>
      </c>
      <c r="M57" s="12" t="str" cm="1">
        <f t="array" aca="1" ref="M57" ca="1">TRANSPOSE(_xlfn.LET(
_xlpm.all_scenario_tags,
_xlfn.VSTACK(
IFERROR(_xlfn._xlws.FILTER(INDIRECT("'"&amp;model_name&amp;" case settings'!$C$19:$C$42"),ISNUMBER(MATCH(INDIRECT("'"&amp;model_name&amp;" case settings'!$C$19:$C$42"),_xlfn._xlws.FILTER(INDIRECT(E57&amp;".scenario"),INDIRECT(E57)=$C57),0))),"-/-"),
IFERROR(_xlfn._xlws.FILTER(INDIRECT("'"&amp;model_name&amp;" case settings'!$C$19:$C$42"),ISNUMBER(MATCH(INDIRECT("'"&amp;model_name&amp;" case settings'!$C$19:$C$42"),_xlfn._xlws.FILTER(INDIRECT(F57&amp;".scenario"),INDIRECT(F57)=$C57),0))),"-/-"),
IFERROR(_xlfn._xlws.FILTER(INDIRECT("'"&amp;model_name&amp;" case settings'!$C$19:$C$42"),ISNUMBER(MATCH(INDIRECT("'"&amp;model_name&amp;" case settings'!$C$19:$C$42"),_xlfn._xlws.FILTER(INDIRECT(G57&amp;".scenario"),INDIRECT(G57)=$C57),0))),"-/-"),
IFERROR(_xlfn._xlws.FILTER(INDIRECT("'"&amp;model_name&amp;" case settings'!$C$19:$C$42"),ISNUMBER(MATCH(INDIRECT("'"&amp;model_name&amp;" case settings'!$C$19:$C$42"),_xlfn._xlws.FILTER(INDIRECT(H57&amp;".scenario"),INDIRECT(H57)=$C57),0))),"-/-"),
IFERROR(_xlfn._xlws.FILTER(INDIRECT("'"&amp;model_name&amp;" case settings'!$C$19:$C$42"),ISNUMBER(MATCH(INDIRECT("'"&amp;model_name&amp;" case settings'!$C$19:$C$42"),_xlfn._xlws.FILTER(INDIRECT(I57&amp;".scenario"),INDIRECT(I57)=$C57),0))),"-/-"),
IFERROR(_xlfn._xlws.FILTER(INDIRECT("'"&amp;model_name&amp;" case settings'!$C$19:$C$42"),ISNUMBER(MATCH(INDIRECT("'"&amp;model_name&amp;" case settings'!$C$19:$C$42"),_xlfn._xlws.FILTER(INDIRECT(J57&amp;".scenario"),INDIRECT(J57)=$C57),0))),"-/-")),
_xlfn._xlws.FILTER(_xlpm.all_scenario_tags,_xlpm.all_scenario_tags&lt;&gt;"-/-","-/-")
))</f>
        <v>-/-</v>
      </c>
      <c r="N57" s="12"/>
      <c r="O57" s="12"/>
      <c r="P57" s="12"/>
      <c r="Q57" s="12"/>
    </row>
    <row r="58" spans="2:17">
      <c r="B58" s="38"/>
      <c r="C58" s="3"/>
      <c r="E58" s="91" t="str" cm="1">
        <f t="array" ref="E58:G58">TRANSPOSE("'"&amp;_xlfn._xlws.FILTER(Lists!$CA$9:$CA$50,B58=Lists!$CC$9:$CC$50)&amp;"'!"&amp;B58)</f>
        <v>''!</v>
      </c>
      <c r="F58" s="91" t="str">
        <v>''!</v>
      </c>
      <c r="G58" s="91" t="str">
        <v>''!</v>
      </c>
      <c r="H58" s="91"/>
      <c r="I58" s="91"/>
      <c r="J58" s="91"/>
      <c r="L58" s="34">
        <f t="shared" ca="1" si="0"/>
        <v>0</v>
      </c>
      <c r="M58" s="12" t="str" cm="1">
        <f t="array" aca="1" ref="M58" ca="1">TRANSPOSE(_xlfn.LET(
_xlpm.all_scenario_tags,
_xlfn.VSTACK(
IFERROR(_xlfn._xlws.FILTER(INDIRECT("'"&amp;model_name&amp;" case settings'!$C$19:$C$42"),ISNUMBER(MATCH(INDIRECT("'"&amp;model_name&amp;" case settings'!$C$19:$C$42"),_xlfn._xlws.FILTER(INDIRECT(E58&amp;".scenario"),INDIRECT(E58)=$C58),0))),"-/-"),
IFERROR(_xlfn._xlws.FILTER(INDIRECT("'"&amp;model_name&amp;" case settings'!$C$19:$C$42"),ISNUMBER(MATCH(INDIRECT("'"&amp;model_name&amp;" case settings'!$C$19:$C$42"),_xlfn._xlws.FILTER(INDIRECT(F58&amp;".scenario"),INDIRECT(F58)=$C58),0))),"-/-"),
IFERROR(_xlfn._xlws.FILTER(INDIRECT("'"&amp;model_name&amp;" case settings'!$C$19:$C$42"),ISNUMBER(MATCH(INDIRECT("'"&amp;model_name&amp;" case settings'!$C$19:$C$42"),_xlfn._xlws.FILTER(INDIRECT(G58&amp;".scenario"),INDIRECT(G58)=$C58),0))),"-/-"),
IFERROR(_xlfn._xlws.FILTER(INDIRECT("'"&amp;model_name&amp;" case settings'!$C$19:$C$42"),ISNUMBER(MATCH(INDIRECT("'"&amp;model_name&amp;" case settings'!$C$19:$C$42"),_xlfn._xlws.FILTER(INDIRECT(H58&amp;".scenario"),INDIRECT(H58)=$C58),0))),"-/-"),
IFERROR(_xlfn._xlws.FILTER(INDIRECT("'"&amp;model_name&amp;" case settings'!$C$19:$C$42"),ISNUMBER(MATCH(INDIRECT("'"&amp;model_name&amp;" case settings'!$C$19:$C$42"),_xlfn._xlws.FILTER(INDIRECT(I58&amp;".scenario"),INDIRECT(I58)=$C58),0))),"-/-"),
IFERROR(_xlfn._xlws.FILTER(INDIRECT("'"&amp;model_name&amp;" case settings'!$C$19:$C$42"),ISNUMBER(MATCH(INDIRECT("'"&amp;model_name&amp;" case settings'!$C$19:$C$42"),_xlfn._xlws.FILTER(INDIRECT(J58&amp;".scenario"),INDIRECT(J58)=$C58),0))),"-/-")),
_xlfn._xlws.FILTER(_xlpm.all_scenario_tags,_xlpm.all_scenario_tags&lt;&gt;"-/-","-/-")
))</f>
        <v>-/-</v>
      </c>
      <c r="N58" s="12"/>
      <c r="O58" s="12"/>
      <c r="P58" s="12"/>
      <c r="Q58" s="12"/>
    </row>
    <row r="59" spans="2:17">
      <c r="B59" s="38"/>
      <c r="C59" s="3"/>
      <c r="E59" s="91" t="str" cm="1">
        <f t="array" ref="E59:G59">TRANSPOSE("'"&amp;_xlfn._xlws.FILTER(Lists!$CA$9:$CA$50,B59=Lists!$CC$9:$CC$50)&amp;"'!"&amp;B59)</f>
        <v>''!</v>
      </c>
      <c r="F59" s="91" t="str">
        <v>''!</v>
      </c>
      <c r="G59" s="91" t="str">
        <v>''!</v>
      </c>
      <c r="H59" s="91"/>
      <c r="I59" s="91"/>
      <c r="J59" s="91"/>
      <c r="L59" s="34">
        <f t="shared" ca="1" si="0"/>
        <v>0</v>
      </c>
      <c r="M59" s="12" t="str" cm="1">
        <f t="array" aca="1" ref="M59" ca="1">TRANSPOSE(_xlfn.LET(
_xlpm.all_scenario_tags,
_xlfn.VSTACK(
IFERROR(_xlfn._xlws.FILTER(INDIRECT("'"&amp;model_name&amp;" case settings'!$C$19:$C$42"),ISNUMBER(MATCH(INDIRECT("'"&amp;model_name&amp;" case settings'!$C$19:$C$42"),_xlfn._xlws.FILTER(INDIRECT(E59&amp;".scenario"),INDIRECT(E59)=$C59),0))),"-/-"),
IFERROR(_xlfn._xlws.FILTER(INDIRECT("'"&amp;model_name&amp;" case settings'!$C$19:$C$42"),ISNUMBER(MATCH(INDIRECT("'"&amp;model_name&amp;" case settings'!$C$19:$C$42"),_xlfn._xlws.FILTER(INDIRECT(F59&amp;".scenario"),INDIRECT(F59)=$C59),0))),"-/-"),
IFERROR(_xlfn._xlws.FILTER(INDIRECT("'"&amp;model_name&amp;" case settings'!$C$19:$C$42"),ISNUMBER(MATCH(INDIRECT("'"&amp;model_name&amp;" case settings'!$C$19:$C$42"),_xlfn._xlws.FILTER(INDIRECT(G59&amp;".scenario"),INDIRECT(G59)=$C59),0))),"-/-"),
IFERROR(_xlfn._xlws.FILTER(INDIRECT("'"&amp;model_name&amp;" case settings'!$C$19:$C$42"),ISNUMBER(MATCH(INDIRECT("'"&amp;model_name&amp;" case settings'!$C$19:$C$42"),_xlfn._xlws.FILTER(INDIRECT(H59&amp;".scenario"),INDIRECT(H59)=$C59),0))),"-/-"),
IFERROR(_xlfn._xlws.FILTER(INDIRECT("'"&amp;model_name&amp;" case settings'!$C$19:$C$42"),ISNUMBER(MATCH(INDIRECT("'"&amp;model_name&amp;" case settings'!$C$19:$C$42"),_xlfn._xlws.FILTER(INDIRECT(I59&amp;".scenario"),INDIRECT(I59)=$C59),0))),"-/-"),
IFERROR(_xlfn._xlws.FILTER(INDIRECT("'"&amp;model_name&amp;" case settings'!$C$19:$C$42"),ISNUMBER(MATCH(INDIRECT("'"&amp;model_name&amp;" case settings'!$C$19:$C$42"),_xlfn._xlws.FILTER(INDIRECT(J59&amp;".scenario"),INDIRECT(J59)=$C59),0))),"-/-")),
_xlfn._xlws.FILTER(_xlpm.all_scenario_tags,_xlpm.all_scenario_tags&lt;&gt;"-/-","-/-")
))</f>
        <v>-/-</v>
      </c>
      <c r="N59" s="12"/>
      <c r="O59" s="12"/>
      <c r="P59" s="12"/>
      <c r="Q59" s="12"/>
    </row>
    <row r="60" spans="2:17">
      <c r="B60" s="38"/>
      <c r="C60" s="3"/>
      <c r="E60" s="91" t="str" cm="1">
        <f t="array" ref="E60:G60">TRANSPOSE("'"&amp;_xlfn._xlws.FILTER(Lists!$CA$9:$CA$50,B60=Lists!$CC$9:$CC$50)&amp;"'!"&amp;B60)</f>
        <v>''!</v>
      </c>
      <c r="F60" s="91" t="str">
        <v>''!</v>
      </c>
      <c r="G60" s="91" t="str">
        <v>''!</v>
      </c>
      <c r="H60" s="91"/>
      <c r="I60" s="91"/>
      <c r="J60" s="91"/>
      <c r="L60" s="34">
        <f t="shared" ca="1" si="0"/>
        <v>0</v>
      </c>
      <c r="M60" s="12" t="str" cm="1">
        <f t="array" aca="1" ref="M60" ca="1">TRANSPOSE(_xlfn.LET(
_xlpm.all_scenario_tags,
_xlfn.VSTACK(
IFERROR(_xlfn._xlws.FILTER(INDIRECT("'"&amp;model_name&amp;" case settings'!$C$19:$C$42"),ISNUMBER(MATCH(INDIRECT("'"&amp;model_name&amp;" case settings'!$C$19:$C$42"),_xlfn._xlws.FILTER(INDIRECT(E60&amp;".scenario"),INDIRECT(E60)=$C60),0))),"-/-"),
IFERROR(_xlfn._xlws.FILTER(INDIRECT("'"&amp;model_name&amp;" case settings'!$C$19:$C$42"),ISNUMBER(MATCH(INDIRECT("'"&amp;model_name&amp;" case settings'!$C$19:$C$42"),_xlfn._xlws.FILTER(INDIRECT(F60&amp;".scenario"),INDIRECT(F60)=$C60),0))),"-/-"),
IFERROR(_xlfn._xlws.FILTER(INDIRECT("'"&amp;model_name&amp;" case settings'!$C$19:$C$42"),ISNUMBER(MATCH(INDIRECT("'"&amp;model_name&amp;" case settings'!$C$19:$C$42"),_xlfn._xlws.FILTER(INDIRECT(G60&amp;".scenario"),INDIRECT(G60)=$C60),0))),"-/-"),
IFERROR(_xlfn._xlws.FILTER(INDIRECT("'"&amp;model_name&amp;" case settings'!$C$19:$C$42"),ISNUMBER(MATCH(INDIRECT("'"&amp;model_name&amp;" case settings'!$C$19:$C$42"),_xlfn._xlws.FILTER(INDIRECT(H60&amp;".scenario"),INDIRECT(H60)=$C60),0))),"-/-"),
IFERROR(_xlfn._xlws.FILTER(INDIRECT("'"&amp;model_name&amp;" case settings'!$C$19:$C$42"),ISNUMBER(MATCH(INDIRECT("'"&amp;model_name&amp;" case settings'!$C$19:$C$42"),_xlfn._xlws.FILTER(INDIRECT(I60&amp;".scenario"),INDIRECT(I60)=$C60),0))),"-/-"),
IFERROR(_xlfn._xlws.FILTER(INDIRECT("'"&amp;model_name&amp;" case settings'!$C$19:$C$42"),ISNUMBER(MATCH(INDIRECT("'"&amp;model_name&amp;" case settings'!$C$19:$C$42"),_xlfn._xlws.FILTER(INDIRECT(J60&amp;".scenario"),INDIRECT(J60)=$C60),0))),"-/-")),
_xlfn._xlws.FILTER(_xlpm.all_scenario_tags,_xlpm.all_scenario_tags&lt;&gt;"-/-","-/-")
))</f>
        <v>-/-</v>
      </c>
      <c r="N60" s="12"/>
      <c r="O60" s="12"/>
      <c r="P60" s="12"/>
      <c r="Q60" s="12"/>
    </row>
    <row r="61" spans="2:17">
      <c r="B61" s="38"/>
      <c r="C61" s="3"/>
      <c r="E61" s="91" t="str" cm="1">
        <f t="array" ref="E61:G61">TRANSPOSE("'"&amp;_xlfn._xlws.FILTER(Lists!$CA$9:$CA$50,B61=Lists!$CC$9:$CC$50)&amp;"'!"&amp;B61)</f>
        <v>''!</v>
      </c>
      <c r="F61" s="91" t="str">
        <v>''!</v>
      </c>
      <c r="G61" s="91" t="str">
        <v>''!</v>
      </c>
      <c r="H61" s="91"/>
      <c r="I61" s="91"/>
      <c r="J61" s="91"/>
      <c r="L61" s="34">
        <f t="shared" ca="1" si="0"/>
        <v>0</v>
      </c>
      <c r="M61" s="12" t="str" cm="1">
        <f t="array" aca="1" ref="M61" ca="1">TRANSPOSE(_xlfn.LET(
_xlpm.all_scenario_tags,
_xlfn.VSTACK(
IFERROR(_xlfn._xlws.FILTER(INDIRECT("'"&amp;model_name&amp;" case settings'!$C$19:$C$42"),ISNUMBER(MATCH(INDIRECT("'"&amp;model_name&amp;" case settings'!$C$19:$C$42"),_xlfn._xlws.FILTER(INDIRECT(E61&amp;".scenario"),INDIRECT(E61)=$C61),0))),"-/-"),
IFERROR(_xlfn._xlws.FILTER(INDIRECT("'"&amp;model_name&amp;" case settings'!$C$19:$C$42"),ISNUMBER(MATCH(INDIRECT("'"&amp;model_name&amp;" case settings'!$C$19:$C$42"),_xlfn._xlws.FILTER(INDIRECT(F61&amp;".scenario"),INDIRECT(F61)=$C61),0))),"-/-"),
IFERROR(_xlfn._xlws.FILTER(INDIRECT("'"&amp;model_name&amp;" case settings'!$C$19:$C$42"),ISNUMBER(MATCH(INDIRECT("'"&amp;model_name&amp;" case settings'!$C$19:$C$42"),_xlfn._xlws.FILTER(INDIRECT(G61&amp;".scenario"),INDIRECT(G61)=$C61),0))),"-/-"),
IFERROR(_xlfn._xlws.FILTER(INDIRECT("'"&amp;model_name&amp;" case settings'!$C$19:$C$42"),ISNUMBER(MATCH(INDIRECT("'"&amp;model_name&amp;" case settings'!$C$19:$C$42"),_xlfn._xlws.FILTER(INDIRECT(H61&amp;".scenario"),INDIRECT(H61)=$C61),0))),"-/-"),
IFERROR(_xlfn._xlws.FILTER(INDIRECT("'"&amp;model_name&amp;" case settings'!$C$19:$C$42"),ISNUMBER(MATCH(INDIRECT("'"&amp;model_name&amp;" case settings'!$C$19:$C$42"),_xlfn._xlws.FILTER(INDIRECT(I61&amp;".scenario"),INDIRECT(I61)=$C61),0))),"-/-"),
IFERROR(_xlfn._xlws.FILTER(INDIRECT("'"&amp;model_name&amp;" case settings'!$C$19:$C$42"),ISNUMBER(MATCH(INDIRECT("'"&amp;model_name&amp;" case settings'!$C$19:$C$42"),_xlfn._xlws.FILTER(INDIRECT(J61&amp;".scenario"),INDIRECT(J61)=$C61),0))),"-/-")),
_xlfn._xlws.FILTER(_xlpm.all_scenario_tags,_xlpm.all_scenario_tags&lt;&gt;"-/-","-/-")
))</f>
        <v>-/-</v>
      </c>
      <c r="N61" s="12"/>
      <c r="O61" s="12"/>
      <c r="P61" s="12"/>
      <c r="Q61" s="12"/>
    </row>
    <row r="62" spans="2:17">
      <c r="B62" s="38"/>
      <c r="C62" s="3"/>
      <c r="E62" s="91" t="str" cm="1">
        <f t="array" ref="E62:G62">TRANSPOSE("'"&amp;_xlfn._xlws.FILTER(Lists!$CA$9:$CA$50,B62=Lists!$CC$9:$CC$50)&amp;"'!"&amp;B62)</f>
        <v>''!</v>
      </c>
      <c r="F62" s="91" t="str">
        <v>''!</v>
      </c>
      <c r="G62" s="91" t="str">
        <v>''!</v>
      </c>
      <c r="H62" s="91"/>
      <c r="I62" s="91"/>
      <c r="J62" s="91"/>
      <c r="L62" s="34">
        <f t="shared" ca="1" si="0"/>
        <v>0</v>
      </c>
      <c r="M62" s="12" t="str" cm="1">
        <f t="array" aca="1" ref="M62" ca="1">TRANSPOSE(_xlfn.LET(
_xlpm.all_scenario_tags,
_xlfn.VSTACK(
IFERROR(_xlfn._xlws.FILTER(INDIRECT("'"&amp;model_name&amp;" case settings'!$C$19:$C$42"),ISNUMBER(MATCH(INDIRECT("'"&amp;model_name&amp;" case settings'!$C$19:$C$42"),_xlfn._xlws.FILTER(INDIRECT(E62&amp;".scenario"),INDIRECT(E62)=$C62),0))),"-/-"),
IFERROR(_xlfn._xlws.FILTER(INDIRECT("'"&amp;model_name&amp;" case settings'!$C$19:$C$42"),ISNUMBER(MATCH(INDIRECT("'"&amp;model_name&amp;" case settings'!$C$19:$C$42"),_xlfn._xlws.FILTER(INDIRECT(F62&amp;".scenario"),INDIRECT(F62)=$C62),0))),"-/-"),
IFERROR(_xlfn._xlws.FILTER(INDIRECT("'"&amp;model_name&amp;" case settings'!$C$19:$C$42"),ISNUMBER(MATCH(INDIRECT("'"&amp;model_name&amp;" case settings'!$C$19:$C$42"),_xlfn._xlws.FILTER(INDIRECT(G62&amp;".scenario"),INDIRECT(G62)=$C62),0))),"-/-"),
IFERROR(_xlfn._xlws.FILTER(INDIRECT("'"&amp;model_name&amp;" case settings'!$C$19:$C$42"),ISNUMBER(MATCH(INDIRECT("'"&amp;model_name&amp;" case settings'!$C$19:$C$42"),_xlfn._xlws.FILTER(INDIRECT(H62&amp;".scenario"),INDIRECT(H62)=$C62),0))),"-/-"),
IFERROR(_xlfn._xlws.FILTER(INDIRECT("'"&amp;model_name&amp;" case settings'!$C$19:$C$42"),ISNUMBER(MATCH(INDIRECT("'"&amp;model_name&amp;" case settings'!$C$19:$C$42"),_xlfn._xlws.FILTER(INDIRECT(I62&amp;".scenario"),INDIRECT(I62)=$C62),0))),"-/-"),
IFERROR(_xlfn._xlws.FILTER(INDIRECT("'"&amp;model_name&amp;" case settings'!$C$19:$C$42"),ISNUMBER(MATCH(INDIRECT("'"&amp;model_name&amp;" case settings'!$C$19:$C$42"),_xlfn._xlws.FILTER(INDIRECT(J62&amp;".scenario"),INDIRECT(J62)=$C62),0))),"-/-")),
_xlfn._xlws.FILTER(_xlpm.all_scenario_tags,_xlpm.all_scenario_tags&lt;&gt;"-/-","-/-")
))</f>
        <v>-/-</v>
      </c>
      <c r="N62" s="12"/>
      <c r="O62" s="12"/>
      <c r="P62" s="12"/>
      <c r="Q62" s="12"/>
    </row>
    <row r="63" spans="2:17">
      <c r="B63" s="38"/>
      <c r="C63" s="3"/>
      <c r="E63" s="91" t="str" cm="1">
        <f t="array" ref="E63:G63">TRANSPOSE("'"&amp;_xlfn._xlws.FILTER(Lists!$CA$9:$CA$50,B63=Lists!$CC$9:$CC$50)&amp;"'!"&amp;B63)</f>
        <v>''!</v>
      </c>
      <c r="F63" s="91" t="str">
        <v>''!</v>
      </c>
      <c r="G63" s="91" t="str">
        <v>''!</v>
      </c>
      <c r="H63" s="91"/>
      <c r="I63" s="91"/>
      <c r="J63" s="91"/>
      <c r="L63" s="34">
        <f t="shared" ca="1" si="0"/>
        <v>0</v>
      </c>
      <c r="M63" s="12" t="str" cm="1">
        <f t="array" aca="1" ref="M63" ca="1">TRANSPOSE(_xlfn.LET(
_xlpm.all_scenario_tags,
_xlfn.VSTACK(
IFERROR(_xlfn._xlws.FILTER(INDIRECT("'"&amp;model_name&amp;" case settings'!$C$19:$C$42"),ISNUMBER(MATCH(INDIRECT("'"&amp;model_name&amp;" case settings'!$C$19:$C$42"),_xlfn._xlws.FILTER(INDIRECT(E63&amp;".scenario"),INDIRECT(E63)=$C63),0))),"-/-"),
IFERROR(_xlfn._xlws.FILTER(INDIRECT("'"&amp;model_name&amp;" case settings'!$C$19:$C$42"),ISNUMBER(MATCH(INDIRECT("'"&amp;model_name&amp;" case settings'!$C$19:$C$42"),_xlfn._xlws.FILTER(INDIRECT(F63&amp;".scenario"),INDIRECT(F63)=$C63),0))),"-/-"),
IFERROR(_xlfn._xlws.FILTER(INDIRECT("'"&amp;model_name&amp;" case settings'!$C$19:$C$42"),ISNUMBER(MATCH(INDIRECT("'"&amp;model_name&amp;" case settings'!$C$19:$C$42"),_xlfn._xlws.FILTER(INDIRECT(G63&amp;".scenario"),INDIRECT(G63)=$C63),0))),"-/-"),
IFERROR(_xlfn._xlws.FILTER(INDIRECT("'"&amp;model_name&amp;" case settings'!$C$19:$C$42"),ISNUMBER(MATCH(INDIRECT("'"&amp;model_name&amp;" case settings'!$C$19:$C$42"),_xlfn._xlws.FILTER(INDIRECT(H63&amp;".scenario"),INDIRECT(H63)=$C63),0))),"-/-"),
IFERROR(_xlfn._xlws.FILTER(INDIRECT("'"&amp;model_name&amp;" case settings'!$C$19:$C$42"),ISNUMBER(MATCH(INDIRECT("'"&amp;model_name&amp;" case settings'!$C$19:$C$42"),_xlfn._xlws.FILTER(INDIRECT(I63&amp;".scenario"),INDIRECT(I63)=$C63),0))),"-/-"),
IFERROR(_xlfn._xlws.FILTER(INDIRECT("'"&amp;model_name&amp;" case settings'!$C$19:$C$42"),ISNUMBER(MATCH(INDIRECT("'"&amp;model_name&amp;" case settings'!$C$19:$C$42"),_xlfn._xlws.FILTER(INDIRECT(J63&amp;".scenario"),INDIRECT(J63)=$C63),0))),"-/-")),
_xlfn._xlws.FILTER(_xlpm.all_scenario_tags,_xlpm.all_scenario_tags&lt;&gt;"-/-","-/-")
))</f>
        <v>-/-</v>
      </c>
      <c r="N63" s="12"/>
      <c r="O63" s="12"/>
      <c r="P63" s="12"/>
      <c r="Q63" s="12"/>
    </row>
    <row r="64" spans="2:17">
      <c r="B64" s="38"/>
      <c r="C64" s="3"/>
      <c r="E64" s="91" t="str" cm="1">
        <f t="array" ref="E64:G64">TRANSPOSE("'"&amp;_xlfn._xlws.FILTER(Lists!$CA$9:$CA$50,B64=Lists!$CC$9:$CC$50)&amp;"'!"&amp;B64)</f>
        <v>''!</v>
      </c>
      <c r="F64" s="91" t="str">
        <v>''!</v>
      </c>
      <c r="G64" s="91" t="str">
        <v>''!</v>
      </c>
      <c r="H64" s="91"/>
      <c r="I64" s="91"/>
      <c r="J64" s="91"/>
      <c r="L64" s="34">
        <f t="shared" ca="1" si="0"/>
        <v>0</v>
      </c>
      <c r="M64" s="12" t="str" cm="1">
        <f t="array" aca="1" ref="M64" ca="1">TRANSPOSE(_xlfn.LET(
_xlpm.all_scenario_tags,
_xlfn.VSTACK(
IFERROR(_xlfn._xlws.FILTER(INDIRECT("'"&amp;model_name&amp;" case settings'!$C$19:$C$42"),ISNUMBER(MATCH(INDIRECT("'"&amp;model_name&amp;" case settings'!$C$19:$C$42"),_xlfn._xlws.FILTER(INDIRECT(E64&amp;".scenario"),INDIRECT(E64)=$C64),0))),"-/-"),
IFERROR(_xlfn._xlws.FILTER(INDIRECT("'"&amp;model_name&amp;" case settings'!$C$19:$C$42"),ISNUMBER(MATCH(INDIRECT("'"&amp;model_name&amp;" case settings'!$C$19:$C$42"),_xlfn._xlws.FILTER(INDIRECT(F64&amp;".scenario"),INDIRECT(F64)=$C64),0))),"-/-"),
IFERROR(_xlfn._xlws.FILTER(INDIRECT("'"&amp;model_name&amp;" case settings'!$C$19:$C$42"),ISNUMBER(MATCH(INDIRECT("'"&amp;model_name&amp;" case settings'!$C$19:$C$42"),_xlfn._xlws.FILTER(INDIRECT(G64&amp;".scenario"),INDIRECT(G64)=$C64),0))),"-/-"),
IFERROR(_xlfn._xlws.FILTER(INDIRECT("'"&amp;model_name&amp;" case settings'!$C$19:$C$42"),ISNUMBER(MATCH(INDIRECT("'"&amp;model_name&amp;" case settings'!$C$19:$C$42"),_xlfn._xlws.FILTER(INDIRECT(H64&amp;".scenario"),INDIRECT(H64)=$C64),0))),"-/-"),
IFERROR(_xlfn._xlws.FILTER(INDIRECT("'"&amp;model_name&amp;" case settings'!$C$19:$C$42"),ISNUMBER(MATCH(INDIRECT("'"&amp;model_name&amp;" case settings'!$C$19:$C$42"),_xlfn._xlws.FILTER(INDIRECT(I64&amp;".scenario"),INDIRECT(I64)=$C64),0))),"-/-"),
IFERROR(_xlfn._xlws.FILTER(INDIRECT("'"&amp;model_name&amp;" case settings'!$C$19:$C$42"),ISNUMBER(MATCH(INDIRECT("'"&amp;model_name&amp;" case settings'!$C$19:$C$42"),_xlfn._xlws.FILTER(INDIRECT(J64&amp;".scenario"),INDIRECT(J64)=$C64),0))),"-/-")),
_xlfn._xlws.FILTER(_xlpm.all_scenario_tags,_xlpm.all_scenario_tags&lt;&gt;"-/-","-/-")
))</f>
        <v>-/-</v>
      </c>
      <c r="N64" s="12"/>
      <c r="O64" s="12"/>
      <c r="P64" s="12"/>
      <c r="Q64" s="12"/>
    </row>
    <row r="65" spans="2:17">
      <c r="B65" s="38"/>
      <c r="C65" s="3"/>
      <c r="E65" s="91" t="str" cm="1">
        <f t="array" ref="E65:G65">TRANSPOSE("'"&amp;_xlfn._xlws.FILTER(Lists!$CA$9:$CA$50,B65=Lists!$CC$9:$CC$50)&amp;"'!"&amp;B65)</f>
        <v>''!</v>
      </c>
      <c r="F65" s="91" t="str">
        <v>''!</v>
      </c>
      <c r="G65" s="91" t="str">
        <v>''!</v>
      </c>
      <c r="H65" s="91"/>
      <c r="I65" s="91"/>
      <c r="J65" s="91"/>
      <c r="L65" s="34">
        <f t="shared" ca="1" si="0"/>
        <v>0</v>
      </c>
      <c r="M65" s="12" t="str" cm="1">
        <f t="array" aca="1" ref="M65" ca="1">TRANSPOSE(_xlfn.LET(
_xlpm.all_scenario_tags,
_xlfn.VSTACK(
IFERROR(_xlfn._xlws.FILTER(INDIRECT("'"&amp;model_name&amp;" case settings'!$C$19:$C$42"),ISNUMBER(MATCH(INDIRECT("'"&amp;model_name&amp;" case settings'!$C$19:$C$42"),_xlfn._xlws.FILTER(INDIRECT(E65&amp;".scenario"),INDIRECT(E65)=$C65),0))),"-/-"),
IFERROR(_xlfn._xlws.FILTER(INDIRECT("'"&amp;model_name&amp;" case settings'!$C$19:$C$42"),ISNUMBER(MATCH(INDIRECT("'"&amp;model_name&amp;" case settings'!$C$19:$C$42"),_xlfn._xlws.FILTER(INDIRECT(F65&amp;".scenario"),INDIRECT(F65)=$C65),0))),"-/-"),
IFERROR(_xlfn._xlws.FILTER(INDIRECT("'"&amp;model_name&amp;" case settings'!$C$19:$C$42"),ISNUMBER(MATCH(INDIRECT("'"&amp;model_name&amp;" case settings'!$C$19:$C$42"),_xlfn._xlws.FILTER(INDIRECT(G65&amp;".scenario"),INDIRECT(G65)=$C65),0))),"-/-"),
IFERROR(_xlfn._xlws.FILTER(INDIRECT("'"&amp;model_name&amp;" case settings'!$C$19:$C$42"),ISNUMBER(MATCH(INDIRECT("'"&amp;model_name&amp;" case settings'!$C$19:$C$42"),_xlfn._xlws.FILTER(INDIRECT(H65&amp;".scenario"),INDIRECT(H65)=$C65),0))),"-/-"),
IFERROR(_xlfn._xlws.FILTER(INDIRECT("'"&amp;model_name&amp;" case settings'!$C$19:$C$42"),ISNUMBER(MATCH(INDIRECT("'"&amp;model_name&amp;" case settings'!$C$19:$C$42"),_xlfn._xlws.FILTER(INDIRECT(I65&amp;".scenario"),INDIRECT(I65)=$C65),0))),"-/-"),
IFERROR(_xlfn._xlws.FILTER(INDIRECT("'"&amp;model_name&amp;" case settings'!$C$19:$C$42"),ISNUMBER(MATCH(INDIRECT("'"&amp;model_name&amp;" case settings'!$C$19:$C$42"),_xlfn._xlws.FILTER(INDIRECT(J65&amp;".scenario"),INDIRECT(J65)=$C65),0))),"-/-")),
_xlfn._xlws.FILTER(_xlpm.all_scenario_tags,_xlpm.all_scenario_tags&lt;&gt;"-/-","-/-")
))</f>
        <v>-/-</v>
      </c>
      <c r="N65" s="12"/>
      <c r="O65" s="12"/>
      <c r="P65" s="12"/>
      <c r="Q65" s="12"/>
    </row>
    <row r="66" spans="2:17">
      <c r="B66" s="38"/>
      <c r="C66" s="3"/>
      <c r="E66" s="91" t="str" cm="1">
        <f t="array" ref="E66:G66">TRANSPOSE("'"&amp;_xlfn._xlws.FILTER(Lists!$CA$9:$CA$50,B66=Lists!$CC$9:$CC$50)&amp;"'!"&amp;B66)</f>
        <v>''!</v>
      </c>
      <c r="F66" s="91" t="str">
        <v>''!</v>
      </c>
      <c r="G66" s="91" t="str">
        <v>''!</v>
      </c>
      <c r="H66" s="91"/>
      <c r="I66" s="91"/>
      <c r="J66" s="91"/>
      <c r="L66" s="34">
        <f t="shared" ca="1" si="0"/>
        <v>0</v>
      </c>
      <c r="M66" s="12" t="str" cm="1">
        <f t="array" aca="1" ref="M66" ca="1">TRANSPOSE(_xlfn.LET(
_xlpm.all_scenario_tags,
_xlfn.VSTACK(
IFERROR(_xlfn._xlws.FILTER(INDIRECT("'"&amp;model_name&amp;" case settings'!$C$19:$C$42"),ISNUMBER(MATCH(INDIRECT("'"&amp;model_name&amp;" case settings'!$C$19:$C$42"),_xlfn._xlws.FILTER(INDIRECT(E66&amp;".scenario"),INDIRECT(E66)=$C66),0))),"-/-"),
IFERROR(_xlfn._xlws.FILTER(INDIRECT("'"&amp;model_name&amp;" case settings'!$C$19:$C$42"),ISNUMBER(MATCH(INDIRECT("'"&amp;model_name&amp;" case settings'!$C$19:$C$42"),_xlfn._xlws.FILTER(INDIRECT(F66&amp;".scenario"),INDIRECT(F66)=$C66),0))),"-/-"),
IFERROR(_xlfn._xlws.FILTER(INDIRECT("'"&amp;model_name&amp;" case settings'!$C$19:$C$42"),ISNUMBER(MATCH(INDIRECT("'"&amp;model_name&amp;" case settings'!$C$19:$C$42"),_xlfn._xlws.FILTER(INDIRECT(G66&amp;".scenario"),INDIRECT(G66)=$C66),0))),"-/-"),
IFERROR(_xlfn._xlws.FILTER(INDIRECT("'"&amp;model_name&amp;" case settings'!$C$19:$C$42"),ISNUMBER(MATCH(INDIRECT("'"&amp;model_name&amp;" case settings'!$C$19:$C$42"),_xlfn._xlws.FILTER(INDIRECT(H66&amp;".scenario"),INDIRECT(H66)=$C66),0))),"-/-"),
IFERROR(_xlfn._xlws.FILTER(INDIRECT("'"&amp;model_name&amp;" case settings'!$C$19:$C$42"),ISNUMBER(MATCH(INDIRECT("'"&amp;model_name&amp;" case settings'!$C$19:$C$42"),_xlfn._xlws.FILTER(INDIRECT(I66&amp;".scenario"),INDIRECT(I66)=$C66),0))),"-/-"),
IFERROR(_xlfn._xlws.FILTER(INDIRECT("'"&amp;model_name&amp;" case settings'!$C$19:$C$42"),ISNUMBER(MATCH(INDIRECT("'"&amp;model_name&amp;" case settings'!$C$19:$C$42"),_xlfn._xlws.FILTER(INDIRECT(J66&amp;".scenario"),INDIRECT(J66)=$C66),0))),"-/-")),
_xlfn._xlws.FILTER(_xlpm.all_scenario_tags,_xlpm.all_scenario_tags&lt;&gt;"-/-","-/-")
))</f>
        <v>-/-</v>
      </c>
      <c r="N66" s="12"/>
      <c r="O66" s="12"/>
      <c r="P66" s="12"/>
      <c r="Q66" s="12"/>
    </row>
    <row r="67" spans="2:17">
      <c r="B67" s="38"/>
      <c r="C67" s="3"/>
      <c r="E67" s="91" t="str" cm="1">
        <f t="array" ref="E67:G67">TRANSPOSE("'"&amp;_xlfn._xlws.FILTER(Lists!$CA$9:$CA$50,B67=Lists!$CC$9:$CC$50)&amp;"'!"&amp;B67)</f>
        <v>''!</v>
      </c>
      <c r="F67" s="91" t="str">
        <v>''!</v>
      </c>
      <c r="G67" s="91" t="str">
        <v>''!</v>
      </c>
      <c r="H67" s="91"/>
      <c r="I67" s="91"/>
      <c r="J67" s="91"/>
      <c r="L67" s="34">
        <f t="shared" ca="1" si="0"/>
        <v>0</v>
      </c>
      <c r="M67" s="12" t="str" cm="1">
        <f t="array" aca="1" ref="M67" ca="1">TRANSPOSE(_xlfn.LET(
_xlpm.all_scenario_tags,
_xlfn.VSTACK(
IFERROR(_xlfn._xlws.FILTER(INDIRECT("'"&amp;model_name&amp;" case settings'!$C$19:$C$42"),ISNUMBER(MATCH(INDIRECT("'"&amp;model_name&amp;" case settings'!$C$19:$C$42"),_xlfn._xlws.FILTER(INDIRECT(E67&amp;".scenario"),INDIRECT(E67)=$C67),0))),"-/-"),
IFERROR(_xlfn._xlws.FILTER(INDIRECT("'"&amp;model_name&amp;" case settings'!$C$19:$C$42"),ISNUMBER(MATCH(INDIRECT("'"&amp;model_name&amp;" case settings'!$C$19:$C$42"),_xlfn._xlws.FILTER(INDIRECT(F67&amp;".scenario"),INDIRECT(F67)=$C67),0))),"-/-"),
IFERROR(_xlfn._xlws.FILTER(INDIRECT("'"&amp;model_name&amp;" case settings'!$C$19:$C$42"),ISNUMBER(MATCH(INDIRECT("'"&amp;model_name&amp;" case settings'!$C$19:$C$42"),_xlfn._xlws.FILTER(INDIRECT(G67&amp;".scenario"),INDIRECT(G67)=$C67),0))),"-/-"),
IFERROR(_xlfn._xlws.FILTER(INDIRECT("'"&amp;model_name&amp;" case settings'!$C$19:$C$42"),ISNUMBER(MATCH(INDIRECT("'"&amp;model_name&amp;" case settings'!$C$19:$C$42"),_xlfn._xlws.FILTER(INDIRECT(H67&amp;".scenario"),INDIRECT(H67)=$C67),0))),"-/-"),
IFERROR(_xlfn._xlws.FILTER(INDIRECT("'"&amp;model_name&amp;" case settings'!$C$19:$C$42"),ISNUMBER(MATCH(INDIRECT("'"&amp;model_name&amp;" case settings'!$C$19:$C$42"),_xlfn._xlws.FILTER(INDIRECT(I67&amp;".scenario"),INDIRECT(I67)=$C67),0))),"-/-"),
IFERROR(_xlfn._xlws.FILTER(INDIRECT("'"&amp;model_name&amp;" case settings'!$C$19:$C$42"),ISNUMBER(MATCH(INDIRECT("'"&amp;model_name&amp;" case settings'!$C$19:$C$42"),_xlfn._xlws.FILTER(INDIRECT(J67&amp;".scenario"),INDIRECT(J67)=$C67),0))),"-/-")),
_xlfn._xlws.FILTER(_xlpm.all_scenario_tags,_xlpm.all_scenario_tags&lt;&gt;"-/-","-/-")
))</f>
        <v>-/-</v>
      </c>
      <c r="N67" s="12"/>
      <c r="O67" s="12"/>
      <c r="P67" s="12"/>
      <c r="Q67" s="12"/>
    </row>
    <row r="68" spans="2:17">
      <c r="B68" s="38"/>
      <c r="C68" s="3"/>
      <c r="E68" s="91" t="str" cm="1">
        <f t="array" ref="E68:G68">TRANSPOSE("'"&amp;_xlfn._xlws.FILTER(Lists!$CA$9:$CA$50,B68=Lists!$CC$9:$CC$50)&amp;"'!"&amp;B68)</f>
        <v>''!</v>
      </c>
      <c r="F68" s="91" t="str">
        <v>''!</v>
      </c>
      <c r="G68" s="91" t="str">
        <v>''!</v>
      </c>
      <c r="H68" s="91"/>
      <c r="I68" s="91"/>
      <c r="J68" s="91"/>
      <c r="L68" s="34">
        <f t="shared" ca="1" si="0"/>
        <v>0</v>
      </c>
      <c r="M68" s="12" t="str" cm="1">
        <f t="array" aca="1" ref="M68" ca="1">TRANSPOSE(_xlfn.LET(
_xlpm.all_scenario_tags,
_xlfn.VSTACK(
IFERROR(_xlfn._xlws.FILTER(INDIRECT("'"&amp;model_name&amp;" case settings'!$C$19:$C$42"),ISNUMBER(MATCH(INDIRECT("'"&amp;model_name&amp;" case settings'!$C$19:$C$42"),_xlfn._xlws.FILTER(INDIRECT(E68&amp;".scenario"),INDIRECT(E68)=$C68),0))),"-/-"),
IFERROR(_xlfn._xlws.FILTER(INDIRECT("'"&amp;model_name&amp;" case settings'!$C$19:$C$42"),ISNUMBER(MATCH(INDIRECT("'"&amp;model_name&amp;" case settings'!$C$19:$C$42"),_xlfn._xlws.FILTER(INDIRECT(F68&amp;".scenario"),INDIRECT(F68)=$C68),0))),"-/-"),
IFERROR(_xlfn._xlws.FILTER(INDIRECT("'"&amp;model_name&amp;" case settings'!$C$19:$C$42"),ISNUMBER(MATCH(INDIRECT("'"&amp;model_name&amp;" case settings'!$C$19:$C$42"),_xlfn._xlws.FILTER(INDIRECT(G68&amp;".scenario"),INDIRECT(G68)=$C68),0))),"-/-"),
IFERROR(_xlfn._xlws.FILTER(INDIRECT("'"&amp;model_name&amp;" case settings'!$C$19:$C$42"),ISNUMBER(MATCH(INDIRECT("'"&amp;model_name&amp;" case settings'!$C$19:$C$42"),_xlfn._xlws.FILTER(INDIRECT(H68&amp;".scenario"),INDIRECT(H68)=$C68),0))),"-/-"),
IFERROR(_xlfn._xlws.FILTER(INDIRECT("'"&amp;model_name&amp;" case settings'!$C$19:$C$42"),ISNUMBER(MATCH(INDIRECT("'"&amp;model_name&amp;" case settings'!$C$19:$C$42"),_xlfn._xlws.FILTER(INDIRECT(I68&amp;".scenario"),INDIRECT(I68)=$C68),0))),"-/-"),
IFERROR(_xlfn._xlws.FILTER(INDIRECT("'"&amp;model_name&amp;" case settings'!$C$19:$C$42"),ISNUMBER(MATCH(INDIRECT("'"&amp;model_name&amp;" case settings'!$C$19:$C$42"),_xlfn._xlws.FILTER(INDIRECT(J68&amp;".scenario"),INDIRECT(J68)=$C68),0))),"-/-")),
_xlfn._xlws.FILTER(_xlpm.all_scenario_tags,_xlpm.all_scenario_tags&lt;&gt;"-/-","-/-")
))</f>
        <v>-/-</v>
      </c>
      <c r="N68" s="12"/>
      <c r="O68" s="12"/>
      <c r="P68" s="12"/>
      <c r="Q68" s="12"/>
    </row>
    <row r="69" spans="2:17">
      <c r="B69" s="38"/>
      <c r="C69" s="3"/>
      <c r="E69" s="91" t="str" cm="1">
        <f t="array" ref="E69:G69">TRANSPOSE("'"&amp;_xlfn._xlws.FILTER(Lists!$CA$9:$CA$50,B69=Lists!$CC$9:$CC$50)&amp;"'!"&amp;B69)</f>
        <v>''!</v>
      </c>
      <c r="F69" s="91" t="str">
        <v>''!</v>
      </c>
      <c r="G69" s="91" t="str">
        <v>''!</v>
      </c>
      <c r="H69" s="91"/>
      <c r="I69" s="91"/>
      <c r="J69" s="91"/>
      <c r="L69" s="34">
        <f t="shared" ca="1" si="0"/>
        <v>0</v>
      </c>
      <c r="M69" s="12" t="str" cm="1">
        <f t="array" aca="1" ref="M69" ca="1">TRANSPOSE(_xlfn.LET(
_xlpm.all_scenario_tags,
_xlfn.VSTACK(
IFERROR(_xlfn._xlws.FILTER(INDIRECT("'"&amp;model_name&amp;" case settings'!$C$19:$C$42"),ISNUMBER(MATCH(INDIRECT("'"&amp;model_name&amp;" case settings'!$C$19:$C$42"),_xlfn._xlws.FILTER(INDIRECT(E69&amp;".scenario"),INDIRECT(E69)=$C69),0))),"-/-"),
IFERROR(_xlfn._xlws.FILTER(INDIRECT("'"&amp;model_name&amp;" case settings'!$C$19:$C$42"),ISNUMBER(MATCH(INDIRECT("'"&amp;model_name&amp;" case settings'!$C$19:$C$42"),_xlfn._xlws.FILTER(INDIRECT(F69&amp;".scenario"),INDIRECT(F69)=$C69),0))),"-/-"),
IFERROR(_xlfn._xlws.FILTER(INDIRECT("'"&amp;model_name&amp;" case settings'!$C$19:$C$42"),ISNUMBER(MATCH(INDIRECT("'"&amp;model_name&amp;" case settings'!$C$19:$C$42"),_xlfn._xlws.FILTER(INDIRECT(G69&amp;".scenario"),INDIRECT(G69)=$C69),0))),"-/-"),
IFERROR(_xlfn._xlws.FILTER(INDIRECT("'"&amp;model_name&amp;" case settings'!$C$19:$C$42"),ISNUMBER(MATCH(INDIRECT("'"&amp;model_name&amp;" case settings'!$C$19:$C$42"),_xlfn._xlws.FILTER(INDIRECT(H69&amp;".scenario"),INDIRECT(H69)=$C69),0))),"-/-"),
IFERROR(_xlfn._xlws.FILTER(INDIRECT("'"&amp;model_name&amp;" case settings'!$C$19:$C$42"),ISNUMBER(MATCH(INDIRECT("'"&amp;model_name&amp;" case settings'!$C$19:$C$42"),_xlfn._xlws.FILTER(INDIRECT(I69&amp;".scenario"),INDIRECT(I69)=$C69),0))),"-/-"),
IFERROR(_xlfn._xlws.FILTER(INDIRECT("'"&amp;model_name&amp;" case settings'!$C$19:$C$42"),ISNUMBER(MATCH(INDIRECT("'"&amp;model_name&amp;" case settings'!$C$19:$C$42"),_xlfn._xlws.FILTER(INDIRECT(J69&amp;".scenario"),INDIRECT(J69)=$C69),0))),"-/-")),
_xlfn._xlws.FILTER(_xlpm.all_scenario_tags,_xlpm.all_scenario_tags&lt;&gt;"-/-","-/-")
))</f>
        <v>-/-</v>
      </c>
      <c r="N69" s="12"/>
      <c r="O69" s="12"/>
      <c r="P69" s="12"/>
      <c r="Q69" s="12"/>
    </row>
    <row r="70" spans="2:17">
      <c r="B70" s="38"/>
      <c r="C70" s="3"/>
      <c r="E70" s="91" t="str" cm="1">
        <f t="array" ref="E70:G70">TRANSPOSE("'"&amp;_xlfn._xlws.FILTER(Lists!$CA$9:$CA$50,B70=Lists!$CC$9:$CC$50)&amp;"'!"&amp;B70)</f>
        <v>''!</v>
      </c>
      <c r="F70" s="91" t="str">
        <v>''!</v>
      </c>
      <c r="G70" s="91" t="str">
        <v>''!</v>
      </c>
      <c r="H70" s="91"/>
      <c r="I70" s="91"/>
      <c r="J70" s="91"/>
      <c r="L70" s="34">
        <f t="shared" ca="1" si="0"/>
        <v>0</v>
      </c>
      <c r="M70" s="12" t="str" cm="1">
        <f t="array" aca="1" ref="M70" ca="1">TRANSPOSE(_xlfn.LET(
_xlpm.all_scenario_tags,
_xlfn.VSTACK(
IFERROR(_xlfn._xlws.FILTER(INDIRECT("'"&amp;model_name&amp;" case settings'!$C$19:$C$42"),ISNUMBER(MATCH(INDIRECT("'"&amp;model_name&amp;" case settings'!$C$19:$C$42"),_xlfn._xlws.FILTER(INDIRECT(E70&amp;".scenario"),INDIRECT(E70)=$C70),0))),"-/-"),
IFERROR(_xlfn._xlws.FILTER(INDIRECT("'"&amp;model_name&amp;" case settings'!$C$19:$C$42"),ISNUMBER(MATCH(INDIRECT("'"&amp;model_name&amp;" case settings'!$C$19:$C$42"),_xlfn._xlws.FILTER(INDIRECT(F70&amp;".scenario"),INDIRECT(F70)=$C70),0))),"-/-"),
IFERROR(_xlfn._xlws.FILTER(INDIRECT("'"&amp;model_name&amp;" case settings'!$C$19:$C$42"),ISNUMBER(MATCH(INDIRECT("'"&amp;model_name&amp;" case settings'!$C$19:$C$42"),_xlfn._xlws.FILTER(INDIRECT(G70&amp;".scenario"),INDIRECT(G70)=$C70),0))),"-/-"),
IFERROR(_xlfn._xlws.FILTER(INDIRECT("'"&amp;model_name&amp;" case settings'!$C$19:$C$42"),ISNUMBER(MATCH(INDIRECT("'"&amp;model_name&amp;" case settings'!$C$19:$C$42"),_xlfn._xlws.FILTER(INDIRECT(H70&amp;".scenario"),INDIRECT(H70)=$C70),0))),"-/-"),
IFERROR(_xlfn._xlws.FILTER(INDIRECT("'"&amp;model_name&amp;" case settings'!$C$19:$C$42"),ISNUMBER(MATCH(INDIRECT("'"&amp;model_name&amp;" case settings'!$C$19:$C$42"),_xlfn._xlws.FILTER(INDIRECT(I70&amp;".scenario"),INDIRECT(I70)=$C70),0))),"-/-"),
IFERROR(_xlfn._xlws.FILTER(INDIRECT("'"&amp;model_name&amp;" case settings'!$C$19:$C$42"),ISNUMBER(MATCH(INDIRECT("'"&amp;model_name&amp;" case settings'!$C$19:$C$42"),_xlfn._xlws.FILTER(INDIRECT(J70&amp;".scenario"),INDIRECT(J70)=$C70),0))),"-/-")),
_xlfn._xlws.FILTER(_xlpm.all_scenario_tags,_xlpm.all_scenario_tags&lt;&gt;"-/-","-/-")
))</f>
        <v>-/-</v>
      </c>
      <c r="N70" s="12"/>
      <c r="O70" s="12"/>
      <c r="P70" s="12"/>
      <c r="Q70" s="12"/>
    </row>
    <row r="71" spans="2:17">
      <c r="B71" s="38"/>
      <c r="C71" s="3"/>
      <c r="E71" s="91" t="str" cm="1">
        <f t="array" ref="E71:G71">TRANSPOSE("'"&amp;_xlfn._xlws.FILTER(Lists!$CA$9:$CA$50,B71=Lists!$CC$9:$CC$50)&amp;"'!"&amp;B71)</f>
        <v>''!</v>
      </c>
      <c r="F71" s="91" t="str">
        <v>''!</v>
      </c>
      <c r="G71" s="91" t="str">
        <v>''!</v>
      </c>
      <c r="H71" s="91"/>
      <c r="I71" s="91"/>
      <c r="J71" s="91"/>
      <c r="L71" s="34">
        <f t="shared" ca="1" si="0"/>
        <v>0</v>
      </c>
      <c r="M71" s="12" t="str" cm="1">
        <f t="array" aca="1" ref="M71" ca="1">TRANSPOSE(_xlfn.LET(
_xlpm.all_scenario_tags,
_xlfn.VSTACK(
IFERROR(_xlfn._xlws.FILTER(INDIRECT("'"&amp;model_name&amp;" case settings'!$C$19:$C$42"),ISNUMBER(MATCH(INDIRECT("'"&amp;model_name&amp;" case settings'!$C$19:$C$42"),_xlfn._xlws.FILTER(INDIRECT(E71&amp;".scenario"),INDIRECT(E71)=$C71),0))),"-/-"),
IFERROR(_xlfn._xlws.FILTER(INDIRECT("'"&amp;model_name&amp;" case settings'!$C$19:$C$42"),ISNUMBER(MATCH(INDIRECT("'"&amp;model_name&amp;" case settings'!$C$19:$C$42"),_xlfn._xlws.FILTER(INDIRECT(F71&amp;".scenario"),INDIRECT(F71)=$C71),0))),"-/-"),
IFERROR(_xlfn._xlws.FILTER(INDIRECT("'"&amp;model_name&amp;" case settings'!$C$19:$C$42"),ISNUMBER(MATCH(INDIRECT("'"&amp;model_name&amp;" case settings'!$C$19:$C$42"),_xlfn._xlws.FILTER(INDIRECT(G71&amp;".scenario"),INDIRECT(G71)=$C71),0))),"-/-"),
IFERROR(_xlfn._xlws.FILTER(INDIRECT("'"&amp;model_name&amp;" case settings'!$C$19:$C$42"),ISNUMBER(MATCH(INDIRECT("'"&amp;model_name&amp;" case settings'!$C$19:$C$42"),_xlfn._xlws.FILTER(INDIRECT(H71&amp;".scenario"),INDIRECT(H71)=$C71),0))),"-/-"),
IFERROR(_xlfn._xlws.FILTER(INDIRECT("'"&amp;model_name&amp;" case settings'!$C$19:$C$42"),ISNUMBER(MATCH(INDIRECT("'"&amp;model_name&amp;" case settings'!$C$19:$C$42"),_xlfn._xlws.FILTER(INDIRECT(I71&amp;".scenario"),INDIRECT(I71)=$C71),0))),"-/-"),
IFERROR(_xlfn._xlws.FILTER(INDIRECT("'"&amp;model_name&amp;" case settings'!$C$19:$C$42"),ISNUMBER(MATCH(INDIRECT("'"&amp;model_name&amp;" case settings'!$C$19:$C$42"),_xlfn._xlws.FILTER(INDIRECT(J71&amp;".scenario"),INDIRECT(J71)=$C71),0))),"-/-")),
_xlfn._xlws.FILTER(_xlpm.all_scenario_tags,_xlpm.all_scenario_tags&lt;&gt;"-/-","-/-")
))</f>
        <v>-/-</v>
      </c>
      <c r="N71" s="12"/>
      <c r="O71" s="12"/>
      <c r="P71" s="12"/>
      <c r="Q71" s="12"/>
    </row>
    <row r="72" spans="2:17">
      <c r="B72" s="38"/>
      <c r="C72" s="3"/>
      <c r="E72" s="91" t="str" cm="1">
        <f t="array" ref="E72:G72">TRANSPOSE("'"&amp;_xlfn._xlws.FILTER(Lists!$CA$9:$CA$50,B72=Lists!$CC$9:$CC$50)&amp;"'!"&amp;B72)</f>
        <v>''!</v>
      </c>
      <c r="F72" s="91" t="str">
        <v>''!</v>
      </c>
      <c r="G72" s="91" t="str">
        <v>''!</v>
      </c>
      <c r="H72" s="91"/>
      <c r="I72" s="91"/>
      <c r="J72" s="91"/>
      <c r="L72" s="34">
        <f t="shared" ca="1" si="0"/>
        <v>0</v>
      </c>
      <c r="M72" s="12" t="str" cm="1">
        <f t="array" aca="1" ref="M72" ca="1">TRANSPOSE(_xlfn.LET(
_xlpm.all_scenario_tags,
_xlfn.VSTACK(
IFERROR(_xlfn._xlws.FILTER(INDIRECT("'"&amp;model_name&amp;" case settings'!$C$19:$C$42"),ISNUMBER(MATCH(INDIRECT("'"&amp;model_name&amp;" case settings'!$C$19:$C$42"),_xlfn._xlws.FILTER(INDIRECT(E72&amp;".scenario"),INDIRECT(E72)=$C72),0))),"-/-"),
IFERROR(_xlfn._xlws.FILTER(INDIRECT("'"&amp;model_name&amp;" case settings'!$C$19:$C$42"),ISNUMBER(MATCH(INDIRECT("'"&amp;model_name&amp;" case settings'!$C$19:$C$42"),_xlfn._xlws.FILTER(INDIRECT(F72&amp;".scenario"),INDIRECT(F72)=$C72),0))),"-/-"),
IFERROR(_xlfn._xlws.FILTER(INDIRECT("'"&amp;model_name&amp;" case settings'!$C$19:$C$42"),ISNUMBER(MATCH(INDIRECT("'"&amp;model_name&amp;" case settings'!$C$19:$C$42"),_xlfn._xlws.FILTER(INDIRECT(G72&amp;".scenario"),INDIRECT(G72)=$C72),0))),"-/-"),
IFERROR(_xlfn._xlws.FILTER(INDIRECT("'"&amp;model_name&amp;" case settings'!$C$19:$C$42"),ISNUMBER(MATCH(INDIRECT("'"&amp;model_name&amp;" case settings'!$C$19:$C$42"),_xlfn._xlws.FILTER(INDIRECT(H72&amp;".scenario"),INDIRECT(H72)=$C72),0))),"-/-"),
IFERROR(_xlfn._xlws.FILTER(INDIRECT("'"&amp;model_name&amp;" case settings'!$C$19:$C$42"),ISNUMBER(MATCH(INDIRECT("'"&amp;model_name&amp;" case settings'!$C$19:$C$42"),_xlfn._xlws.FILTER(INDIRECT(I72&amp;".scenario"),INDIRECT(I72)=$C72),0))),"-/-"),
IFERROR(_xlfn._xlws.FILTER(INDIRECT("'"&amp;model_name&amp;" case settings'!$C$19:$C$42"),ISNUMBER(MATCH(INDIRECT("'"&amp;model_name&amp;" case settings'!$C$19:$C$42"),_xlfn._xlws.FILTER(INDIRECT(J72&amp;".scenario"),INDIRECT(J72)=$C72),0))),"-/-")),
_xlfn._xlws.FILTER(_xlpm.all_scenario_tags,_xlpm.all_scenario_tags&lt;&gt;"-/-","-/-")
))</f>
        <v>-/-</v>
      </c>
      <c r="N72" s="12"/>
      <c r="O72" s="12"/>
      <c r="P72" s="12"/>
      <c r="Q72" s="12"/>
    </row>
    <row r="73" spans="2:17">
      <c r="B73" s="38"/>
      <c r="C73" s="3"/>
      <c r="E73" s="91" t="str" cm="1">
        <f t="array" ref="E73:G73">TRANSPOSE("'"&amp;_xlfn._xlws.FILTER(Lists!$CA$9:$CA$50,B73=Lists!$CC$9:$CC$50)&amp;"'!"&amp;B73)</f>
        <v>''!</v>
      </c>
      <c r="F73" s="91" t="str">
        <v>''!</v>
      </c>
      <c r="G73" s="91" t="str">
        <v>''!</v>
      </c>
      <c r="H73" s="91"/>
      <c r="I73" s="91"/>
      <c r="J73" s="91"/>
      <c r="L73" s="34">
        <f t="shared" ca="1" si="0"/>
        <v>0</v>
      </c>
      <c r="M73" s="12" t="str" cm="1">
        <f t="array" aca="1" ref="M73" ca="1">TRANSPOSE(_xlfn.LET(
_xlpm.all_scenario_tags,
_xlfn.VSTACK(
IFERROR(_xlfn._xlws.FILTER(INDIRECT("'"&amp;model_name&amp;" case settings'!$C$19:$C$42"),ISNUMBER(MATCH(INDIRECT("'"&amp;model_name&amp;" case settings'!$C$19:$C$42"),_xlfn._xlws.FILTER(INDIRECT(E73&amp;".scenario"),INDIRECT(E73)=$C73),0))),"-/-"),
IFERROR(_xlfn._xlws.FILTER(INDIRECT("'"&amp;model_name&amp;" case settings'!$C$19:$C$42"),ISNUMBER(MATCH(INDIRECT("'"&amp;model_name&amp;" case settings'!$C$19:$C$42"),_xlfn._xlws.FILTER(INDIRECT(F73&amp;".scenario"),INDIRECT(F73)=$C73),0))),"-/-"),
IFERROR(_xlfn._xlws.FILTER(INDIRECT("'"&amp;model_name&amp;" case settings'!$C$19:$C$42"),ISNUMBER(MATCH(INDIRECT("'"&amp;model_name&amp;" case settings'!$C$19:$C$42"),_xlfn._xlws.FILTER(INDIRECT(G73&amp;".scenario"),INDIRECT(G73)=$C73),0))),"-/-"),
IFERROR(_xlfn._xlws.FILTER(INDIRECT("'"&amp;model_name&amp;" case settings'!$C$19:$C$42"),ISNUMBER(MATCH(INDIRECT("'"&amp;model_name&amp;" case settings'!$C$19:$C$42"),_xlfn._xlws.FILTER(INDIRECT(H73&amp;".scenario"),INDIRECT(H73)=$C73),0))),"-/-"),
IFERROR(_xlfn._xlws.FILTER(INDIRECT("'"&amp;model_name&amp;" case settings'!$C$19:$C$42"),ISNUMBER(MATCH(INDIRECT("'"&amp;model_name&amp;" case settings'!$C$19:$C$42"),_xlfn._xlws.FILTER(INDIRECT(I73&amp;".scenario"),INDIRECT(I73)=$C73),0))),"-/-"),
IFERROR(_xlfn._xlws.FILTER(INDIRECT("'"&amp;model_name&amp;" case settings'!$C$19:$C$42"),ISNUMBER(MATCH(INDIRECT("'"&amp;model_name&amp;" case settings'!$C$19:$C$42"),_xlfn._xlws.FILTER(INDIRECT(J73&amp;".scenario"),INDIRECT(J73)=$C73),0))),"-/-")),
_xlfn._xlws.FILTER(_xlpm.all_scenario_tags,_xlpm.all_scenario_tags&lt;&gt;"-/-","-/-")
))</f>
        <v>-/-</v>
      </c>
      <c r="N73" s="12"/>
      <c r="O73" s="12"/>
      <c r="P73" s="12"/>
      <c r="Q73" s="12"/>
    </row>
    <row r="74" spans="2:17">
      <c r="B74" s="38"/>
      <c r="C74" s="3"/>
      <c r="E74" s="91" t="str" cm="1">
        <f t="array" ref="E74:G74">TRANSPOSE("'"&amp;_xlfn._xlws.FILTER(Lists!$CA$9:$CA$50,B74=Lists!$CC$9:$CC$50)&amp;"'!"&amp;B74)</f>
        <v>''!</v>
      </c>
      <c r="F74" s="91" t="str">
        <v>''!</v>
      </c>
      <c r="G74" s="91" t="str">
        <v>''!</v>
      </c>
      <c r="H74" s="91"/>
      <c r="I74" s="91"/>
      <c r="J74" s="91"/>
      <c r="L74" s="34">
        <f t="shared" ca="1" si="0"/>
        <v>0</v>
      </c>
      <c r="M74" s="12" t="str" cm="1">
        <f t="array" aca="1" ref="M74" ca="1">TRANSPOSE(_xlfn.LET(
_xlpm.all_scenario_tags,
_xlfn.VSTACK(
IFERROR(_xlfn._xlws.FILTER(INDIRECT("'"&amp;model_name&amp;" case settings'!$C$19:$C$42"),ISNUMBER(MATCH(INDIRECT("'"&amp;model_name&amp;" case settings'!$C$19:$C$42"),_xlfn._xlws.FILTER(INDIRECT(E74&amp;".scenario"),INDIRECT(E74)=$C74),0))),"-/-"),
IFERROR(_xlfn._xlws.FILTER(INDIRECT("'"&amp;model_name&amp;" case settings'!$C$19:$C$42"),ISNUMBER(MATCH(INDIRECT("'"&amp;model_name&amp;" case settings'!$C$19:$C$42"),_xlfn._xlws.FILTER(INDIRECT(F74&amp;".scenario"),INDIRECT(F74)=$C74),0))),"-/-"),
IFERROR(_xlfn._xlws.FILTER(INDIRECT("'"&amp;model_name&amp;" case settings'!$C$19:$C$42"),ISNUMBER(MATCH(INDIRECT("'"&amp;model_name&amp;" case settings'!$C$19:$C$42"),_xlfn._xlws.FILTER(INDIRECT(G74&amp;".scenario"),INDIRECT(G74)=$C74),0))),"-/-"),
IFERROR(_xlfn._xlws.FILTER(INDIRECT("'"&amp;model_name&amp;" case settings'!$C$19:$C$42"),ISNUMBER(MATCH(INDIRECT("'"&amp;model_name&amp;" case settings'!$C$19:$C$42"),_xlfn._xlws.FILTER(INDIRECT(H74&amp;".scenario"),INDIRECT(H74)=$C74),0))),"-/-"),
IFERROR(_xlfn._xlws.FILTER(INDIRECT("'"&amp;model_name&amp;" case settings'!$C$19:$C$42"),ISNUMBER(MATCH(INDIRECT("'"&amp;model_name&amp;" case settings'!$C$19:$C$42"),_xlfn._xlws.FILTER(INDIRECT(I74&amp;".scenario"),INDIRECT(I74)=$C74),0))),"-/-"),
IFERROR(_xlfn._xlws.FILTER(INDIRECT("'"&amp;model_name&amp;" case settings'!$C$19:$C$42"),ISNUMBER(MATCH(INDIRECT("'"&amp;model_name&amp;" case settings'!$C$19:$C$42"),_xlfn._xlws.FILTER(INDIRECT(J74&amp;".scenario"),INDIRECT(J74)=$C74),0))),"-/-")),
_xlfn._xlws.FILTER(_xlpm.all_scenario_tags,_xlpm.all_scenario_tags&lt;&gt;"-/-","-/-")
))</f>
        <v>-/-</v>
      </c>
      <c r="N74" s="12"/>
      <c r="O74" s="12"/>
      <c r="P74" s="12"/>
      <c r="Q74" s="12"/>
    </row>
    <row r="75" spans="2:17">
      <c r="B75" s="38"/>
      <c r="C75" s="3"/>
      <c r="E75" s="91" t="str" cm="1">
        <f t="array" ref="E75:G75">TRANSPOSE("'"&amp;_xlfn._xlws.FILTER(Lists!$CA$9:$CA$50,B75=Lists!$CC$9:$CC$50)&amp;"'!"&amp;B75)</f>
        <v>''!</v>
      </c>
      <c r="F75" s="91" t="str">
        <v>''!</v>
      </c>
      <c r="G75" s="91" t="str">
        <v>''!</v>
      </c>
      <c r="H75" s="91"/>
      <c r="I75" s="91"/>
      <c r="J75" s="91"/>
      <c r="L75" s="34">
        <f t="shared" ca="1" si="0"/>
        <v>0</v>
      </c>
      <c r="M75" s="12" t="str" cm="1">
        <f t="array" aca="1" ref="M75" ca="1">TRANSPOSE(_xlfn.LET(
_xlpm.all_scenario_tags,
_xlfn.VSTACK(
IFERROR(_xlfn._xlws.FILTER(INDIRECT("'"&amp;model_name&amp;" case settings'!$C$19:$C$42"),ISNUMBER(MATCH(INDIRECT("'"&amp;model_name&amp;" case settings'!$C$19:$C$42"),_xlfn._xlws.FILTER(INDIRECT(E75&amp;".scenario"),INDIRECT(E75)=$C75),0))),"-/-"),
IFERROR(_xlfn._xlws.FILTER(INDIRECT("'"&amp;model_name&amp;" case settings'!$C$19:$C$42"),ISNUMBER(MATCH(INDIRECT("'"&amp;model_name&amp;" case settings'!$C$19:$C$42"),_xlfn._xlws.FILTER(INDIRECT(F75&amp;".scenario"),INDIRECT(F75)=$C75),0))),"-/-"),
IFERROR(_xlfn._xlws.FILTER(INDIRECT("'"&amp;model_name&amp;" case settings'!$C$19:$C$42"),ISNUMBER(MATCH(INDIRECT("'"&amp;model_name&amp;" case settings'!$C$19:$C$42"),_xlfn._xlws.FILTER(INDIRECT(G75&amp;".scenario"),INDIRECT(G75)=$C75),0))),"-/-"),
IFERROR(_xlfn._xlws.FILTER(INDIRECT("'"&amp;model_name&amp;" case settings'!$C$19:$C$42"),ISNUMBER(MATCH(INDIRECT("'"&amp;model_name&amp;" case settings'!$C$19:$C$42"),_xlfn._xlws.FILTER(INDIRECT(H75&amp;".scenario"),INDIRECT(H75)=$C75),0))),"-/-"),
IFERROR(_xlfn._xlws.FILTER(INDIRECT("'"&amp;model_name&amp;" case settings'!$C$19:$C$42"),ISNUMBER(MATCH(INDIRECT("'"&amp;model_name&amp;" case settings'!$C$19:$C$42"),_xlfn._xlws.FILTER(INDIRECT(I75&amp;".scenario"),INDIRECT(I75)=$C75),0))),"-/-"),
IFERROR(_xlfn._xlws.FILTER(INDIRECT("'"&amp;model_name&amp;" case settings'!$C$19:$C$42"),ISNUMBER(MATCH(INDIRECT("'"&amp;model_name&amp;" case settings'!$C$19:$C$42"),_xlfn._xlws.FILTER(INDIRECT(J75&amp;".scenario"),INDIRECT(J75)=$C75),0))),"-/-")),
_xlfn._xlws.FILTER(_xlpm.all_scenario_tags,_xlpm.all_scenario_tags&lt;&gt;"-/-","-/-")
))</f>
        <v>-/-</v>
      </c>
      <c r="N75" s="12"/>
      <c r="O75" s="12"/>
      <c r="P75" s="12"/>
      <c r="Q75" s="12"/>
    </row>
    <row r="76" spans="2:17">
      <c r="B76" s="38"/>
      <c r="C76" s="3"/>
      <c r="E76" s="91" t="str" cm="1">
        <f t="array" ref="E76:G76">TRANSPOSE("'"&amp;_xlfn._xlws.FILTER(Lists!$CA$9:$CA$50,B76=Lists!$CC$9:$CC$50)&amp;"'!"&amp;B76)</f>
        <v>''!</v>
      </c>
      <c r="F76" s="91" t="str">
        <v>''!</v>
      </c>
      <c r="G76" s="91" t="str">
        <v>''!</v>
      </c>
      <c r="H76" s="91"/>
      <c r="I76" s="91"/>
      <c r="J76" s="91"/>
      <c r="L76" s="34">
        <f t="shared" ca="1" si="0"/>
        <v>0</v>
      </c>
      <c r="M76" s="12" t="str" cm="1">
        <f t="array" aca="1" ref="M76" ca="1">TRANSPOSE(_xlfn.LET(
_xlpm.all_scenario_tags,
_xlfn.VSTACK(
IFERROR(_xlfn._xlws.FILTER(INDIRECT("'"&amp;model_name&amp;" case settings'!$C$19:$C$42"),ISNUMBER(MATCH(INDIRECT("'"&amp;model_name&amp;" case settings'!$C$19:$C$42"),_xlfn._xlws.FILTER(INDIRECT(E76&amp;".scenario"),INDIRECT(E76)=$C76),0))),"-/-"),
IFERROR(_xlfn._xlws.FILTER(INDIRECT("'"&amp;model_name&amp;" case settings'!$C$19:$C$42"),ISNUMBER(MATCH(INDIRECT("'"&amp;model_name&amp;" case settings'!$C$19:$C$42"),_xlfn._xlws.FILTER(INDIRECT(F76&amp;".scenario"),INDIRECT(F76)=$C76),0))),"-/-"),
IFERROR(_xlfn._xlws.FILTER(INDIRECT("'"&amp;model_name&amp;" case settings'!$C$19:$C$42"),ISNUMBER(MATCH(INDIRECT("'"&amp;model_name&amp;" case settings'!$C$19:$C$42"),_xlfn._xlws.FILTER(INDIRECT(G76&amp;".scenario"),INDIRECT(G76)=$C76),0))),"-/-"),
IFERROR(_xlfn._xlws.FILTER(INDIRECT("'"&amp;model_name&amp;" case settings'!$C$19:$C$42"),ISNUMBER(MATCH(INDIRECT("'"&amp;model_name&amp;" case settings'!$C$19:$C$42"),_xlfn._xlws.FILTER(INDIRECT(H76&amp;".scenario"),INDIRECT(H76)=$C76),0))),"-/-"),
IFERROR(_xlfn._xlws.FILTER(INDIRECT("'"&amp;model_name&amp;" case settings'!$C$19:$C$42"),ISNUMBER(MATCH(INDIRECT("'"&amp;model_name&amp;" case settings'!$C$19:$C$42"),_xlfn._xlws.FILTER(INDIRECT(I76&amp;".scenario"),INDIRECT(I76)=$C76),0))),"-/-"),
IFERROR(_xlfn._xlws.FILTER(INDIRECT("'"&amp;model_name&amp;" case settings'!$C$19:$C$42"),ISNUMBER(MATCH(INDIRECT("'"&amp;model_name&amp;" case settings'!$C$19:$C$42"),_xlfn._xlws.FILTER(INDIRECT(J76&amp;".scenario"),INDIRECT(J76)=$C76),0))),"-/-")),
_xlfn._xlws.FILTER(_xlpm.all_scenario_tags,_xlpm.all_scenario_tags&lt;&gt;"-/-","-/-")
))</f>
        <v>-/-</v>
      </c>
      <c r="N76" s="12"/>
      <c r="O76" s="12"/>
      <c r="P76" s="12"/>
      <c r="Q76" s="12"/>
    </row>
    <row r="77" spans="2:17">
      <c r="B77" s="38"/>
      <c r="C77" s="3"/>
      <c r="E77" s="91" t="str" cm="1">
        <f t="array" ref="E77:G77">TRANSPOSE("'"&amp;_xlfn._xlws.FILTER(Lists!$CA$9:$CA$50,B77=Lists!$CC$9:$CC$50)&amp;"'!"&amp;B77)</f>
        <v>''!</v>
      </c>
      <c r="F77" s="91" t="str">
        <v>''!</v>
      </c>
      <c r="G77" s="91" t="str">
        <v>''!</v>
      </c>
      <c r="H77" s="91"/>
      <c r="I77" s="91"/>
      <c r="J77" s="91"/>
      <c r="L77" s="34">
        <f t="shared" ca="1" si="0"/>
        <v>0</v>
      </c>
      <c r="M77" s="12" t="str" cm="1">
        <f t="array" aca="1" ref="M77" ca="1">TRANSPOSE(_xlfn.LET(
_xlpm.all_scenario_tags,
_xlfn.VSTACK(
IFERROR(_xlfn._xlws.FILTER(INDIRECT("'"&amp;model_name&amp;" case settings'!$C$19:$C$42"),ISNUMBER(MATCH(INDIRECT("'"&amp;model_name&amp;" case settings'!$C$19:$C$42"),_xlfn._xlws.FILTER(INDIRECT(E77&amp;".scenario"),INDIRECT(E77)=$C77),0))),"-/-"),
IFERROR(_xlfn._xlws.FILTER(INDIRECT("'"&amp;model_name&amp;" case settings'!$C$19:$C$42"),ISNUMBER(MATCH(INDIRECT("'"&amp;model_name&amp;" case settings'!$C$19:$C$42"),_xlfn._xlws.FILTER(INDIRECT(F77&amp;".scenario"),INDIRECT(F77)=$C77),0))),"-/-"),
IFERROR(_xlfn._xlws.FILTER(INDIRECT("'"&amp;model_name&amp;" case settings'!$C$19:$C$42"),ISNUMBER(MATCH(INDIRECT("'"&amp;model_name&amp;" case settings'!$C$19:$C$42"),_xlfn._xlws.FILTER(INDIRECT(G77&amp;".scenario"),INDIRECT(G77)=$C77),0))),"-/-"),
IFERROR(_xlfn._xlws.FILTER(INDIRECT("'"&amp;model_name&amp;" case settings'!$C$19:$C$42"),ISNUMBER(MATCH(INDIRECT("'"&amp;model_name&amp;" case settings'!$C$19:$C$42"),_xlfn._xlws.FILTER(INDIRECT(H77&amp;".scenario"),INDIRECT(H77)=$C77),0))),"-/-"),
IFERROR(_xlfn._xlws.FILTER(INDIRECT("'"&amp;model_name&amp;" case settings'!$C$19:$C$42"),ISNUMBER(MATCH(INDIRECT("'"&amp;model_name&amp;" case settings'!$C$19:$C$42"),_xlfn._xlws.FILTER(INDIRECT(I77&amp;".scenario"),INDIRECT(I77)=$C77),0))),"-/-"),
IFERROR(_xlfn._xlws.FILTER(INDIRECT("'"&amp;model_name&amp;" case settings'!$C$19:$C$42"),ISNUMBER(MATCH(INDIRECT("'"&amp;model_name&amp;" case settings'!$C$19:$C$42"),_xlfn._xlws.FILTER(INDIRECT(J77&amp;".scenario"),INDIRECT(J77)=$C77),0))),"-/-")),
_xlfn._xlws.FILTER(_xlpm.all_scenario_tags,_xlpm.all_scenario_tags&lt;&gt;"-/-","-/-")
))</f>
        <v>-/-</v>
      </c>
      <c r="N77" s="12"/>
      <c r="O77" s="12"/>
      <c r="P77" s="12"/>
      <c r="Q77" s="12"/>
    </row>
    <row r="78" spans="2:17">
      <c r="B78" s="38"/>
      <c r="C78" s="3"/>
      <c r="E78" s="91" t="str" cm="1">
        <f t="array" ref="E78:G78">TRANSPOSE("'"&amp;_xlfn._xlws.FILTER(Lists!$CA$9:$CA$50,B78=Lists!$CC$9:$CC$50)&amp;"'!"&amp;B78)</f>
        <v>''!</v>
      </c>
      <c r="F78" s="91" t="str">
        <v>''!</v>
      </c>
      <c r="G78" s="91" t="str">
        <v>''!</v>
      </c>
      <c r="H78" s="91"/>
      <c r="I78" s="91"/>
      <c r="J78" s="91"/>
      <c r="L78" s="34">
        <f t="shared" ca="1" si="0"/>
        <v>0</v>
      </c>
      <c r="M78" s="12" t="str" cm="1">
        <f t="array" aca="1" ref="M78" ca="1">TRANSPOSE(_xlfn.LET(
_xlpm.all_scenario_tags,
_xlfn.VSTACK(
IFERROR(_xlfn._xlws.FILTER(INDIRECT("'"&amp;model_name&amp;" case settings'!$C$19:$C$42"),ISNUMBER(MATCH(INDIRECT("'"&amp;model_name&amp;" case settings'!$C$19:$C$42"),_xlfn._xlws.FILTER(INDIRECT(E78&amp;".scenario"),INDIRECT(E78)=$C78),0))),"-/-"),
IFERROR(_xlfn._xlws.FILTER(INDIRECT("'"&amp;model_name&amp;" case settings'!$C$19:$C$42"),ISNUMBER(MATCH(INDIRECT("'"&amp;model_name&amp;" case settings'!$C$19:$C$42"),_xlfn._xlws.FILTER(INDIRECT(F78&amp;".scenario"),INDIRECT(F78)=$C78),0))),"-/-"),
IFERROR(_xlfn._xlws.FILTER(INDIRECT("'"&amp;model_name&amp;" case settings'!$C$19:$C$42"),ISNUMBER(MATCH(INDIRECT("'"&amp;model_name&amp;" case settings'!$C$19:$C$42"),_xlfn._xlws.FILTER(INDIRECT(G78&amp;".scenario"),INDIRECT(G78)=$C78),0))),"-/-"),
IFERROR(_xlfn._xlws.FILTER(INDIRECT("'"&amp;model_name&amp;" case settings'!$C$19:$C$42"),ISNUMBER(MATCH(INDIRECT("'"&amp;model_name&amp;" case settings'!$C$19:$C$42"),_xlfn._xlws.FILTER(INDIRECT(H78&amp;".scenario"),INDIRECT(H78)=$C78),0))),"-/-"),
IFERROR(_xlfn._xlws.FILTER(INDIRECT("'"&amp;model_name&amp;" case settings'!$C$19:$C$42"),ISNUMBER(MATCH(INDIRECT("'"&amp;model_name&amp;" case settings'!$C$19:$C$42"),_xlfn._xlws.FILTER(INDIRECT(I78&amp;".scenario"),INDIRECT(I78)=$C78),0))),"-/-"),
IFERROR(_xlfn._xlws.FILTER(INDIRECT("'"&amp;model_name&amp;" case settings'!$C$19:$C$42"),ISNUMBER(MATCH(INDIRECT("'"&amp;model_name&amp;" case settings'!$C$19:$C$42"),_xlfn._xlws.FILTER(INDIRECT(J78&amp;".scenario"),INDIRECT(J78)=$C78),0))),"-/-")),
_xlfn._xlws.FILTER(_xlpm.all_scenario_tags,_xlpm.all_scenario_tags&lt;&gt;"-/-","-/-")
))</f>
        <v>-/-</v>
      </c>
      <c r="N78" s="12"/>
      <c r="O78" s="12"/>
      <c r="P78" s="12"/>
      <c r="Q78" s="12"/>
    </row>
    <row r="79" spans="2:17">
      <c r="B79" s="38"/>
      <c r="C79" s="3"/>
      <c r="E79" s="91" t="str" cm="1">
        <f t="array" ref="E79:G79">TRANSPOSE("'"&amp;_xlfn._xlws.FILTER(Lists!$CA$9:$CA$50,B79=Lists!$CC$9:$CC$50)&amp;"'!"&amp;B79)</f>
        <v>''!</v>
      </c>
      <c r="F79" s="91" t="str">
        <v>''!</v>
      </c>
      <c r="G79" s="91" t="str">
        <v>''!</v>
      </c>
      <c r="H79" s="91"/>
      <c r="I79" s="91"/>
      <c r="J79" s="91"/>
      <c r="L79" s="34">
        <f t="shared" ca="1" si="0"/>
        <v>0</v>
      </c>
      <c r="M79" s="12" t="str" cm="1">
        <f t="array" aca="1" ref="M79" ca="1">TRANSPOSE(_xlfn.LET(
_xlpm.all_scenario_tags,
_xlfn.VSTACK(
IFERROR(_xlfn._xlws.FILTER(INDIRECT("'"&amp;model_name&amp;" case settings'!$C$19:$C$42"),ISNUMBER(MATCH(INDIRECT("'"&amp;model_name&amp;" case settings'!$C$19:$C$42"),_xlfn._xlws.FILTER(INDIRECT(E79&amp;".scenario"),INDIRECT(E79)=$C79),0))),"-/-"),
IFERROR(_xlfn._xlws.FILTER(INDIRECT("'"&amp;model_name&amp;" case settings'!$C$19:$C$42"),ISNUMBER(MATCH(INDIRECT("'"&amp;model_name&amp;" case settings'!$C$19:$C$42"),_xlfn._xlws.FILTER(INDIRECT(F79&amp;".scenario"),INDIRECT(F79)=$C79),0))),"-/-"),
IFERROR(_xlfn._xlws.FILTER(INDIRECT("'"&amp;model_name&amp;" case settings'!$C$19:$C$42"),ISNUMBER(MATCH(INDIRECT("'"&amp;model_name&amp;" case settings'!$C$19:$C$42"),_xlfn._xlws.FILTER(INDIRECT(G79&amp;".scenario"),INDIRECT(G79)=$C79),0))),"-/-"),
IFERROR(_xlfn._xlws.FILTER(INDIRECT("'"&amp;model_name&amp;" case settings'!$C$19:$C$42"),ISNUMBER(MATCH(INDIRECT("'"&amp;model_name&amp;" case settings'!$C$19:$C$42"),_xlfn._xlws.FILTER(INDIRECT(H79&amp;".scenario"),INDIRECT(H79)=$C79),0))),"-/-"),
IFERROR(_xlfn._xlws.FILTER(INDIRECT("'"&amp;model_name&amp;" case settings'!$C$19:$C$42"),ISNUMBER(MATCH(INDIRECT("'"&amp;model_name&amp;" case settings'!$C$19:$C$42"),_xlfn._xlws.FILTER(INDIRECT(I79&amp;".scenario"),INDIRECT(I79)=$C79),0))),"-/-"),
IFERROR(_xlfn._xlws.FILTER(INDIRECT("'"&amp;model_name&amp;" case settings'!$C$19:$C$42"),ISNUMBER(MATCH(INDIRECT("'"&amp;model_name&amp;" case settings'!$C$19:$C$42"),_xlfn._xlws.FILTER(INDIRECT(J79&amp;".scenario"),INDIRECT(J79)=$C79),0))),"-/-")),
_xlfn._xlws.FILTER(_xlpm.all_scenario_tags,_xlpm.all_scenario_tags&lt;&gt;"-/-","-/-")
))</f>
        <v>-/-</v>
      </c>
      <c r="N79" s="12"/>
      <c r="O79" s="12"/>
      <c r="P79" s="12"/>
      <c r="Q79" s="12"/>
    </row>
    <row r="80" spans="2:17">
      <c r="B80" s="38"/>
      <c r="C80" s="3"/>
      <c r="E80" s="91" t="str" cm="1">
        <f t="array" ref="E80:G80">TRANSPOSE("'"&amp;_xlfn._xlws.FILTER(Lists!$CA$9:$CA$50,B80=Lists!$CC$9:$CC$50)&amp;"'!"&amp;B80)</f>
        <v>''!</v>
      </c>
      <c r="F80" s="91" t="str">
        <v>''!</v>
      </c>
      <c r="G80" s="91" t="str">
        <v>''!</v>
      </c>
      <c r="H80" s="91"/>
      <c r="I80" s="91"/>
      <c r="J80" s="91"/>
      <c r="L80" s="34">
        <f t="shared" ca="1" si="0"/>
        <v>0</v>
      </c>
      <c r="M80" s="12" t="str" cm="1">
        <f t="array" aca="1" ref="M80" ca="1">TRANSPOSE(_xlfn.LET(
_xlpm.all_scenario_tags,
_xlfn.VSTACK(
IFERROR(_xlfn._xlws.FILTER(INDIRECT("'"&amp;model_name&amp;" case settings'!$C$19:$C$42"),ISNUMBER(MATCH(INDIRECT("'"&amp;model_name&amp;" case settings'!$C$19:$C$42"),_xlfn._xlws.FILTER(INDIRECT(E80&amp;".scenario"),INDIRECT(E80)=$C80),0))),"-/-"),
IFERROR(_xlfn._xlws.FILTER(INDIRECT("'"&amp;model_name&amp;" case settings'!$C$19:$C$42"),ISNUMBER(MATCH(INDIRECT("'"&amp;model_name&amp;" case settings'!$C$19:$C$42"),_xlfn._xlws.FILTER(INDIRECT(F80&amp;".scenario"),INDIRECT(F80)=$C80),0))),"-/-"),
IFERROR(_xlfn._xlws.FILTER(INDIRECT("'"&amp;model_name&amp;" case settings'!$C$19:$C$42"),ISNUMBER(MATCH(INDIRECT("'"&amp;model_name&amp;" case settings'!$C$19:$C$42"),_xlfn._xlws.FILTER(INDIRECT(G80&amp;".scenario"),INDIRECT(G80)=$C80),0))),"-/-"),
IFERROR(_xlfn._xlws.FILTER(INDIRECT("'"&amp;model_name&amp;" case settings'!$C$19:$C$42"),ISNUMBER(MATCH(INDIRECT("'"&amp;model_name&amp;" case settings'!$C$19:$C$42"),_xlfn._xlws.FILTER(INDIRECT(H80&amp;".scenario"),INDIRECT(H80)=$C80),0))),"-/-"),
IFERROR(_xlfn._xlws.FILTER(INDIRECT("'"&amp;model_name&amp;" case settings'!$C$19:$C$42"),ISNUMBER(MATCH(INDIRECT("'"&amp;model_name&amp;" case settings'!$C$19:$C$42"),_xlfn._xlws.FILTER(INDIRECT(I80&amp;".scenario"),INDIRECT(I80)=$C80),0))),"-/-"),
IFERROR(_xlfn._xlws.FILTER(INDIRECT("'"&amp;model_name&amp;" case settings'!$C$19:$C$42"),ISNUMBER(MATCH(INDIRECT("'"&amp;model_name&amp;" case settings'!$C$19:$C$42"),_xlfn._xlws.FILTER(INDIRECT(J80&amp;".scenario"),INDIRECT(J80)=$C80),0))),"-/-")),
_xlfn._xlws.FILTER(_xlpm.all_scenario_tags,_xlpm.all_scenario_tags&lt;&gt;"-/-","-/-")
))</f>
        <v>-/-</v>
      </c>
      <c r="N80" s="12"/>
      <c r="O80" s="12"/>
      <c r="P80" s="12"/>
      <c r="Q80" s="12"/>
    </row>
    <row r="81" spans="2:17">
      <c r="B81" s="38"/>
      <c r="C81" s="3"/>
      <c r="E81" s="91" t="str" cm="1">
        <f t="array" ref="E81:G81">TRANSPOSE("'"&amp;_xlfn._xlws.FILTER(Lists!$CA$9:$CA$50,B81=Lists!$CC$9:$CC$50)&amp;"'!"&amp;B81)</f>
        <v>''!</v>
      </c>
      <c r="F81" s="91" t="str">
        <v>''!</v>
      </c>
      <c r="G81" s="91" t="str">
        <v>''!</v>
      </c>
      <c r="H81" s="91"/>
      <c r="I81" s="91"/>
      <c r="J81" s="91"/>
      <c r="L81" s="34">
        <f t="shared" ca="1" si="0"/>
        <v>0</v>
      </c>
      <c r="M81" s="12" t="str" cm="1">
        <f t="array" aca="1" ref="M81" ca="1">TRANSPOSE(_xlfn.LET(
_xlpm.all_scenario_tags,
_xlfn.VSTACK(
IFERROR(_xlfn._xlws.FILTER(INDIRECT("'"&amp;model_name&amp;" case settings'!$C$19:$C$42"),ISNUMBER(MATCH(INDIRECT("'"&amp;model_name&amp;" case settings'!$C$19:$C$42"),_xlfn._xlws.FILTER(INDIRECT(E81&amp;".scenario"),INDIRECT(E81)=$C81),0))),"-/-"),
IFERROR(_xlfn._xlws.FILTER(INDIRECT("'"&amp;model_name&amp;" case settings'!$C$19:$C$42"),ISNUMBER(MATCH(INDIRECT("'"&amp;model_name&amp;" case settings'!$C$19:$C$42"),_xlfn._xlws.FILTER(INDIRECT(F81&amp;".scenario"),INDIRECT(F81)=$C81),0))),"-/-"),
IFERROR(_xlfn._xlws.FILTER(INDIRECT("'"&amp;model_name&amp;" case settings'!$C$19:$C$42"),ISNUMBER(MATCH(INDIRECT("'"&amp;model_name&amp;" case settings'!$C$19:$C$42"),_xlfn._xlws.FILTER(INDIRECT(G81&amp;".scenario"),INDIRECT(G81)=$C81),0))),"-/-"),
IFERROR(_xlfn._xlws.FILTER(INDIRECT("'"&amp;model_name&amp;" case settings'!$C$19:$C$42"),ISNUMBER(MATCH(INDIRECT("'"&amp;model_name&amp;" case settings'!$C$19:$C$42"),_xlfn._xlws.FILTER(INDIRECT(H81&amp;".scenario"),INDIRECT(H81)=$C81),0))),"-/-"),
IFERROR(_xlfn._xlws.FILTER(INDIRECT("'"&amp;model_name&amp;" case settings'!$C$19:$C$42"),ISNUMBER(MATCH(INDIRECT("'"&amp;model_name&amp;" case settings'!$C$19:$C$42"),_xlfn._xlws.FILTER(INDIRECT(I81&amp;".scenario"),INDIRECT(I81)=$C81),0))),"-/-"),
IFERROR(_xlfn._xlws.FILTER(INDIRECT("'"&amp;model_name&amp;" case settings'!$C$19:$C$42"),ISNUMBER(MATCH(INDIRECT("'"&amp;model_name&amp;" case settings'!$C$19:$C$42"),_xlfn._xlws.FILTER(INDIRECT(J81&amp;".scenario"),INDIRECT(J81)=$C81),0))),"-/-")),
_xlfn._xlws.FILTER(_xlpm.all_scenario_tags,_xlpm.all_scenario_tags&lt;&gt;"-/-","-/-")
))</f>
        <v>-/-</v>
      </c>
      <c r="N81" s="12"/>
      <c r="O81" s="12"/>
      <c r="P81" s="12"/>
      <c r="Q81" s="12"/>
    </row>
    <row r="82" spans="2:17">
      <c r="B82" s="38"/>
      <c r="C82" s="3"/>
      <c r="E82" s="91" t="str" cm="1">
        <f t="array" ref="E82:G82">TRANSPOSE("'"&amp;_xlfn._xlws.FILTER(Lists!$CA$9:$CA$50,B82=Lists!$CC$9:$CC$50)&amp;"'!"&amp;B82)</f>
        <v>''!</v>
      </c>
      <c r="F82" s="91" t="str">
        <v>''!</v>
      </c>
      <c r="G82" s="91" t="str">
        <v>''!</v>
      </c>
      <c r="H82" s="91"/>
      <c r="I82" s="91"/>
      <c r="J82" s="91"/>
      <c r="L82" s="34">
        <f t="shared" ca="1" si="0"/>
        <v>0</v>
      </c>
      <c r="M82" s="12" t="str" cm="1">
        <f t="array" aca="1" ref="M82" ca="1">TRANSPOSE(_xlfn.LET(
_xlpm.all_scenario_tags,
_xlfn.VSTACK(
IFERROR(_xlfn._xlws.FILTER(INDIRECT("'"&amp;model_name&amp;" case settings'!$C$19:$C$42"),ISNUMBER(MATCH(INDIRECT("'"&amp;model_name&amp;" case settings'!$C$19:$C$42"),_xlfn._xlws.FILTER(INDIRECT(E82&amp;".scenario"),INDIRECT(E82)=$C82),0))),"-/-"),
IFERROR(_xlfn._xlws.FILTER(INDIRECT("'"&amp;model_name&amp;" case settings'!$C$19:$C$42"),ISNUMBER(MATCH(INDIRECT("'"&amp;model_name&amp;" case settings'!$C$19:$C$42"),_xlfn._xlws.FILTER(INDIRECT(F82&amp;".scenario"),INDIRECT(F82)=$C82),0))),"-/-"),
IFERROR(_xlfn._xlws.FILTER(INDIRECT("'"&amp;model_name&amp;" case settings'!$C$19:$C$42"),ISNUMBER(MATCH(INDIRECT("'"&amp;model_name&amp;" case settings'!$C$19:$C$42"),_xlfn._xlws.FILTER(INDIRECT(G82&amp;".scenario"),INDIRECT(G82)=$C82),0))),"-/-"),
IFERROR(_xlfn._xlws.FILTER(INDIRECT("'"&amp;model_name&amp;" case settings'!$C$19:$C$42"),ISNUMBER(MATCH(INDIRECT("'"&amp;model_name&amp;" case settings'!$C$19:$C$42"),_xlfn._xlws.FILTER(INDIRECT(H82&amp;".scenario"),INDIRECT(H82)=$C82),0))),"-/-"),
IFERROR(_xlfn._xlws.FILTER(INDIRECT("'"&amp;model_name&amp;" case settings'!$C$19:$C$42"),ISNUMBER(MATCH(INDIRECT("'"&amp;model_name&amp;" case settings'!$C$19:$C$42"),_xlfn._xlws.FILTER(INDIRECT(I82&amp;".scenario"),INDIRECT(I82)=$C82),0))),"-/-"),
IFERROR(_xlfn._xlws.FILTER(INDIRECT("'"&amp;model_name&amp;" case settings'!$C$19:$C$42"),ISNUMBER(MATCH(INDIRECT("'"&amp;model_name&amp;" case settings'!$C$19:$C$42"),_xlfn._xlws.FILTER(INDIRECT(J82&amp;".scenario"),INDIRECT(J82)=$C82),0))),"-/-")),
_xlfn._xlws.FILTER(_xlpm.all_scenario_tags,_xlpm.all_scenario_tags&lt;&gt;"-/-","-/-")
))</f>
        <v>-/-</v>
      </c>
      <c r="N82" s="12"/>
      <c r="O82" s="12"/>
      <c r="P82" s="12"/>
      <c r="Q82" s="12"/>
    </row>
    <row r="83" spans="2:17">
      <c r="B83" s="38"/>
      <c r="C83" s="3"/>
      <c r="E83" s="91" t="str" cm="1">
        <f t="array" ref="E83:G83">TRANSPOSE("'"&amp;_xlfn._xlws.FILTER(Lists!$CA$9:$CA$50,B83=Lists!$CC$9:$CC$50)&amp;"'!"&amp;B83)</f>
        <v>''!</v>
      </c>
      <c r="F83" s="91" t="str">
        <v>''!</v>
      </c>
      <c r="G83" s="91" t="str">
        <v>''!</v>
      </c>
      <c r="H83" s="91"/>
      <c r="I83" s="91"/>
      <c r="J83" s="91"/>
      <c r="L83" s="34">
        <f t="shared" ca="1" si="0"/>
        <v>0</v>
      </c>
      <c r="M83" s="12" t="str" cm="1">
        <f t="array" aca="1" ref="M83" ca="1">TRANSPOSE(_xlfn.LET(
_xlpm.all_scenario_tags,
_xlfn.VSTACK(
IFERROR(_xlfn._xlws.FILTER(INDIRECT("'"&amp;model_name&amp;" case settings'!$C$19:$C$42"),ISNUMBER(MATCH(INDIRECT("'"&amp;model_name&amp;" case settings'!$C$19:$C$42"),_xlfn._xlws.FILTER(INDIRECT(E83&amp;".scenario"),INDIRECT(E83)=$C83),0))),"-/-"),
IFERROR(_xlfn._xlws.FILTER(INDIRECT("'"&amp;model_name&amp;" case settings'!$C$19:$C$42"),ISNUMBER(MATCH(INDIRECT("'"&amp;model_name&amp;" case settings'!$C$19:$C$42"),_xlfn._xlws.FILTER(INDIRECT(F83&amp;".scenario"),INDIRECT(F83)=$C83),0))),"-/-"),
IFERROR(_xlfn._xlws.FILTER(INDIRECT("'"&amp;model_name&amp;" case settings'!$C$19:$C$42"),ISNUMBER(MATCH(INDIRECT("'"&amp;model_name&amp;" case settings'!$C$19:$C$42"),_xlfn._xlws.FILTER(INDIRECT(G83&amp;".scenario"),INDIRECT(G83)=$C83),0))),"-/-"),
IFERROR(_xlfn._xlws.FILTER(INDIRECT("'"&amp;model_name&amp;" case settings'!$C$19:$C$42"),ISNUMBER(MATCH(INDIRECT("'"&amp;model_name&amp;" case settings'!$C$19:$C$42"),_xlfn._xlws.FILTER(INDIRECT(H83&amp;".scenario"),INDIRECT(H83)=$C83),0))),"-/-"),
IFERROR(_xlfn._xlws.FILTER(INDIRECT("'"&amp;model_name&amp;" case settings'!$C$19:$C$42"),ISNUMBER(MATCH(INDIRECT("'"&amp;model_name&amp;" case settings'!$C$19:$C$42"),_xlfn._xlws.FILTER(INDIRECT(I83&amp;".scenario"),INDIRECT(I83)=$C83),0))),"-/-"),
IFERROR(_xlfn._xlws.FILTER(INDIRECT("'"&amp;model_name&amp;" case settings'!$C$19:$C$42"),ISNUMBER(MATCH(INDIRECT("'"&amp;model_name&amp;" case settings'!$C$19:$C$42"),_xlfn._xlws.FILTER(INDIRECT(J83&amp;".scenario"),INDIRECT(J83)=$C83),0))),"-/-")),
_xlfn._xlws.FILTER(_xlpm.all_scenario_tags,_xlpm.all_scenario_tags&lt;&gt;"-/-","-/-")
))</f>
        <v>-/-</v>
      </c>
      <c r="N83" s="12"/>
      <c r="O83" s="12"/>
      <c r="P83" s="12"/>
      <c r="Q83" s="12"/>
    </row>
    <row r="84" spans="2:17">
      <c r="B84" s="38"/>
      <c r="C84" s="3"/>
      <c r="E84" s="91" t="str" cm="1">
        <f t="array" ref="E84:G84">TRANSPOSE("'"&amp;_xlfn._xlws.FILTER(Lists!$CA$9:$CA$50,B84=Lists!$CC$9:$CC$50)&amp;"'!"&amp;B84)</f>
        <v>''!</v>
      </c>
      <c r="F84" s="91" t="str">
        <v>''!</v>
      </c>
      <c r="G84" s="91" t="str">
        <v>''!</v>
      </c>
      <c r="H84" s="91"/>
      <c r="I84" s="91"/>
      <c r="J84" s="91"/>
      <c r="L84" s="34">
        <f t="shared" ca="1" si="0"/>
        <v>0</v>
      </c>
      <c r="M84" s="12" t="str" cm="1">
        <f t="array" aca="1" ref="M84" ca="1">TRANSPOSE(_xlfn.LET(
_xlpm.all_scenario_tags,
_xlfn.VSTACK(
IFERROR(_xlfn._xlws.FILTER(INDIRECT("'"&amp;model_name&amp;" case settings'!$C$19:$C$42"),ISNUMBER(MATCH(INDIRECT("'"&amp;model_name&amp;" case settings'!$C$19:$C$42"),_xlfn._xlws.FILTER(INDIRECT(E84&amp;".scenario"),INDIRECT(E84)=$C84),0))),"-/-"),
IFERROR(_xlfn._xlws.FILTER(INDIRECT("'"&amp;model_name&amp;" case settings'!$C$19:$C$42"),ISNUMBER(MATCH(INDIRECT("'"&amp;model_name&amp;" case settings'!$C$19:$C$42"),_xlfn._xlws.FILTER(INDIRECT(F84&amp;".scenario"),INDIRECT(F84)=$C84),0))),"-/-"),
IFERROR(_xlfn._xlws.FILTER(INDIRECT("'"&amp;model_name&amp;" case settings'!$C$19:$C$42"),ISNUMBER(MATCH(INDIRECT("'"&amp;model_name&amp;" case settings'!$C$19:$C$42"),_xlfn._xlws.FILTER(INDIRECT(G84&amp;".scenario"),INDIRECT(G84)=$C84),0))),"-/-"),
IFERROR(_xlfn._xlws.FILTER(INDIRECT("'"&amp;model_name&amp;" case settings'!$C$19:$C$42"),ISNUMBER(MATCH(INDIRECT("'"&amp;model_name&amp;" case settings'!$C$19:$C$42"),_xlfn._xlws.FILTER(INDIRECT(H84&amp;".scenario"),INDIRECT(H84)=$C84),0))),"-/-"),
IFERROR(_xlfn._xlws.FILTER(INDIRECT("'"&amp;model_name&amp;" case settings'!$C$19:$C$42"),ISNUMBER(MATCH(INDIRECT("'"&amp;model_name&amp;" case settings'!$C$19:$C$42"),_xlfn._xlws.FILTER(INDIRECT(I84&amp;".scenario"),INDIRECT(I84)=$C84),0))),"-/-"),
IFERROR(_xlfn._xlws.FILTER(INDIRECT("'"&amp;model_name&amp;" case settings'!$C$19:$C$42"),ISNUMBER(MATCH(INDIRECT("'"&amp;model_name&amp;" case settings'!$C$19:$C$42"),_xlfn._xlws.FILTER(INDIRECT(J84&amp;".scenario"),INDIRECT(J84)=$C84),0))),"-/-")),
_xlfn._xlws.FILTER(_xlpm.all_scenario_tags,_xlpm.all_scenario_tags&lt;&gt;"-/-","-/-")
))</f>
        <v>-/-</v>
      </c>
      <c r="N84" s="12"/>
      <c r="O84" s="12"/>
      <c r="P84" s="12"/>
      <c r="Q84" s="12"/>
    </row>
    <row r="85" spans="2:17">
      <c r="B85" s="38"/>
      <c r="C85" s="3"/>
      <c r="E85" s="91" t="str" cm="1">
        <f t="array" ref="E85:G85">TRANSPOSE("'"&amp;_xlfn._xlws.FILTER(Lists!$CA$9:$CA$50,B85=Lists!$CC$9:$CC$50)&amp;"'!"&amp;B85)</f>
        <v>''!</v>
      </c>
      <c r="F85" s="91" t="str">
        <v>''!</v>
      </c>
      <c r="G85" s="91" t="str">
        <v>''!</v>
      </c>
      <c r="H85" s="91"/>
      <c r="I85" s="91"/>
      <c r="J85" s="91"/>
      <c r="L85" s="34">
        <f t="shared" ref="L85:L120" ca="1" si="1">COUNTIFS(M85:Q85,"&lt;&gt;"&amp;"")-COUNTIFS(M85:Q85,"-/-")</f>
        <v>0</v>
      </c>
      <c r="M85" s="12" t="str" cm="1">
        <f t="array" aca="1" ref="M85" ca="1">TRANSPOSE(_xlfn.LET(
_xlpm.all_scenario_tags,
_xlfn.VSTACK(
IFERROR(_xlfn._xlws.FILTER(INDIRECT("'"&amp;model_name&amp;" case settings'!$C$19:$C$42"),ISNUMBER(MATCH(INDIRECT("'"&amp;model_name&amp;" case settings'!$C$19:$C$42"),_xlfn._xlws.FILTER(INDIRECT(E85&amp;".scenario"),INDIRECT(E85)=$C85),0))),"-/-"),
IFERROR(_xlfn._xlws.FILTER(INDIRECT("'"&amp;model_name&amp;" case settings'!$C$19:$C$42"),ISNUMBER(MATCH(INDIRECT("'"&amp;model_name&amp;" case settings'!$C$19:$C$42"),_xlfn._xlws.FILTER(INDIRECT(F85&amp;".scenario"),INDIRECT(F85)=$C85),0))),"-/-"),
IFERROR(_xlfn._xlws.FILTER(INDIRECT("'"&amp;model_name&amp;" case settings'!$C$19:$C$42"),ISNUMBER(MATCH(INDIRECT("'"&amp;model_name&amp;" case settings'!$C$19:$C$42"),_xlfn._xlws.FILTER(INDIRECT(G85&amp;".scenario"),INDIRECT(G85)=$C85),0))),"-/-"),
IFERROR(_xlfn._xlws.FILTER(INDIRECT("'"&amp;model_name&amp;" case settings'!$C$19:$C$42"),ISNUMBER(MATCH(INDIRECT("'"&amp;model_name&amp;" case settings'!$C$19:$C$42"),_xlfn._xlws.FILTER(INDIRECT(H85&amp;".scenario"),INDIRECT(H85)=$C85),0))),"-/-"),
IFERROR(_xlfn._xlws.FILTER(INDIRECT("'"&amp;model_name&amp;" case settings'!$C$19:$C$42"),ISNUMBER(MATCH(INDIRECT("'"&amp;model_name&amp;" case settings'!$C$19:$C$42"),_xlfn._xlws.FILTER(INDIRECT(I85&amp;".scenario"),INDIRECT(I85)=$C85),0))),"-/-"),
IFERROR(_xlfn._xlws.FILTER(INDIRECT("'"&amp;model_name&amp;" case settings'!$C$19:$C$42"),ISNUMBER(MATCH(INDIRECT("'"&amp;model_name&amp;" case settings'!$C$19:$C$42"),_xlfn._xlws.FILTER(INDIRECT(J85&amp;".scenario"),INDIRECT(J85)=$C85),0))),"-/-")),
_xlfn._xlws.FILTER(_xlpm.all_scenario_tags,_xlpm.all_scenario_tags&lt;&gt;"-/-","-/-")
))</f>
        <v>-/-</v>
      </c>
      <c r="N85" s="12"/>
      <c r="O85" s="12"/>
      <c r="P85" s="12"/>
      <c r="Q85" s="12"/>
    </row>
    <row r="86" spans="2:17">
      <c r="B86" s="38"/>
      <c r="C86" s="3"/>
      <c r="E86" s="91" t="str" cm="1">
        <f t="array" ref="E86:G86">TRANSPOSE("'"&amp;_xlfn._xlws.FILTER(Lists!$CA$9:$CA$50,B86=Lists!$CC$9:$CC$50)&amp;"'!"&amp;B86)</f>
        <v>''!</v>
      </c>
      <c r="F86" s="91" t="str">
        <v>''!</v>
      </c>
      <c r="G86" s="91" t="str">
        <v>''!</v>
      </c>
      <c r="H86" s="91"/>
      <c r="I86" s="91"/>
      <c r="J86" s="91"/>
      <c r="L86" s="34">
        <f t="shared" ca="1" si="1"/>
        <v>0</v>
      </c>
      <c r="M86" s="12" t="str" cm="1">
        <f t="array" aca="1" ref="M86" ca="1">TRANSPOSE(_xlfn.LET(
_xlpm.all_scenario_tags,
_xlfn.VSTACK(
IFERROR(_xlfn._xlws.FILTER(INDIRECT("'"&amp;model_name&amp;" case settings'!$C$19:$C$42"),ISNUMBER(MATCH(INDIRECT("'"&amp;model_name&amp;" case settings'!$C$19:$C$42"),_xlfn._xlws.FILTER(INDIRECT(E86&amp;".scenario"),INDIRECT(E86)=$C86),0))),"-/-"),
IFERROR(_xlfn._xlws.FILTER(INDIRECT("'"&amp;model_name&amp;" case settings'!$C$19:$C$42"),ISNUMBER(MATCH(INDIRECT("'"&amp;model_name&amp;" case settings'!$C$19:$C$42"),_xlfn._xlws.FILTER(INDIRECT(F86&amp;".scenario"),INDIRECT(F86)=$C86),0))),"-/-"),
IFERROR(_xlfn._xlws.FILTER(INDIRECT("'"&amp;model_name&amp;" case settings'!$C$19:$C$42"),ISNUMBER(MATCH(INDIRECT("'"&amp;model_name&amp;" case settings'!$C$19:$C$42"),_xlfn._xlws.FILTER(INDIRECT(G86&amp;".scenario"),INDIRECT(G86)=$C86),0))),"-/-"),
IFERROR(_xlfn._xlws.FILTER(INDIRECT("'"&amp;model_name&amp;" case settings'!$C$19:$C$42"),ISNUMBER(MATCH(INDIRECT("'"&amp;model_name&amp;" case settings'!$C$19:$C$42"),_xlfn._xlws.FILTER(INDIRECT(H86&amp;".scenario"),INDIRECT(H86)=$C86),0))),"-/-"),
IFERROR(_xlfn._xlws.FILTER(INDIRECT("'"&amp;model_name&amp;" case settings'!$C$19:$C$42"),ISNUMBER(MATCH(INDIRECT("'"&amp;model_name&amp;" case settings'!$C$19:$C$42"),_xlfn._xlws.FILTER(INDIRECT(I86&amp;".scenario"),INDIRECT(I86)=$C86),0))),"-/-"),
IFERROR(_xlfn._xlws.FILTER(INDIRECT("'"&amp;model_name&amp;" case settings'!$C$19:$C$42"),ISNUMBER(MATCH(INDIRECT("'"&amp;model_name&amp;" case settings'!$C$19:$C$42"),_xlfn._xlws.FILTER(INDIRECT(J86&amp;".scenario"),INDIRECT(J86)=$C86),0))),"-/-")),
_xlfn._xlws.FILTER(_xlpm.all_scenario_tags,_xlpm.all_scenario_tags&lt;&gt;"-/-","-/-")
))</f>
        <v>-/-</v>
      </c>
      <c r="N86" s="12"/>
      <c r="O86" s="12"/>
      <c r="P86" s="12"/>
      <c r="Q86" s="12"/>
    </row>
    <row r="87" spans="2:17">
      <c r="B87" s="38"/>
      <c r="C87" s="3"/>
      <c r="E87" s="91" t="str" cm="1">
        <f t="array" ref="E87:G87">TRANSPOSE("'"&amp;_xlfn._xlws.FILTER(Lists!$CA$9:$CA$50,B87=Lists!$CC$9:$CC$50)&amp;"'!"&amp;B87)</f>
        <v>''!</v>
      </c>
      <c r="F87" s="91" t="str">
        <v>''!</v>
      </c>
      <c r="G87" s="91" t="str">
        <v>''!</v>
      </c>
      <c r="H87" s="91"/>
      <c r="I87" s="91"/>
      <c r="J87" s="91"/>
      <c r="L87" s="34">
        <f t="shared" ca="1" si="1"/>
        <v>0</v>
      </c>
      <c r="M87" s="12" t="str" cm="1">
        <f t="array" aca="1" ref="M87" ca="1">TRANSPOSE(_xlfn.LET(
_xlpm.all_scenario_tags,
_xlfn.VSTACK(
IFERROR(_xlfn._xlws.FILTER(INDIRECT("'"&amp;model_name&amp;" case settings'!$C$19:$C$42"),ISNUMBER(MATCH(INDIRECT("'"&amp;model_name&amp;" case settings'!$C$19:$C$42"),_xlfn._xlws.FILTER(INDIRECT(E87&amp;".scenario"),INDIRECT(E87)=$C87),0))),"-/-"),
IFERROR(_xlfn._xlws.FILTER(INDIRECT("'"&amp;model_name&amp;" case settings'!$C$19:$C$42"),ISNUMBER(MATCH(INDIRECT("'"&amp;model_name&amp;" case settings'!$C$19:$C$42"),_xlfn._xlws.FILTER(INDIRECT(F87&amp;".scenario"),INDIRECT(F87)=$C87),0))),"-/-"),
IFERROR(_xlfn._xlws.FILTER(INDIRECT("'"&amp;model_name&amp;" case settings'!$C$19:$C$42"),ISNUMBER(MATCH(INDIRECT("'"&amp;model_name&amp;" case settings'!$C$19:$C$42"),_xlfn._xlws.FILTER(INDIRECT(G87&amp;".scenario"),INDIRECT(G87)=$C87),0))),"-/-"),
IFERROR(_xlfn._xlws.FILTER(INDIRECT("'"&amp;model_name&amp;" case settings'!$C$19:$C$42"),ISNUMBER(MATCH(INDIRECT("'"&amp;model_name&amp;" case settings'!$C$19:$C$42"),_xlfn._xlws.FILTER(INDIRECT(H87&amp;".scenario"),INDIRECT(H87)=$C87),0))),"-/-"),
IFERROR(_xlfn._xlws.FILTER(INDIRECT("'"&amp;model_name&amp;" case settings'!$C$19:$C$42"),ISNUMBER(MATCH(INDIRECT("'"&amp;model_name&amp;" case settings'!$C$19:$C$42"),_xlfn._xlws.FILTER(INDIRECT(I87&amp;".scenario"),INDIRECT(I87)=$C87),0))),"-/-"),
IFERROR(_xlfn._xlws.FILTER(INDIRECT("'"&amp;model_name&amp;" case settings'!$C$19:$C$42"),ISNUMBER(MATCH(INDIRECT("'"&amp;model_name&amp;" case settings'!$C$19:$C$42"),_xlfn._xlws.FILTER(INDIRECT(J87&amp;".scenario"),INDIRECT(J87)=$C87),0))),"-/-")),
_xlfn._xlws.FILTER(_xlpm.all_scenario_tags,_xlpm.all_scenario_tags&lt;&gt;"-/-","-/-")
))</f>
        <v>-/-</v>
      </c>
      <c r="N87" s="12"/>
      <c r="O87" s="12"/>
      <c r="P87" s="12"/>
      <c r="Q87" s="12"/>
    </row>
    <row r="88" spans="2:17">
      <c r="B88" s="38"/>
      <c r="C88" s="3"/>
      <c r="E88" s="91" t="str" cm="1">
        <f t="array" ref="E88:G88">TRANSPOSE("'"&amp;_xlfn._xlws.FILTER(Lists!$CA$9:$CA$50,B88=Lists!$CC$9:$CC$50)&amp;"'!"&amp;B88)</f>
        <v>''!</v>
      </c>
      <c r="F88" s="91" t="str">
        <v>''!</v>
      </c>
      <c r="G88" s="91" t="str">
        <v>''!</v>
      </c>
      <c r="H88" s="91"/>
      <c r="I88" s="91"/>
      <c r="J88" s="91"/>
      <c r="L88" s="34">
        <f t="shared" ca="1" si="1"/>
        <v>0</v>
      </c>
      <c r="M88" s="12" t="str" cm="1">
        <f t="array" aca="1" ref="M88" ca="1">TRANSPOSE(_xlfn.LET(
_xlpm.all_scenario_tags,
_xlfn.VSTACK(
IFERROR(_xlfn._xlws.FILTER(INDIRECT("'"&amp;model_name&amp;" case settings'!$C$19:$C$42"),ISNUMBER(MATCH(INDIRECT("'"&amp;model_name&amp;" case settings'!$C$19:$C$42"),_xlfn._xlws.FILTER(INDIRECT(E88&amp;".scenario"),INDIRECT(E88)=$C88),0))),"-/-"),
IFERROR(_xlfn._xlws.FILTER(INDIRECT("'"&amp;model_name&amp;" case settings'!$C$19:$C$42"),ISNUMBER(MATCH(INDIRECT("'"&amp;model_name&amp;" case settings'!$C$19:$C$42"),_xlfn._xlws.FILTER(INDIRECT(F88&amp;".scenario"),INDIRECT(F88)=$C88),0))),"-/-"),
IFERROR(_xlfn._xlws.FILTER(INDIRECT("'"&amp;model_name&amp;" case settings'!$C$19:$C$42"),ISNUMBER(MATCH(INDIRECT("'"&amp;model_name&amp;" case settings'!$C$19:$C$42"),_xlfn._xlws.FILTER(INDIRECT(G88&amp;".scenario"),INDIRECT(G88)=$C88),0))),"-/-"),
IFERROR(_xlfn._xlws.FILTER(INDIRECT("'"&amp;model_name&amp;" case settings'!$C$19:$C$42"),ISNUMBER(MATCH(INDIRECT("'"&amp;model_name&amp;" case settings'!$C$19:$C$42"),_xlfn._xlws.FILTER(INDIRECT(H88&amp;".scenario"),INDIRECT(H88)=$C88),0))),"-/-"),
IFERROR(_xlfn._xlws.FILTER(INDIRECT("'"&amp;model_name&amp;" case settings'!$C$19:$C$42"),ISNUMBER(MATCH(INDIRECT("'"&amp;model_name&amp;" case settings'!$C$19:$C$42"),_xlfn._xlws.FILTER(INDIRECT(I88&amp;".scenario"),INDIRECT(I88)=$C88),0))),"-/-"),
IFERROR(_xlfn._xlws.FILTER(INDIRECT("'"&amp;model_name&amp;" case settings'!$C$19:$C$42"),ISNUMBER(MATCH(INDIRECT("'"&amp;model_name&amp;" case settings'!$C$19:$C$42"),_xlfn._xlws.FILTER(INDIRECT(J88&amp;".scenario"),INDIRECT(J88)=$C88),0))),"-/-")),
_xlfn._xlws.FILTER(_xlpm.all_scenario_tags,_xlpm.all_scenario_tags&lt;&gt;"-/-","-/-")
))</f>
        <v>-/-</v>
      </c>
      <c r="N88" s="12"/>
      <c r="O88" s="12"/>
      <c r="P88" s="12"/>
      <c r="Q88" s="12"/>
    </row>
    <row r="89" spans="2:17">
      <c r="B89" s="38"/>
      <c r="C89" s="3"/>
      <c r="E89" s="91" t="str" cm="1">
        <f t="array" ref="E89:G89">TRANSPOSE("'"&amp;_xlfn._xlws.FILTER(Lists!$CA$9:$CA$50,B89=Lists!$CC$9:$CC$50)&amp;"'!"&amp;B89)</f>
        <v>''!</v>
      </c>
      <c r="F89" s="91" t="str">
        <v>''!</v>
      </c>
      <c r="G89" s="91" t="str">
        <v>''!</v>
      </c>
      <c r="H89" s="91"/>
      <c r="I89" s="91"/>
      <c r="J89" s="91"/>
      <c r="L89" s="34">
        <f t="shared" ca="1" si="1"/>
        <v>0</v>
      </c>
      <c r="M89" s="12" t="str" cm="1">
        <f t="array" aca="1" ref="M89" ca="1">TRANSPOSE(_xlfn.LET(
_xlpm.all_scenario_tags,
_xlfn.VSTACK(
IFERROR(_xlfn._xlws.FILTER(INDIRECT("'"&amp;model_name&amp;" case settings'!$C$19:$C$42"),ISNUMBER(MATCH(INDIRECT("'"&amp;model_name&amp;" case settings'!$C$19:$C$42"),_xlfn._xlws.FILTER(INDIRECT(E89&amp;".scenario"),INDIRECT(E89)=$C89),0))),"-/-"),
IFERROR(_xlfn._xlws.FILTER(INDIRECT("'"&amp;model_name&amp;" case settings'!$C$19:$C$42"),ISNUMBER(MATCH(INDIRECT("'"&amp;model_name&amp;" case settings'!$C$19:$C$42"),_xlfn._xlws.FILTER(INDIRECT(F89&amp;".scenario"),INDIRECT(F89)=$C89),0))),"-/-"),
IFERROR(_xlfn._xlws.FILTER(INDIRECT("'"&amp;model_name&amp;" case settings'!$C$19:$C$42"),ISNUMBER(MATCH(INDIRECT("'"&amp;model_name&amp;" case settings'!$C$19:$C$42"),_xlfn._xlws.FILTER(INDIRECT(G89&amp;".scenario"),INDIRECT(G89)=$C89),0))),"-/-"),
IFERROR(_xlfn._xlws.FILTER(INDIRECT("'"&amp;model_name&amp;" case settings'!$C$19:$C$42"),ISNUMBER(MATCH(INDIRECT("'"&amp;model_name&amp;" case settings'!$C$19:$C$42"),_xlfn._xlws.FILTER(INDIRECT(H89&amp;".scenario"),INDIRECT(H89)=$C89),0))),"-/-"),
IFERROR(_xlfn._xlws.FILTER(INDIRECT("'"&amp;model_name&amp;" case settings'!$C$19:$C$42"),ISNUMBER(MATCH(INDIRECT("'"&amp;model_name&amp;" case settings'!$C$19:$C$42"),_xlfn._xlws.FILTER(INDIRECT(I89&amp;".scenario"),INDIRECT(I89)=$C89),0))),"-/-"),
IFERROR(_xlfn._xlws.FILTER(INDIRECT("'"&amp;model_name&amp;" case settings'!$C$19:$C$42"),ISNUMBER(MATCH(INDIRECT("'"&amp;model_name&amp;" case settings'!$C$19:$C$42"),_xlfn._xlws.FILTER(INDIRECT(J89&amp;".scenario"),INDIRECT(J89)=$C89),0))),"-/-")),
_xlfn._xlws.FILTER(_xlpm.all_scenario_tags,_xlpm.all_scenario_tags&lt;&gt;"-/-","-/-")
))</f>
        <v>-/-</v>
      </c>
      <c r="N89" s="12"/>
      <c r="O89" s="12"/>
      <c r="P89" s="12"/>
      <c r="Q89" s="12"/>
    </row>
    <row r="90" spans="2:17">
      <c r="B90" s="38"/>
      <c r="C90" s="3"/>
      <c r="E90" s="91" t="str" cm="1">
        <f t="array" ref="E90:G90">TRANSPOSE("'"&amp;_xlfn._xlws.FILTER(Lists!$CA$9:$CA$50,B90=Lists!$CC$9:$CC$50)&amp;"'!"&amp;B90)</f>
        <v>''!</v>
      </c>
      <c r="F90" s="91" t="str">
        <v>''!</v>
      </c>
      <c r="G90" s="91" t="str">
        <v>''!</v>
      </c>
      <c r="H90" s="91"/>
      <c r="I90" s="91"/>
      <c r="J90" s="91"/>
      <c r="L90" s="34">
        <f t="shared" ca="1" si="1"/>
        <v>0</v>
      </c>
      <c r="M90" s="12" t="str" cm="1">
        <f t="array" aca="1" ref="M90" ca="1">TRANSPOSE(_xlfn.LET(
_xlpm.all_scenario_tags,
_xlfn.VSTACK(
IFERROR(_xlfn._xlws.FILTER(INDIRECT("'"&amp;model_name&amp;" case settings'!$C$19:$C$42"),ISNUMBER(MATCH(INDIRECT("'"&amp;model_name&amp;" case settings'!$C$19:$C$42"),_xlfn._xlws.FILTER(INDIRECT(E90&amp;".scenario"),INDIRECT(E90)=$C90),0))),"-/-"),
IFERROR(_xlfn._xlws.FILTER(INDIRECT("'"&amp;model_name&amp;" case settings'!$C$19:$C$42"),ISNUMBER(MATCH(INDIRECT("'"&amp;model_name&amp;" case settings'!$C$19:$C$42"),_xlfn._xlws.FILTER(INDIRECT(F90&amp;".scenario"),INDIRECT(F90)=$C90),0))),"-/-"),
IFERROR(_xlfn._xlws.FILTER(INDIRECT("'"&amp;model_name&amp;" case settings'!$C$19:$C$42"),ISNUMBER(MATCH(INDIRECT("'"&amp;model_name&amp;" case settings'!$C$19:$C$42"),_xlfn._xlws.FILTER(INDIRECT(G90&amp;".scenario"),INDIRECT(G90)=$C90),0))),"-/-"),
IFERROR(_xlfn._xlws.FILTER(INDIRECT("'"&amp;model_name&amp;" case settings'!$C$19:$C$42"),ISNUMBER(MATCH(INDIRECT("'"&amp;model_name&amp;" case settings'!$C$19:$C$42"),_xlfn._xlws.FILTER(INDIRECT(H90&amp;".scenario"),INDIRECT(H90)=$C90),0))),"-/-"),
IFERROR(_xlfn._xlws.FILTER(INDIRECT("'"&amp;model_name&amp;" case settings'!$C$19:$C$42"),ISNUMBER(MATCH(INDIRECT("'"&amp;model_name&amp;" case settings'!$C$19:$C$42"),_xlfn._xlws.FILTER(INDIRECT(I90&amp;".scenario"),INDIRECT(I90)=$C90),0))),"-/-"),
IFERROR(_xlfn._xlws.FILTER(INDIRECT("'"&amp;model_name&amp;" case settings'!$C$19:$C$42"),ISNUMBER(MATCH(INDIRECT("'"&amp;model_name&amp;" case settings'!$C$19:$C$42"),_xlfn._xlws.FILTER(INDIRECT(J90&amp;".scenario"),INDIRECT(J90)=$C90),0))),"-/-")),
_xlfn._xlws.FILTER(_xlpm.all_scenario_tags,_xlpm.all_scenario_tags&lt;&gt;"-/-","-/-")
))</f>
        <v>-/-</v>
      </c>
      <c r="N90" s="12"/>
      <c r="O90" s="12"/>
      <c r="P90" s="12"/>
      <c r="Q90" s="12"/>
    </row>
    <row r="91" spans="2:17">
      <c r="B91" s="38"/>
      <c r="C91" s="3"/>
      <c r="E91" s="91" t="str" cm="1">
        <f t="array" ref="E91:G91">TRANSPOSE("'"&amp;_xlfn._xlws.FILTER(Lists!$CA$9:$CA$50,B91=Lists!$CC$9:$CC$50)&amp;"'!"&amp;B91)</f>
        <v>''!</v>
      </c>
      <c r="F91" s="91" t="str">
        <v>''!</v>
      </c>
      <c r="G91" s="91" t="str">
        <v>''!</v>
      </c>
      <c r="H91" s="91"/>
      <c r="I91" s="91"/>
      <c r="J91" s="91"/>
      <c r="L91" s="34">
        <f t="shared" ca="1" si="1"/>
        <v>0</v>
      </c>
      <c r="M91" s="12" t="str" cm="1">
        <f t="array" aca="1" ref="M91" ca="1">TRANSPOSE(_xlfn.LET(
_xlpm.all_scenario_tags,
_xlfn.VSTACK(
IFERROR(_xlfn._xlws.FILTER(INDIRECT("'"&amp;model_name&amp;" case settings'!$C$19:$C$42"),ISNUMBER(MATCH(INDIRECT("'"&amp;model_name&amp;" case settings'!$C$19:$C$42"),_xlfn._xlws.FILTER(INDIRECT(E91&amp;".scenario"),INDIRECT(E91)=$C91),0))),"-/-"),
IFERROR(_xlfn._xlws.FILTER(INDIRECT("'"&amp;model_name&amp;" case settings'!$C$19:$C$42"),ISNUMBER(MATCH(INDIRECT("'"&amp;model_name&amp;" case settings'!$C$19:$C$42"),_xlfn._xlws.FILTER(INDIRECT(F91&amp;".scenario"),INDIRECT(F91)=$C91),0))),"-/-"),
IFERROR(_xlfn._xlws.FILTER(INDIRECT("'"&amp;model_name&amp;" case settings'!$C$19:$C$42"),ISNUMBER(MATCH(INDIRECT("'"&amp;model_name&amp;" case settings'!$C$19:$C$42"),_xlfn._xlws.FILTER(INDIRECT(G91&amp;".scenario"),INDIRECT(G91)=$C91),0))),"-/-"),
IFERROR(_xlfn._xlws.FILTER(INDIRECT("'"&amp;model_name&amp;" case settings'!$C$19:$C$42"),ISNUMBER(MATCH(INDIRECT("'"&amp;model_name&amp;" case settings'!$C$19:$C$42"),_xlfn._xlws.FILTER(INDIRECT(H91&amp;".scenario"),INDIRECT(H91)=$C91),0))),"-/-"),
IFERROR(_xlfn._xlws.FILTER(INDIRECT("'"&amp;model_name&amp;" case settings'!$C$19:$C$42"),ISNUMBER(MATCH(INDIRECT("'"&amp;model_name&amp;" case settings'!$C$19:$C$42"),_xlfn._xlws.FILTER(INDIRECT(I91&amp;".scenario"),INDIRECT(I91)=$C91),0))),"-/-"),
IFERROR(_xlfn._xlws.FILTER(INDIRECT("'"&amp;model_name&amp;" case settings'!$C$19:$C$42"),ISNUMBER(MATCH(INDIRECT("'"&amp;model_name&amp;" case settings'!$C$19:$C$42"),_xlfn._xlws.FILTER(INDIRECT(J91&amp;".scenario"),INDIRECT(J91)=$C91),0))),"-/-")),
_xlfn._xlws.FILTER(_xlpm.all_scenario_tags,_xlpm.all_scenario_tags&lt;&gt;"-/-","-/-")
))</f>
        <v>-/-</v>
      </c>
      <c r="N91" s="12"/>
      <c r="O91" s="12"/>
      <c r="P91" s="12"/>
      <c r="Q91" s="12"/>
    </row>
    <row r="92" spans="2:17">
      <c r="B92" s="38"/>
      <c r="C92" s="3"/>
      <c r="E92" s="91" t="str" cm="1">
        <f t="array" ref="E92:G92">TRANSPOSE("'"&amp;_xlfn._xlws.FILTER(Lists!$CA$9:$CA$50,B92=Lists!$CC$9:$CC$50)&amp;"'!"&amp;B92)</f>
        <v>''!</v>
      </c>
      <c r="F92" s="91" t="str">
        <v>''!</v>
      </c>
      <c r="G92" s="91" t="str">
        <v>''!</v>
      </c>
      <c r="H92" s="91"/>
      <c r="I92" s="91"/>
      <c r="J92" s="91"/>
      <c r="L92" s="34">
        <f t="shared" ca="1" si="1"/>
        <v>0</v>
      </c>
      <c r="M92" s="12" t="str" cm="1">
        <f t="array" aca="1" ref="M92" ca="1">TRANSPOSE(_xlfn.LET(
_xlpm.all_scenario_tags,
_xlfn.VSTACK(
IFERROR(_xlfn._xlws.FILTER(INDIRECT("'"&amp;model_name&amp;" case settings'!$C$19:$C$42"),ISNUMBER(MATCH(INDIRECT("'"&amp;model_name&amp;" case settings'!$C$19:$C$42"),_xlfn._xlws.FILTER(INDIRECT(E92&amp;".scenario"),INDIRECT(E92)=$C92),0))),"-/-"),
IFERROR(_xlfn._xlws.FILTER(INDIRECT("'"&amp;model_name&amp;" case settings'!$C$19:$C$42"),ISNUMBER(MATCH(INDIRECT("'"&amp;model_name&amp;" case settings'!$C$19:$C$42"),_xlfn._xlws.FILTER(INDIRECT(F92&amp;".scenario"),INDIRECT(F92)=$C92),0))),"-/-"),
IFERROR(_xlfn._xlws.FILTER(INDIRECT("'"&amp;model_name&amp;" case settings'!$C$19:$C$42"),ISNUMBER(MATCH(INDIRECT("'"&amp;model_name&amp;" case settings'!$C$19:$C$42"),_xlfn._xlws.FILTER(INDIRECT(G92&amp;".scenario"),INDIRECT(G92)=$C92),0))),"-/-"),
IFERROR(_xlfn._xlws.FILTER(INDIRECT("'"&amp;model_name&amp;" case settings'!$C$19:$C$42"),ISNUMBER(MATCH(INDIRECT("'"&amp;model_name&amp;" case settings'!$C$19:$C$42"),_xlfn._xlws.FILTER(INDIRECT(H92&amp;".scenario"),INDIRECT(H92)=$C92),0))),"-/-"),
IFERROR(_xlfn._xlws.FILTER(INDIRECT("'"&amp;model_name&amp;" case settings'!$C$19:$C$42"),ISNUMBER(MATCH(INDIRECT("'"&amp;model_name&amp;" case settings'!$C$19:$C$42"),_xlfn._xlws.FILTER(INDIRECT(I92&amp;".scenario"),INDIRECT(I92)=$C92),0))),"-/-"),
IFERROR(_xlfn._xlws.FILTER(INDIRECT("'"&amp;model_name&amp;" case settings'!$C$19:$C$42"),ISNUMBER(MATCH(INDIRECT("'"&amp;model_name&amp;" case settings'!$C$19:$C$42"),_xlfn._xlws.FILTER(INDIRECT(J92&amp;".scenario"),INDIRECT(J92)=$C92),0))),"-/-")),
_xlfn._xlws.FILTER(_xlpm.all_scenario_tags,_xlpm.all_scenario_tags&lt;&gt;"-/-","-/-")
))</f>
        <v>-/-</v>
      </c>
      <c r="N92" s="12"/>
      <c r="O92" s="12"/>
      <c r="P92" s="12"/>
      <c r="Q92" s="12"/>
    </row>
    <row r="93" spans="2:17">
      <c r="B93" s="38"/>
      <c r="C93" s="3"/>
      <c r="E93" s="91" t="str" cm="1">
        <f t="array" ref="E93:G93">TRANSPOSE("'"&amp;_xlfn._xlws.FILTER(Lists!$CA$9:$CA$50,B93=Lists!$CC$9:$CC$50)&amp;"'!"&amp;B93)</f>
        <v>''!</v>
      </c>
      <c r="F93" s="91" t="str">
        <v>''!</v>
      </c>
      <c r="G93" s="91" t="str">
        <v>''!</v>
      </c>
      <c r="H93" s="91"/>
      <c r="I93" s="91"/>
      <c r="J93" s="91"/>
      <c r="L93" s="34">
        <f t="shared" ca="1" si="1"/>
        <v>0</v>
      </c>
      <c r="M93" s="12" t="str" cm="1">
        <f t="array" aca="1" ref="M93" ca="1">TRANSPOSE(_xlfn.LET(
_xlpm.all_scenario_tags,
_xlfn.VSTACK(
IFERROR(_xlfn._xlws.FILTER(INDIRECT("'"&amp;model_name&amp;" case settings'!$C$19:$C$42"),ISNUMBER(MATCH(INDIRECT("'"&amp;model_name&amp;" case settings'!$C$19:$C$42"),_xlfn._xlws.FILTER(INDIRECT(E93&amp;".scenario"),INDIRECT(E93)=$C93),0))),"-/-"),
IFERROR(_xlfn._xlws.FILTER(INDIRECT("'"&amp;model_name&amp;" case settings'!$C$19:$C$42"),ISNUMBER(MATCH(INDIRECT("'"&amp;model_name&amp;" case settings'!$C$19:$C$42"),_xlfn._xlws.FILTER(INDIRECT(F93&amp;".scenario"),INDIRECT(F93)=$C93),0))),"-/-"),
IFERROR(_xlfn._xlws.FILTER(INDIRECT("'"&amp;model_name&amp;" case settings'!$C$19:$C$42"),ISNUMBER(MATCH(INDIRECT("'"&amp;model_name&amp;" case settings'!$C$19:$C$42"),_xlfn._xlws.FILTER(INDIRECT(G93&amp;".scenario"),INDIRECT(G93)=$C93),0))),"-/-"),
IFERROR(_xlfn._xlws.FILTER(INDIRECT("'"&amp;model_name&amp;" case settings'!$C$19:$C$42"),ISNUMBER(MATCH(INDIRECT("'"&amp;model_name&amp;" case settings'!$C$19:$C$42"),_xlfn._xlws.FILTER(INDIRECT(H93&amp;".scenario"),INDIRECT(H93)=$C93),0))),"-/-"),
IFERROR(_xlfn._xlws.FILTER(INDIRECT("'"&amp;model_name&amp;" case settings'!$C$19:$C$42"),ISNUMBER(MATCH(INDIRECT("'"&amp;model_name&amp;" case settings'!$C$19:$C$42"),_xlfn._xlws.FILTER(INDIRECT(I93&amp;".scenario"),INDIRECT(I93)=$C93),0))),"-/-"),
IFERROR(_xlfn._xlws.FILTER(INDIRECT("'"&amp;model_name&amp;" case settings'!$C$19:$C$42"),ISNUMBER(MATCH(INDIRECT("'"&amp;model_name&amp;" case settings'!$C$19:$C$42"),_xlfn._xlws.FILTER(INDIRECT(J93&amp;".scenario"),INDIRECT(J93)=$C93),0))),"-/-")),
_xlfn._xlws.FILTER(_xlpm.all_scenario_tags,_xlpm.all_scenario_tags&lt;&gt;"-/-","-/-")
))</f>
        <v>-/-</v>
      </c>
      <c r="N93" s="12"/>
      <c r="O93" s="12"/>
      <c r="P93" s="12"/>
      <c r="Q93" s="12"/>
    </row>
    <row r="94" spans="2:17">
      <c r="B94" s="38"/>
      <c r="C94" s="3"/>
      <c r="E94" s="91" t="str" cm="1">
        <f t="array" ref="E94:G94">TRANSPOSE("'"&amp;_xlfn._xlws.FILTER(Lists!$CA$9:$CA$50,B94=Lists!$CC$9:$CC$50)&amp;"'!"&amp;B94)</f>
        <v>''!</v>
      </c>
      <c r="F94" s="91" t="str">
        <v>''!</v>
      </c>
      <c r="G94" s="91" t="str">
        <v>''!</v>
      </c>
      <c r="H94" s="91"/>
      <c r="I94" s="91"/>
      <c r="J94" s="91"/>
      <c r="L94" s="34">
        <f t="shared" ca="1" si="1"/>
        <v>0</v>
      </c>
      <c r="M94" s="12" t="str" cm="1">
        <f t="array" aca="1" ref="M94" ca="1">TRANSPOSE(_xlfn.LET(
_xlpm.all_scenario_tags,
_xlfn.VSTACK(
IFERROR(_xlfn._xlws.FILTER(INDIRECT("'"&amp;model_name&amp;" case settings'!$C$19:$C$42"),ISNUMBER(MATCH(INDIRECT("'"&amp;model_name&amp;" case settings'!$C$19:$C$42"),_xlfn._xlws.FILTER(INDIRECT(E94&amp;".scenario"),INDIRECT(E94)=$C94),0))),"-/-"),
IFERROR(_xlfn._xlws.FILTER(INDIRECT("'"&amp;model_name&amp;" case settings'!$C$19:$C$42"),ISNUMBER(MATCH(INDIRECT("'"&amp;model_name&amp;" case settings'!$C$19:$C$42"),_xlfn._xlws.FILTER(INDIRECT(F94&amp;".scenario"),INDIRECT(F94)=$C94),0))),"-/-"),
IFERROR(_xlfn._xlws.FILTER(INDIRECT("'"&amp;model_name&amp;" case settings'!$C$19:$C$42"),ISNUMBER(MATCH(INDIRECT("'"&amp;model_name&amp;" case settings'!$C$19:$C$42"),_xlfn._xlws.FILTER(INDIRECT(G94&amp;".scenario"),INDIRECT(G94)=$C94),0))),"-/-"),
IFERROR(_xlfn._xlws.FILTER(INDIRECT("'"&amp;model_name&amp;" case settings'!$C$19:$C$42"),ISNUMBER(MATCH(INDIRECT("'"&amp;model_name&amp;" case settings'!$C$19:$C$42"),_xlfn._xlws.FILTER(INDIRECT(H94&amp;".scenario"),INDIRECT(H94)=$C94),0))),"-/-"),
IFERROR(_xlfn._xlws.FILTER(INDIRECT("'"&amp;model_name&amp;" case settings'!$C$19:$C$42"),ISNUMBER(MATCH(INDIRECT("'"&amp;model_name&amp;" case settings'!$C$19:$C$42"),_xlfn._xlws.FILTER(INDIRECT(I94&amp;".scenario"),INDIRECT(I94)=$C94),0))),"-/-"),
IFERROR(_xlfn._xlws.FILTER(INDIRECT("'"&amp;model_name&amp;" case settings'!$C$19:$C$42"),ISNUMBER(MATCH(INDIRECT("'"&amp;model_name&amp;" case settings'!$C$19:$C$42"),_xlfn._xlws.FILTER(INDIRECT(J94&amp;".scenario"),INDIRECT(J94)=$C94),0))),"-/-")),
_xlfn._xlws.FILTER(_xlpm.all_scenario_tags,_xlpm.all_scenario_tags&lt;&gt;"-/-","-/-")
))</f>
        <v>-/-</v>
      </c>
      <c r="N94" s="12"/>
      <c r="O94" s="12"/>
      <c r="P94" s="12"/>
      <c r="Q94" s="12"/>
    </row>
    <row r="95" spans="2:17">
      <c r="B95" s="38"/>
      <c r="C95" s="3"/>
      <c r="E95" s="91" t="str" cm="1">
        <f t="array" ref="E95:G95">TRANSPOSE("'"&amp;_xlfn._xlws.FILTER(Lists!$CA$9:$CA$50,B95=Lists!$CC$9:$CC$50)&amp;"'!"&amp;B95)</f>
        <v>''!</v>
      </c>
      <c r="F95" s="91" t="str">
        <v>''!</v>
      </c>
      <c r="G95" s="91" t="str">
        <v>''!</v>
      </c>
      <c r="H95" s="91"/>
      <c r="I95" s="91"/>
      <c r="J95" s="91"/>
      <c r="L95" s="34">
        <f t="shared" ca="1" si="1"/>
        <v>0</v>
      </c>
      <c r="M95" s="12" t="str" cm="1">
        <f t="array" aca="1" ref="M95" ca="1">TRANSPOSE(_xlfn.LET(
_xlpm.all_scenario_tags,
_xlfn.VSTACK(
IFERROR(_xlfn._xlws.FILTER(INDIRECT("'"&amp;model_name&amp;" case settings'!$C$19:$C$42"),ISNUMBER(MATCH(INDIRECT("'"&amp;model_name&amp;" case settings'!$C$19:$C$42"),_xlfn._xlws.FILTER(INDIRECT(E95&amp;".scenario"),INDIRECT(E95)=$C95),0))),"-/-"),
IFERROR(_xlfn._xlws.FILTER(INDIRECT("'"&amp;model_name&amp;" case settings'!$C$19:$C$42"),ISNUMBER(MATCH(INDIRECT("'"&amp;model_name&amp;" case settings'!$C$19:$C$42"),_xlfn._xlws.FILTER(INDIRECT(F95&amp;".scenario"),INDIRECT(F95)=$C95),0))),"-/-"),
IFERROR(_xlfn._xlws.FILTER(INDIRECT("'"&amp;model_name&amp;" case settings'!$C$19:$C$42"),ISNUMBER(MATCH(INDIRECT("'"&amp;model_name&amp;" case settings'!$C$19:$C$42"),_xlfn._xlws.FILTER(INDIRECT(G95&amp;".scenario"),INDIRECT(G95)=$C95),0))),"-/-"),
IFERROR(_xlfn._xlws.FILTER(INDIRECT("'"&amp;model_name&amp;" case settings'!$C$19:$C$42"),ISNUMBER(MATCH(INDIRECT("'"&amp;model_name&amp;" case settings'!$C$19:$C$42"),_xlfn._xlws.FILTER(INDIRECT(H95&amp;".scenario"),INDIRECT(H95)=$C95),0))),"-/-"),
IFERROR(_xlfn._xlws.FILTER(INDIRECT("'"&amp;model_name&amp;" case settings'!$C$19:$C$42"),ISNUMBER(MATCH(INDIRECT("'"&amp;model_name&amp;" case settings'!$C$19:$C$42"),_xlfn._xlws.FILTER(INDIRECT(I95&amp;".scenario"),INDIRECT(I95)=$C95),0))),"-/-"),
IFERROR(_xlfn._xlws.FILTER(INDIRECT("'"&amp;model_name&amp;" case settings'!$C$19:$C$42"),ISNUMBER(MATCH(INDIRECT("'"&amp;model_name&amp;" case settings'!$C$19:$C$42"),_xlfn._xlws.FILTER(INDIRECT(J95&amp;".scenario"),INDIRECT(J95)=$C95),0))),"-/-")),
_xlfn._xlws.FILTER(_xlpm.all_scenario_tags,_xlpm.all_scenario_tags&lt;&gt;"-/-","-/-")
))</f>
        <v>-/-</v>
      </c>
      <c r="N95" s="12"/>
      <c r="O95" s="12"/>
      <c r="P95" s="12"/>
      <c r="Q95" s="12"/>
    </row>
    <row r="96" spans="2:17">
      <c r="B96" s="38"/>
      <c r="C96" s="3"/>
      <c r="E96" s="91" t="str" cm="1">
        <f t="array" ref="E96:G96">TRANSPOSE("'"&amp;_xlfn._xlws.FILTER(Lists!$CA$9:$CA$50,B96=Lists!$CC$9:$CC$50)&amp;"'!"&amp;B96)</f>
        <v>''!</v>
      </c>
      <c r="F96" s="91" t="str">
        <v>''!</v>
      </c>
      <c r="G96" s="91" t="str">
        <v>''!</v>
      </c>
      <c r="H96" s="91"/>
      <c r="I96" s="91"/>
      <c r="J96" s="91"/>
      <c r="L96" s="34">
        <f t="shared" ca="1" si="1"/>
        <v>0</v>
      </c>
      <c r="M96" s="12" t="str" cm="1">
        <f t="array" aca="1" ref="M96" ca="1">TRANSPOSE(_xlfn.LET(
_xlpm.all_scenario_tags,
_xlfn.VSTACK(
IFERROR(_xlfn._xlws.FILTER(INDIRECT("'"&amp;model_name&amp;" case settings'!$C$19:$C$42"),ISNUMBER(MATCH(INDIRECT("'"&amp;model_name&amp;" case settings'!$C$19:$C$42"),_xlfn._xlws.FILTER(INDIRECT(E96&amp;".scenario"),INDIRECT(E96)=$C96),0))),"-/-"),
IFERROR(_xlfn._xlws.FILTER(INDIRECT("'"&amp;model_name&amp;" case settings'!$C$19:$C$42"),ISNUMBER(MATCH(INDIRECT("'"&amp;model_name&amp;" case settings'!$C$19:$C$42"),_xlfn._xlws.FILTER(INDIRECT(F96&amp;".scenario"),INDIRECT(F96)=$C96),0))),"-/-"),
IFERROR(_xlfn._xlws.FILTER(INDIRECT("'"&amp;model_name&amp;" case settings'!$C$19:$C$42"),ISNUMBER(MATCH(INDIRECT("'"&amp;model_name&amp;" case settings'!$C$19:$C$42"),_xlfn._xlws.FILTER(INDIRECT(G96&amp;".scenario"),INDIRECT(G96)=$C96),0))),"-/-"),
IFERROR(_xlfn._xlws.FILTER(INDIRECT("'"&amp;model_name&amp;" case settings'!$C$19:$C$42"),ISNUMBER(MATCH(INDIRECT("'"&amp;model_name&amp;" case settings'!$C$19:$C$42"),_xlfn._xlws.FILTER(INDIRECT(H96&amp;".scenario"),INDIRECT(H96)=$C96),0))),"-/-"),
IFERROR(_xlfn._xlws.FILTER(INDIRECT("'"&amp;model_name&amp;" case settings'!$C$19:$C$42"),ISNUMBER(MATCH(INDIRECT("'"&amp;model_name&amp;" case settings'!$C$19:$C$42"),_xlfn._xlws.FILTER(INDIRECT(I96&amp;".scenario"),INDIRECT(I96)=$C96),0))),"-/-"),
IFERROR(_xlfn._xlws.FILTER(INDIRECT("'"&amp;model_name&amp;" case settings'!$C$19:$C$42"),ISNUMBER(MATCH(INDIRECT("'"&amp;model_name&amp;" case settings'!$C$19:$C$42"),_xlfn._xlws.FILTER(INDIRECT(J96&amp;".scenario"),INDIRECT(J96)=$C96),0))),"-/-")),
_xlfn._xlws.FILTER(_xlpm.all_scenario_tags,_xlpm.all_scenario_tags&lt;&gt;"-/-","-/-")
))</f>
        <v>-/-</v>
      </c>
      <c r="N96" s="12"/>
      <c r="O96" s="12"/>
      <c r="P96" s="12"/>
      <c r="Q96" s="12"/>
    </row>
    <row r="97" spans="2:17">
      <c r="B97" s="38"/>
      <c r="C97" s="3"/>
      <c r="E97" s="91" t="str" cm="1">
        <f t="array" ref="E97:G97">TRANSPOSE("'"&amp;_xlfn._xlws.FILTER(Lists!$CA$9:$CA$50,B97=Lists!$CC$9:$CC$50)&amp;"'!"&amp;B97)</f>
        <v>''!</v>
      </c>
      <c r="F97" s="91" t="str">
        <v>''!</v>
      </c>
      <c r="G97" s="91" t="str">
        <v>''!</v>
      </c>
      <c r="H97" s="91"/>
      <c r="I97" s="91"/>
      <c r="J97" s="91"/>
      <c r="L97" s="34">
        <f t="shared" ca="1" si="1"/>
        <v>0</v>
      </c>
      <c r="M97" s="12" t="str" cm="1">
        <f t="array" aca="1" ref="M97" ca="1">TRANSPOSE(_xlfn.LET(
_xlpm.all_scenario_tags,
_xlfn.VSTACK(
IFERROR(_xlfn._xlws.FILTER(INDIRECT("'"&amp;model_name&amp;" case settings'!$C$19:$C$42"),ISNUMBER(MATCH(INDIRECT("'"&amp;model_name&amp;" case settings'!$C$19:$C$42"),_xlfn._xlws.FILTER(INDIRECT(E97&amp;".scenario"),INDIRECT(E97)=$C97),0))),"-/-"),
IFERROR(_xlfn._xlws.FILTER(INDIRECT("'"&amp;model_name&amp;" case settings'!$C$19:$C$42"),ISNUMBER(MATCH(INDIRECT("'"&amp;model_name&amp;" case settings'!$C$19:$C$42"),_xlfn._xlws.FILTER(INDIRECT(F97&amp;".scenario"),INDIRECT(F97)=$C97),0))),"-/-"),
IFERROR(_xlfn._xlws.FILTER(INDIRECT("'"&amp;model_name&amp;" case settings'!$C$19:$C$42"),ISNUMBER(MATCH(INDIRECT("'"&amp;model_name&amp;" case settings'!$C$19:$C$42"),_xlfn._xlws.FILTER(INDIRECT(G97&amp;".scenario"),INDIRECT(G97)=$C97),0))),"-/-"),
IFERROR(_xlfn._xlws.FILTER(INDIRECT("'"&amp;model_name&amp;" case settings'!$C$19:$C$42"),ISNUMBER(MATCH(INDIRECT("'"&amp;model_name&amp;" case settings'!$C$19:$C$42"),_xlfn._xlws.FILTER(INDIRECT(H97&amp;".scenario"),INDIRECT(H97)=$C97),0))),"-/-"),
IFERROR(_xlfn._xlws.FILTER(INDIRECT("'"&amp;model_name&amp;" case settings'!$C$19:$C$42"),ISNUMBER(MATCH(INDIRECT("'"&amp;model_name&amp;" case settings'!$C$19:$C$42"),_xlfn._xlws.FILTER(INDIRECT(I97&amp;".scenario"),INDIRECT(I97)=$C97),0))),"-/-"),
IFERROR(_xlfn._xlws.FILTER(INDIRECT("'"&amp;model_name&amp;" case settings'!$C$19:$C$42"),ISNUMBER(MATCH(INDIRECT("'"&amp;model_name&amp;" case settings'!$C$19:$C$42"),_xlfn._xlws.FILTER(INDIRECT(J97&amp;".scenario"),INDIRECT(J97)=$C97),0))),"-/-")),
_xlfn._xlws.FILTER(_xlpm.all_scenario_tags,_xlpm.all_scenario_tags&lt;&gt;"-/-","-/-")
))</f>
        <v>-/-</v>
      </c>
      <c r="N97" s="12"/>
      <c r="O97" s="12"/>
      <c r="P97" s="12"/>
      <c r="Q97" s="12"/>
    </row>
    <row r="98" spans="2:17">
      <c r="B98" s="38"/>
      <c r="C98" s="3"/>
      <c r="E98" s="91" t="str" cm="1">
        <f t="array" ref="E98:G98">TRANSPOSE("'"&amp;_xlfn._xlws.FILTER(Lists!$CA$9:$CA$50,B98=Lists!$CC$9:$CC$50)&amp;"'!"&amp;B98)</f>
        <v>''!</v>
      </c>
      <c r="F98" s="91" t="str">
        <v>''!</v>
      </c>
      <c r="G98" s="91" t="str">
        <v>''!</v>
      </c>
      <c r="H98" s="91"/>
      <c r="I98" s="91"/>
      <c r="J98" s="91"/>
      <c r="L98" s="34">
        <f t="shared" ca="1" si="1"/>
        <v>0</v>
      </c>
      <c r="M98" s="12" t="str" cm="1">
        <f t="array" aca="1" ref="M98" ca="1">TRANSPOSE(_xlfn.LET(
_xlpm.all_scenario_tags,
_xlfn.VSTACK(
IFERROR(_xlfn._xlws.FILTER(INDIRECT("'"&amp;model_name&amp;" case settings'!$C$19:$C$42"),ISNUMBER(MATCH(INDIRECT("'"&amp;model_name&amp;" case settings'!$C$19:$C$42"),_xlfn._xlws.FILTER(INDIRECT(E98&amp;".scenario"),INDIRECT(E98)=$C98),0))),"-/-"),
IFERROR(_xlfn._xlws.FILTER(INDIRECT("'"&amp;model_name&amp;" case settings'!$C$19:$C$42"),ISNUMBER(MATCH(INDIRECT("'"&amp;model_name&amp;" case settings'!$C$19:$C$42"),_xlfn._xlws.FILTER(INDIRECT(F98&amp;".scenario"),INDIRECT(F98)=$C98),0))),"-/-"),
IFERROR(_xlfn._xlws.FILTER(INDIRECT("'"&amp;model_name&amp;" case settings'!$C$19:$C$42"),ISNUMBER(MATCH(INDIRECT("'"&amp;model_name&amp;" case settings'!$C$19:$C$42"),_xlfn._xlws.FILTER(INDIRECT(G98&amp;".scenario"),INDIRECT(G98)=$C98),0))),"-/-"),
IFERROR(_xlfn._xlws.FILTER(INDIRECT("'"&amp;model_name&amp;" case settings'!$C$19:$C$42"),ISNUMBER(MATCH(INDIRECT("'"&amp;model_name&amp;" case settings'!$C$19:$C$42"),_xlfn._xlws.FILTER(INDIRECT(H98&amp;".scenario"),INDIRECT(H98)=$C98),0))),"-/-"),
IFERROR(_xlfn._xlws.FILTER(INDIRECT("'"&amp;model_name&amp;" case settings'!$C$19:$C$42"),ISNUMBER(MATCH(INDIRECT("'"&amp;model_name&amp;" case settings'!$C$19:$C$42"),_xlfn._xlws.FILTER(INDIRECT(I98&amp;".scenario"),INDIRECT(I98)=$C98),0))),"-/-"),
IFERROR(_xlfn._xlws.FILTER(INDIRECT("'"&amp;model_name&amp;" case settings'!$C$19:$C$42"),ISNUMBER(MATCH(INDIRECT("'"&amp;model_name&amp;" case settings'!$C$19:$C$42"),_xlfn._xlws.FILTER(INDIRECT(J98&amp;".scenario"),INDIRECT(J98)=$C98),0))),"-/-")),
_xlfn._xlws.FILTER(_xlpm.all_scenario_tags,_xlpm.all_scenario_tags&lt;&gt;"-/-","-/-")
))</f>
        <v>-/-</v>
      </c>
      <c r="N98" s="12"/>
      <c r="O98" s="12"/>
      <c r="P98" s="12"/>
      <c r="Q98" s="12"/>
    </row>
    <row r="99" spans="2:17">
      <c r="B99" s="38"/>
      <c r="C99" s="3"/>
      <c r="E99" s="91" t="str" cm="1">
        <f t="array" ref="E99:G99">TRANSPOSE("'"&amp;_xlfn._xlws.FILTER(Lists!$CA$9:$CA$50,B99=Lists!$CC$9:$CC$50)&amp;"'!"&amp;B99)</f>
        <v>''!</v>
      </c>
      <c r="F99" s="91" t="str">
        <v>''!</v>
      </c>
      <c r="G99" s="91" t="str">
        <v>''!</v>
      </c>
      <c r="H99" s="91"/>
      <c r="I99" s="91"/>
      <c r="J99" s="91"/>
      <c r="L99" s="34">
        <f t="shared" ca="1" si="1"/>
        <v>0</v>
      </c>
      <c r="M99" s="12" t="str" cm="1">
        <f t="array" aca="1" ref="M99" ca="1">TRANSPOSE(_xlfn.LET(
_xlpm.all_scenario_tags,
_xlfn.VSTACK(
IFERROR(_xlfn._xlws.FILTER(INDIRECT("'"&amp;model_name&amp;" case settings'!$C$19:$C$42"),ISNUMBER(MATCH(INDIRECT("'"&amp;model_name&amp;" case settings'!$C$19:$C$42"),_xlfn._xlws.FILTER(INDIRECT(E99&amp;".scenario"),INDIRECT(E99)=$C99),0))),"-/-"),
IFERROR(_xlfn._xlws.FILTER(INDIRECT("'"&amp;model_name&amp;" case settings'!$C$19:$C$42"),ISNUMBER(MATCH(INDIRECT("'"&amp;model_name&amp;" case settings'!$C$19:$C$42"),_xlfn._xlws.FILTER(INDIRECT(F99&amp;".scenario"),INDIRECT(F99)=$C99),0))),"-/-"),
IFERROR(_xlfn._xlws.FILTER(INDIRECT("'"&amp;model_name&amp;" case settings'!$C$19:$C$42"),ISNUMBER(MATCH(INDIRECT("'"&amp;model_name&amp;" case settings'!$C$19:$C$42"),_xlfn._xlws.FILTER(INDIRECT(G99&amp;".scenario"),INDIRECT(G99)=$C99),0))),"-/-"),
IFERROR(_xlfn._xlws.FILTER(INDIRECT("'"&amp;model_name&amp;" case settings'!$C$19:$C$42"),ISNUMBER(MATCH(INDIRECT("'"&amp;model_name&amp;" case settings'!$C$19:$C$42"),_xlfn._xlws.FILTER(INDIRECT(H99&amp;".scenario"),INDIRECT(H99)=$C99),0))),"-/-"),
IFERROR(_xlfn._xlws.FILTER(INDIRECT("'"&amp;model_name&amp;" case settings'!$C$19:$C$42"),ISNUMBER(MATCH(INDIRECT("'"&amp;model_name&amp;" case settings'!$C$19:$C$42"),_xlfn._xlws.FILTER(INDIRECT(I99&amp;".scenario"),INDIRECT(I99)=$C99),0))),"-/-"),
IFERROR(_xlfn._xlws.FILTER(INDIRECT("'"&amp;model_name&amp;" case settings'!$C$19:$C$42"),ISNUMBER(MATCH(INDIRECT("'"&amp;model_name&amp;" case settings'!$C$19:$C$42"),_xlfn._xlws.FILTER(INDIRECT(J99&amp;".scenario"),INDIRECT(J99)=$C99),0))),"-/-")),
_xlfn._xlws.FILTER(_xlpm.all_scenario_tags,_xlpm.all_scenario_tags&lt;&gt;"-/-","-/-")
))</f>
        <v>-/-</v>
      </c>
      <c r="N99" s="12"/>
      <c r="O99" s="12"/>
      <c r="P99" s="12"/>
      <c r="Q99" s="12"/>
    </row>
    <row r="100" spans="2:17">
      <c r="B100" s="38"/>
      <c r="C100" s="3"/>
      <c r="E100" s="91" t="str" cm="1">
        <f t="array" ref="E100:G100">TRANSPOSE("'"&amp;_xlfn._xlws.FILTER(Lists!$CA$9:$CA$50,B100=Lists!$CC$9:$CC$50)&amp;"'!"&amp;B100)</f>
        <v>''!</v>
      </c>
      <c r="F100" s="91" t="str">
        <v>''!</v>
      </c>
      <c r="G100" s="91" t="str">
        <v>''!</v>
      </c>
      <c r="H100" s="91"/>
      <c r="I100" s="91"/>
      <c r="J100" s="91"/>
      <c r="L100" s="34">
        <f t="shared" ca="1" si="1"/>
        <v>0</v>
      </c>
      <c r="M100" s="12" t="str" cm="1">
        <f t="array" aca="1" ref="M100" ca="1">TRANSPOSE(_xlfn.LET(
_xlpm.all_scenario_tags,
_xlfn.VSTACK(
IFERROR(_xlfn._xlws.FILTER(INDIRECT("'"&amp;model_name&amp;" case settings'!$C$19:$C$42"),ISNUMBER(MATCH(INDIRECT("'"&amp;model_name&amp;" case settings'!$C$19:$C$42"),_xlfn._xlws.FILTER(INDIRECT(E100&amp;".scenario"),INDIRECT(E100)=$C100),0))),"-/-"),
IFERROR(_xlfn._xlws.FILTER(INDIRECT("'"&amp;model_name&amp;" case settings'!$C$19:$C$42"),ISNUMBER(MATCH(INDIRECT("'"&amp;model_name&amp;" case settings'!$C$19:$C$42"),_xlfn._xlws.FILTER(INDIRECT(F100&amp;".scenario"),INDIRECT(F100)=$C100),0))),"-/-"),
IFERROR(_xlfn._xlws.FILTER(INDIRECT("'"&amp;model_name&amp;" case settings'!$C$19:$C$42"),ISNUMBER(MATCH(INDIRECT("'"&amp;model_name&amp;" case settings'!$C$19:$C$42"),_xlfn._xlws.FILTER(INDIRECT(G100&amp;".scenario"),INDIRECT(G100)=$C100),0))),"-/-"),
IFERROR(_xlfn._xlws.FILTER(INDIRECT("'"&amp;model_name&amp;" case settings'!$C$19:$C$42"),ISNUMBER(MATCH(INDIRECT("'"&amp;model_name&amp;" case settings'!$C$19:$C$42"),_xlfn._xlws.FILTER(INDIRECT(H100&amp;".scenario"),INDIRECT(H100)=$C100),0))),"-/-"),
IFERROR(_xlfn._xlws.FILTER(INDIRECT("'"&amp;model_name&amp;" case settings'!$C$19:$C$42"),ISNUMBER(MATCH(INDIRECT("'"&amp;model_name&amp;" case settings'!$C$19:$C$42"),_xlfn._xlws.FILTER(INDIRECT(I100&amp;".scenario"),INDIRECT(I100)=$C100),0))),"-/-"),
IFERROR(_xlfn._xlws.FILTER(INDIRECT("'"&amp;model_name&amp;" case settings'!$C$19:$C$42"),ISNUMBER(MATCH(INDIRECT("'"&amp;model_name&amp;" case settings'!$C$19:$C$42"),_xlfn._xlws.FILTER(INDIRECT(J100&amp;".scenario"),INDIRECT(J100)=$C100),0))),"-/-")),
_xlfn._xlws.FILTER(_xlpm.all_scenario_tags,_xlpm.all_scenario_tags&lt;&gt;"-/-","-/-")
))</f>
        <v>-/-</v>
      </c>
      <c r="N100" s="12"/>
      <c r="O100" s="12"/>
      <c r="P100" s="12"/>
      <c r="Q100" s="12"/>
    </row>
    <row r="101" spans="2:17">
      <c r="B101" s="38"/>
      <c r="C101" s="3"/>
      <c r="E101" s="91" t="str" cm="1">
        <f t="array" ref="E101:G101">TRANSPOSE("'"&amp;_xlfn._xlws.FILTER(Lists!$CA$9:$CA$50,B101=Lists!$CC$9:$CC$50)&amp;"'!"&amp;B101)</f>
        <v>''!</v>
      </c>
      <c r="F101" s="91" t="str">
        <v>''!</v>
      </c>
      <c r="G101" s="91" t="str">
        <v>''!</v>
      </c>
      <c r="H101" s="91"/>
      <c r="I101" s="91"/>
      <c r="J101" s="91"/>
      <c r="L101" s="34">
        <f t="shared" ca="1" si="1"/>
        <v>0</v>
      </c>
      <c r="M101" s="12" t="str" cm="1">
        <f t="array" aca="1" ref="M101" ca="1">TRANSPOSE(_xlfn.LET(
_xlpm.all_scenario_tags,
_xlfn.VSTACK(
IFERROR(_xlfn._xlws.FILTER(INDIRECT("'"&amp;model_name&amp;" case settings'!$C$19:$C$42"),ISNUMBER(MATCH(INDIRECT("'"&amp;model_name&amp;" case settings'!$C$19:$C$42"),_xlfn._xlws.FILTER(INDIRECT(E101&amp;".scenario"),INDIRECT(E101)=$C101),0))),"-/-"),
IFERROR(_xlfn._xlws.FILTER(INDIRECT("'"&amp;model_name&amp;" case settings'!$C$19:$C$42"),ISNUMBER(MATCH(INDIRECT("'"&amp;model_name&amp;" case settings'!$C$19:$C$42"),_xlfn._xlws.FILTER(INDIRECT(F101&amp;".scenario"),INDIRECT(F101)=$C101),0))),"-/-"),
IFERROR(_xlfn._xlws.FILTER(INDIRECT("'"&amp;model_name&amp;" case settings'!$C$19:$C$42"),ISNUMBER(MATCH(INDIRECT("'"&amp;model_name&amp;" case settings'!$C$19:$C$42"),_xlfn._xlws.FILTER(INDIRECT(G101&amp;".scenario"),INDIRECT(G101)=$C101),0))),"-/-"),
IFERROR(_xlfn._xlws.FILTER(INDIRECT("'"&amp;model_name&amp;" case settings'!$C$19:$C$42"),ISNUMBER(MATCH(INDIRECT("'"&amp;model_name&amp;" case settings'!$C$19:$C$42"),_xlfn._xlws.FILTER(INDIRECT(H101&amp;".scenario"),INDIRECT(H101)=$C101),0))),"-/-"),
IFERROR(_xlfn._xlws.FILTER(INDIRECT("'"&amp;model_name&amp;" case settings'!$C$19:$C$42"),ISNUMBER(MATCH(INDIRECT("'"&amp;model_name&amp;" case settings'!$C$19:$C$42"),_xlfn._xlws.FILTER(INDIRECT(I101&amp;".scenario"),INDIRECT(I101)=$C101),0))),"-/-"),
IFERROR(_xlfn._xlws.FILTER(INDIRECT("'"&amp;model_name&amp;" case settings'!$C$19:$C$42"),ISNUMBER(MATCH(INDIRECT("'"&amp;model_name&amp;" case settings'!$C$19:$C$42"),_xlfn._xlws.FILTER(INDIRECT(J101&amp;".scenario"),INDIRECT(J101)=$C101),0))),"-/-")),
_xlfn._xlws.FILTER(_xlpm.all_scenario_tags,_xlpm.all_scenario_tags&lt;&gt;"-/-","-/-")
))</f>
        <v>-/-</v>
      </c>
      <c r="N101" s="12"/>
      <c r="O101" s="12"/>
      <c r="P101" s="12"/>
      <c r="Q101" s="12"/>
    </row>
    <row r="102" spans="2:17">
      <c r="B102" s="38"/>
      <c r="C102" s="3"/>
      <c r="E102" s="91" t="str" cm="1">
        <f t="array" ref="E102:G102">TRANSPOSE("'"&amp;_xlfn._xlws.FILTER(Lists!$CA$9:$CA$50,B102=Lists!$CC$9:$CC$50)&amp;"'!"&amp;B102)</f>
        <v>''!</v>
      </c>
      <c r="F102" s="91" t="str">
        <v>''!</v>
      </c>
      <c r="G102" s="91" t="str">
        <v>''!</v>
      </c>
      <c r="H102" s="91"/>
      <c r="I102" s="91"/>
      <c r="J102" s="91"/>
      <c r="L102" s="34">
        <f t="shared" ca="1" si="1"/>
        <v>0</v>
      </c>
      <c r="M102" s="12" t="str" cm="1">
        <f t="array" aca="1" ref="M102" ca="1">TRANSPOSE(_xlfn.LET(
_xlpm.all_scenario_tags,
_xlfn.VSTACK(
IFERROR(_xlfn._xlws.FILTER(INDIRECT("'"&amp;model_name&amp;" case settings'!$C$19:$C$42"),ISNUMBER(MATCH(INDIRECT("'"&amp;model_name&amp;" case settings'!$C$19:$C$42"),_xlfn._xlws.FILTER(INDIRECT(E102&amp;".scenario"),INDIRECT(E102)=$C102),0))),"-/-"),
IFERROR(_xlfn._xlws.FILTER(INDIRECT("'"&amp;model_name&amp;" case settings'!$C$19:$C$42"),ISNUMBER(MATCH(INDIRECT("'"&amp;model_name&amp;" case settings'!$C$19:$C$42"),_xlfn._xlws.FILTER(INDIRECT(F102&amp;".scenario"),INDIRECT(F102)=$C102),0))),"-/-"),
IFERROR(_xlfn._xlws.FILTER(INDIRECT("'"&amp;model_name&amp;" case settings'!$C$19:$C$42"),ISNUMBER(MATCH(INDIRECT("'"&amp;model_name&amp;" case settings'!$C$19:$C$42"),_xlfn._xlws.FILTER(INDIRECT(G102&amp;".scenario"),INDIRECT(G102)=$C102),0))),"-/-"),
IFERROR(_xlfn._xlws.FILTER(INDIRECT("'"&amp;model_name&amp;" case settings'!$C$19:$C$42"),ISNUMBER(MATCH(INDIRECT("'"&amp;model_name&amp;" case settings'!$C$19:$C$42"),_xlfn._xlws.FILTER(INDIRECT(H102&amp;".scenario"),INDIRECT(H102)=$C102),0))),"-/-"),
IFERROR(_xlfn._xlws.FILTER(INDIRECT("'"&amp;model_name&amp;" case settings'!$C$19:$C$42"),ISNUMBER(MATCH(INDIRECT("'"&amp;model_name&amp;" case settings'!$C$19:$C$42"),_xlfn._xlws.FILTER(INDIRECT(I102&amp;".scenario"),INDIRECT(I102)=$C102),0))),"-/-"),
IFERROR(_xlfn._xlws.FILTER(INDIRECT("'"&amp;model_name&amp;" case settings'!$C$19:$C$42"),ISNUMBER(MATCH(INDIRECT("'"&amp;model_name&amp;" case settings'!$C$19:$C$42"),_xlfn._xlws.FILTER(INDIRECT(J102&amp;".scenario"),INDIRECT(J102)=$C102),0))),"-/-")),
_xlfn._xlws.FILTER(_xlpm.all_scenario_tags,_xlpm.all_scenario_tags&lt;&gt;"-/-","-/-")
))</f>
        <v>-/-</v>
      </c>
      <c r="N102" s="12"/>
      <c r="O102" s="12"/>
      <c r="P102" s="12"/>
      <c r="Q102" s="12"/>
    </row>
    <row r="103" spans="2:17">
      <c r="B103" s="38"/>
      <c r="C103" s="3"/>
      <c r="E103" s="91" t="str" cm="1">
        <f t="array" ref="E103:G103">TRANSPOSE("'"&amp;_xlfn._xlws.FILTER(Lists!$CA$9:$CA$50,B103=Lists!$CC$9:$CC$50)&amp;"'!"&amp;B103)</f>
        <v>''!</v>
      </c>
      <c r="F103" s="91" t="str">
        <v>''!</v>
      </c>
      <c r="G103" s="91" t="str">
        <v>''!</v>
      </c>
      <c r="H103" s="91"/>
      <c r="I103" s="91"/>
      <c r="J103" s="91"/>
      <c r="L103" s="34">
        <f t="shared" ca="1" si="1"/>
        <v>0</v>
      </c>
      <c r="M103" s="12" t="str" cm="1">
        <f t="array" aca="1" ref="M103" ca="1">TRANSPOSE(_xlfn.LET(
_xlpm.all_scenario_tags,
_xlfn.VSTACK(
IFERROR(_xlfn._xlws.FILTER(INDIRECT("'"&amp;model_name&amp;" case settings'!$C$19:$C$42"),ISNUMBER(MATCH(INDIRECT("'"&amp;model_name&amp;" case settings'!$C$19:$C$42"),_xlfn._xlws.FILTER(INDIRECT(E103&amp;".scenario"),INDIRECT(E103)=$C103),0))),"-/-"),
IFERROR(_xlfn._xlws.FILTER(INDIRECT("'"&amp;model_name&amp;" case settings'!$C$19:$C$42"),ISNUMBER(MATCH(INDIRECT("'"&amp;model_name&amp;" case settings'!$C$19:$C$42"),_xlfn._xlws.FILTER(INDIRECT(F103&amp;".scenario"),INDIRECT(F103)=$C103),0))),"-/-"),
IFERROR(_xlfn._xlws.FILTER(INDIRECT("'"&amp;model_name&amp;" case settings'!$C$19:$C$42"),ISNUMBER(MATCH(INDIRECT("'"&amp;model_name&amp;" case settings'!$C$19:$C$42"),_xlfn._xlws.FILTER(INDIRECT(G103&amp;".scenario"),INDIRECT(G103)=$C103),0))),"-/-"),
IFERROR(_xlfn._xlws.FILTER(INDIRECT("'"&amp;model_name&amp;" case settings'!$C$19:$C$42"),ISNUMBER(MATCH(INDIRECT("'"&amp;model_name&amp;" case settings'!$C$19:$C$42"),_xlfn._xlws.FILTER(INDIRECT(H103&amp;".scenario"),INDIRECT(H103)=$C103),0))),"-/-"),
IFERROR(_xlfn._xlws.FILTER(INDIRECT("'"&amp;model_name&amp;" case settings'!$C$19:$C$42"),ISNUMBER(MATCH(INDIRECT("'"&amp;model_name&amp;" case settings'!$C$19:$C$42"),_xlfn._xlws.FILTER(INDIRECT(I103&amp;".scenario"),INDIRECT(I103)=$C103),0))),"-/-"),
IFERROR(_xlfn._xlws.FILTER(INDIRECT("'"&amp;model_name&amp;" case settings'!$C$19:$C$42"),ISNUMBER(MATCH(INDIRECT("'"&amp;model_name&amp;" case settings'!$C$19:$C$42"),_xlfn._xlws.FILTER(INDIRECT(J103&amp;".scenario"),INDIRECT(J103)=$C103),0))),"-/-")),
_xlfn._xlws.FILTER(_xlpm.all_scenario_tags,_xlpm.all_scenario_tags&lt;&gt;"-/-","-/-")
))</f>
        <v>-/-</v>
      </c>
      <c r="N103" s="12"/>
      <c r="O103" s="12"/>
      <c r="P103" s="12"/>
      <c r="Q103" s="12"/>
    </row>
    <row r="104" spans="2:17">
      <c r="B104" s="38"/>
      <c r="C104" s="3"/>
      <c r="E104" s="91" t="str" cm="1">
        <f t="array" ref="E104:G104">TRANSPOSE("'"&amp;_xlfn._xlws.FILTER(Lists!$CA$9:$CA$50,B104=Lists!$CC$9:$CC$50)&amp;"'!"&amp;B104)</f>
        <v>''!</v>
      </c>
      <c r="F104" s="91" t="str">
        <v>''!</v>
      </c>
      <c r="G104" s="91" t="str">
        <v>''!</v>
      </c>
      <c r="H104" s="91"/>
      <c r="I104" s="91"/>
      <c r="J104" s="91"/>
      <c r="L104" s="34">
        <f t="shared" ca="1" si="1"/>
        <v>0</v>
      </c>
      <c r="M104" s="12" t="str" cm="1">
        <f t="array" aca="1" ref="M104" ca="1">TRANSPOSE(_xlfn.LET(
_xlpm.all_scenario_tags,
_xlfn.VSTACK(
IFERROR(_xlfn._xlws.FILTER(INDIRECT("'"&amp;model_name&amp;" case settings'!$C$19:$C$42"),ISNUMBER(MATCH(INDIRECT("'"&amp;model_name&amp;" case settings'!$C$19:$C$42"),_xlfn._xlws.FILTER(INDIRECT(E104&amp;".scenario"),INDIRECT(E104)=$C104),0))),"-/-"),
IFERROR(_xlfn._xlws.FILTER(INDIRECT("'"&amp;model_name&amp;" case settings'!$C$19:$C$42"),ISNUMBER(MATCH(INDIRECT("'"&amp;model_name&amp;" case settings'!$C$19:$C$42"),_xlfn._xlws.FILTER(INDIRECT(F104&amp;".scenario"),INDIRECT(F104)=$C104),0))),"-/-"),
IFERROR(_xlfn._xlws.FILTER(INDIRECT("'"&amp;model_name&amp;" case settings'!$C$19:$C$42"),ISNUMBER(MATCH(INDIRECT("'"&amp;model_name&amp;" case settings'!$C$19:$C$42"),_xlfn._xlws.FILTER(INDIRECT(G104&amp;".scenario"),INDIRECT(G104)=$C104),0))),"-/-"),
IFERROR(_xlfn._xlws.FILTER(INDIRECT("'"&amp;model_name&amp;" case settings'!$C$19:$C$42"),ISNUMBER(MATCH(INDIRECT("'"&amp;model_name&amp;" case settings'!$C$19:$C$42"),_xlfn._xlws.FILTER(INDIRECT(H104&amp;".scenario"),INDIRECT(H104)=$C104),0))),"-/-"),
IFERROR(_xlfn._xlws.FILTER(INDIRECT("'"&amp;model_name&amp;" case settings'!$C$19:$C$42"),ISNUMBER(MATCH(INDIRECT("'"&amp;model_name&amp;" case settings'!$C$19:$C$42"),_xlfn._xlws.FILTER(INDIRECT(I104&amp;".scenario"),INDIRECT(I104)=$C104),0))),"-/-"),
IFERROR(_xlfn._xlws.FILTER(INDIRECT("'"&amp;model_name&amp;" case settings'!$C$19:$C$42"),ISNUMBER(MATCH(INDIRECT("'"&amp;model_name&amp;" case settings'!$C$19:$C$42"),_xlfn._xlws.FILTER(INDIRECT(J104&amp;".scenario"),INDIRECT(J104)=$C104),0))),"-/-")),
_xlfn._xlws.FILTER(_xlpm.all_scenario_tags,_xlpm.all_scenario_tags&lt;&gt;"-/-","-/-")
))</f>
        <v>-/-</v>
      </c>
      <c r="N104" s="12"/>
      <c r="O104" s="12"/>
      <c r="P104" s="12"/>
      <c r="Q104" s="12"/>
    </row>
    <row r="105" spans="2:17">
      <c r="B105" s="38"/>
      <c r="C105" s="3"/>
      <c r="E105" s="91" t="str" cm="1">
        <f t="array" ref="E105:G105">TRANSPOSE("'"&amp;_xlfn._xlws.FILTER(Lists!$CA$9:$CA$50,B105=Lists!$CC$9:$CC$50)&amp;"'!"&amp;B105)</f>
        <v>''!</v>
      </c>
      <c r="F105" s="91" t="str">
        <v>''!</v>
      </c>
      <c r="G105" s="91" t="str">
        <v>''!</v>
      </c>
      <c r="H105" s="91"/>
      <c r="I105" s="91"/>
      <c r="J105" s="91"/>
      <c r="L105" s="34">
        <f t="shared" ca="1" si="1"/>
        <v>0</v>
      </c>
      <c r="M105" s="12" t="str" cm="1">
        <f t="array" aca="1" ref="M105" ca="1">TRANSPOSE(_xlfn.LET(
_xlpm.all_scenario_tags,
_xlfn.VSTACK(
IFERROR(_xlfn._xlws.FILTER(INDIRECT("'"&amp;model_name&amp;" case settings'!$C$19:$C$42"),ISNUMBER(MATCH(INDIRECT("'"&amp;model_name&amp;" case settings'!$C$19:$C$42"),_xlfn._xlws.FILTER(INDIRECT(E105&amp;".scenario"),INDIRECT(E105)=$C105),0))),"-/-"),
IFERROR(_xlfn._xlws.FILTER(INDIRECT("'"&amp;model_name&amp;" case settings'!$C$19:$C$42"),ISNUMBER(MATCH(INDIRECT("'"&amp;model_name&amp;" case settings'!$C$19:$C$42"),_xlfn._xlws.FILTER(INDIRECT(F105&amp;".scenario"),INDIRECT(F105)=$C105),0))),"-/-"),
IFERROR(_xlfn._xlws.FILTER(INDIRECT("'"&amp;model_name&amp;" case settings'!$C$19:$C$42"),ISNUMBER(MATCH(INDIRECT("'"&amp;model_name&amp;" case settings'!$C$19:$C$42"),_xlfn._xlws.FILTER(INDIRECT(G105&amp;".scenario"),INDIRECT(G105)=$C105),0))),"-/-"),
IFERROR(_xlfn._xlws.FILTER(INDIRECT("'"&amp;model_name&amp;" case settings'!$C$19:$C$42"),ISNUMBER(MATCH(INDIRECT("'"&amp;model_name&amp;" case settings'!$C$19:$C$42"),_xlfn._xlws.FILTER(INDIRECT(H105&amp;".scenario"),INDIRECT(H105)=$C105),0))),"-/-"),
IFERROR(_xlfn._xlws.FILTER(INDIRECT("'"&amp;model_name&amp;" case settings'!$C$19:$C$42"),ISNUMBER(MATCH(INDIRECT("'"&amp;model_name&amp;" case settings'!$C$19:$C$42"),_xlfn._xlws.FILTER(INDIRECT(I105&amp;".scenario"),INDIRECT(I105)=$C105),0))),"-/-"),
IFERROR(_xlfn._xlws.FILTER(INDIRECT("'"&amp;model_name&amp;" case settings'!$C$19:$C$42"),ISNUMBER(MATCH(INDIRECT("'"&amp;model_name&amp;" case settings'!$C$19:$C$42"),_xlfn._xlws.FILTER(INDIRECT(J105&amp;".scenario"),INDIRECT(J105)=$C105),0))),"-/-")),
_xlfn._xlws.FILTER(_xlpm.all_scenario_tags,_xlpm.all_scenario_tags&lt;&gt;"-/-","-/-")
))</f>
        <v>-/-</v>
      </c>
      <c r="N105" s="12"/>
      <c r="O105" s="12"/>
      <c r="P105" s="12"/>
      <c r="Q105" s="12"/>
    </row>
    <row r="106" spans="2:17">
      <c r="B106" s="38"/>
      <c r="C106" s="3"/>
      <c r="E106" s="91" t="str" cm="1">
        <f t="array" ref="E106:G106">TRANSPOSE("'"&amp;_xlfn._xlws.FILTER(Lists!$CA$9:$CA$50,B106=Lists!$CC$9:$CC$50)&amp;"'!"&amp;B106)</f>
        <v>''!</v>
      </c>
      <c r="F106" s="91" t="str">
        <v>''!</v>
      </c>
      <c r="G106" s="91" t="str">
        <v>''!</v>
      </c>
      <c r="H106" s="91"/>
      <c r="I106" s="91"/>
      <c r="J106" s="91"/>
      <c r="L106" s="34">
        <f t="shared" ca="1" si="1"/>
        <v>0</v>
      </c>
      <c r="M106" s="12" t="str" cm="1">
        <f t="array" aca="1" ref="M106" ca="1">TRANSPOSE(_xlfn.LET(
_xlpm.all_scenario_tags,
_xlfn.VSTACK(
IFERROR(_xlfn._xlws.FILTER(INDIRECT("'"&amp;model_name&amp;" case settings'!$C$19:$C$42"),ISNUMBER(MATCH(INDIRECT("'"&amp;model_name&amp;" case settings'!$C$19:$C$42"),_xlfn._xlws.FILTER(INDIRECT(E106&amp;".scenario"),INDIRECT(E106)=$C106),0))),"-/-"),
IFERROR(_xlfn._xlws.FILTER(INDIRECT("'"&amp;model_name&amp;" case settings'!$C$19:$C$42"),ISNUMBER(MATCH(INDIRECT("'"&amp;model_name&amp;" case settings'!$C$19:$C$42"),_xlfn._xlws.FILTER(INDIRECT(F106&amp;".scenario"),INDIRECT(F106)=$C106),0))),"-/-"),
IFERROR(_xlfn._xlws.FILTER(INDIRECT("'"&amp;model_name&amp;" case settings'!$C$19:$C$42"),ISNUMBER(MATCH(INDIRECT("'"&amp;model_name&amp;" case settings'!$C$19:$C$42"),_xlfn._xlws.FILTER(INDIRECT(G106&amp;".scenario"),INDIRECT(G106)=$C106),0))),"-/-"),
IFERROR(_xlfn._xlws.FILTER(INDIRECT("'"&amp;model_name&amp;" case settings'!$C$19:$C$42"),ISNUMBER(MATCH(INDIRECT("'"&amp;model_name&amp;" case settings'!$C$19:$C$42"),_xlfn._xlws.FILTER(INDIRECT(H106&amp;".scenario"),INDIRECT(H106)=$C106),0))),"-/-"),
IFERROR(_xlfn._xlws.FILTER(INDIRECT("'"&amp;model_name&amp;" case settings'!$C$19:$C$42"),ISNUMBER(MATCH(INDIRECT("'"&amp;model_name&amp;" case settings'!$C$19:$C$42"),_xlfn._xlws.FILTER(INDIRECT(I106&amp;".scenario"),INDIRECT(I106)=$C106),0))),"-/-"),
IFERROR(_xlfn._xlws.FILTER(INDIRECT("'"&amp;model_name&amp;" case settings'!$C$19:$C$42"),ISNUMBER(MATCH(INDIRECT("'"&amp;model_name&amp;" case settings'!$C$19:$C$42"),_xlfn._xlws.FILTER(INDIRECT(J106&amp;".scenario"),INDIRECT(J106)=$C106),0))),"-/-")),
_xlfn._xlws.FILTER(_xlpm.all_scenario_tags,_xlpm.all_scenario_tags&lt;&gt;"-/-","-/-")
))</f>
        <v>-/-</v>
      </c>
      <c r="N106" s="12"/>
      <c r="O106" s="12"/>
      <c r="P106" s="12"/>
      <c r="Q106" s="12"/>
    </row>
    <row r="107" spans="2:17">
      <c r="B107" s="38"/>
      <c r="C107" s="3"/>
      <c r="E107" s="91" t="str" cm="1">
        <f t="array" ref="E107:G107">TRANSPOSE("'"&amp;_xlfn._xlws.FILTER(Lists!$CA$9:$CA$50,B107=Lists!$CC$9:$CC$50)&amp;"'!"&amp;B107)</f>
        <v>''!</v>
      </c>
      <c r="F107" s="91" t="str">
        <v>''!</v>
      </c>
      <c r="G107" s="91" t="str">
        <v>''!</v>
      </c>
      <c r="H107" s="91"/>
      <c r="I107" s="91"/>
      <c r="J107" s="91"/>
      <c r="L107" s="34">
        <f t="shared" ca="1" si="1"/>
        <v>0</v>
      </c>
      <c r="M107" s="12" t="str" cm="1">
        <f t="array" aca="1" ref="M107" ca="1">TRANSPOSE(_xlfn.LET(
_xlpm.all_scenario_tags,
_xlfn.VSTACK(
IFERROR(_xlfn._xlws.FILTER(INDIRECT("'"&amp;model_name&amp;" case settings'!$C$19:$C$42"),ISNUMBER(MATCH(INDIRECT("'"&amp;model_name&amp;" case settings'!$C$19:$C$42"),_xlfn._xlws.FILTER(INDIRECT(E107&amp;".scenario"),INDIRECT(E107)=$C107),0))),"-/-"),
IFERROR(_xlfn._xlws.FILTER(INDIRECT("'"&amp;model_name&amp;" case settings'!$C$19:$C$42"),ISNUMBER(MATCH(INDIRECT("'"&amp;model_name&amp;" case settings'!$C$19:$C$42"),_xlfn._xlws.FILTER(INDIRECT(F107&amp;".scenario"),INDIRECT(F107)=$C107),0))),"-/-"),
IFERROR(_xlfn._xlws.FILTER(INDIRECT("'"&amp;model_name&amp;" case settings'!$C$19:$C$42"),ISNUMBER(MATCH(INDIRECT("'"&amp;model_name&amp;" case settings'!$C$19:$C$42"),_xlfn._xlws.FILTER(INDIRECT(G107&amp;".scenario"),INDIRECT(G107)=$C107),0))),"-/-"),
IFERROR(_xlfn._xlws.FILTER(INDIRECT("'"&amp;model_name&amp;" case settings'!$C$19:$C$42"),ISNUMBER(MATCH(INDIRECT("'"&amp;model_name&amp;" case settings'!$C$19:$C$42"),_xlfn._xlws.FILTER(INDIRECT(H107&amp;".scenario"),INDIRECT(H107)=$C107),0))),"-/-"),
IFERROR(_xlfn._xlws.FILTER(INDIRECT("'"&amp;model_name&amp;" case settings'!$C$19:$C$42"),ISNUMBER(MATCH(INDIRECT("'"&amp;model_name&amp;" case settings'!$C$19:$C$42"),_xlfn._xlws.FILTER(INDIRECT(I107&amp;".scenario"),INDIRECT(I107)=$C107),0))),"-/-"),
IFERROR(_xlfn._xlws.FILTER(INDIRECT("'"&amp;model_name&amp;" case settings'!$C$19:$C$42"),ISNUMBER(MATCH(INDIRECT("'"&amp;model_name&amp;" case settings'!$C$19:$C$42"),_xlfn._xlws.FILTER(INDIRECT(J107&amp;".scenario"),INDIRECT(J107)=$C107),0))),"-/-")),
_xlfn._xlws.FILTER(_xlpm.all_scenario_tags,_xlpm.all_scenario_tags&lt;&gt;"-/-","-/-")
))</f>
        <v>-/-</v>
      </c>
      <c r="N107" s="12"/>
      <c r="O107" s="12"/>
      <c r="P107" s="12"/>
      <c r="Q107" s="12"/>
    </row>
    <row r="108" spans="2:17">
      <c r="B108" s="38"/>
      <c r="C108" s="3"/>
      <c r="E108" s="91" t="str" cm="1">
        <f t="array" ref="E108:G108">TRANSPOSE("'"&amp;_xlfn._xlws.FILTER(Lists!$CA$9:$CA$50,B108=Lists!$CC$9:$CC$50)&amp;"'!"&amp;B108)</f>
        <v>''!</v>
      </c>
      <c r="F108" s="91" t="str">
        <v>''!</v>
      </c>
      <c r="G108" s="91" t="str">
        <v>''!</v>
      </c>
      <c r="H108" s="91"/>
      <c r="I108" s="91"/>
      <c r="J108" s="91"/>
      <c r="L108" s="34">
        <f t="shared" ca="1" si="1"/>
        <v>0</v>
      </c>
      <c r="M108" s="12" t="str" cm="1">
        <f t="array" aca="1" ref="M108" ca="1">TRANSPOSE(_xlfn.LET(
_xlpm.all_scenario_tags,
_xlfn.VSTACK(
IFERROR(_xlfn._xlws.FILTER(INDIRECT("'"&amp;model_name&amp;" case settings'!$C$19:$C$42"),ISNUMBER(MATCH(INDIRECT("'"&amp;model_name&amp;" case settings'!$C$19:$C$42"),_xlfn._xlws.FILTER(INDIRECT(E108&amp;".scenario"),INDIRECT(E108)=$C108),0))),"-/-"),
IFERROR(_xlfn._xlws.FILTER(INDIRECT("'"&amp;model_name&amp;" case settings'!$C$19:$C$42"),ISNUMBER(MATCH(INDIRECT("'"&amp;model_name&amp;" case settings'!$C$19:$C$42"),_xlfn._xlws.FILTER(INDIRECT(F108&amp;".scenario"),INDIRECT(F108)=$C108),0))),"-/-"),
IFERROR(_xlfn._xlws.FILTER(INDIRECT("'"&amp;model_name&amp;" case settings'!$C$19:$C$42"),ISNUMBER(MATCH(INDIRECT("'"&amp;model_name&amp;" case settings'!$C$19:$C$42"),_xlfn._xlws.FILTER(INDIRECT(G108&amp;".scenario"),INDIRECT(G108)=$C108),0))),"-/-"),
IFERROR(_xlfn._xlws.FILTER(INDIRECT("'"&amp;model_name&amp;" case settings'!$C$19:$C$42"),ISNUMBER(MATCH(INDIRECT("'"&amp;model_name&amp;" case settings'!$C$19:$C$42"),_xlfn._xlws.FILTER(INDIRECT(H108&amp;".scenario"),INDIRECT(H108)=$C108),0))),"-/-"),
IFERROR(_xlfn._xlws.FILTER(INDIRECT("'"&amp;model_name&amp;" case settings'!$C$19:$C$42"),ISNUMBER(MATCH(INDIRECT("'"&amp;model_name&amp;" case settings'!$C$19:$C$42"),_xlfn._xlws.FILTER(INDIRECT(I108&amp;".scenario"),INDIRECT(I108)=$C108),0))),"-/-"),
IFERROR(_xlfn._xlws.FILTER(INDIRECT("'"&amp;model_name&amp;" case settings'!$C$19:$C$42"),ISNUMBER(MATCH(INDIRECT("'"&amp;model_name&amp;" case settings'!$C$19:$C$42"),_xlfn._xlws.FILTER(INDIRECT(J108&amp;".scenario"),INDIRECT(J108)=$C108),0))),"-/-")),
_xlfn._xlws.FILTER(_xlpm.all_scenario_tags,_xlpm.all_scenario_tags&lt;&gt;"-/-","-/-")
))</f>
        <v>-/-</v>
      </c>
      <c r="N108" s="12"/>
      <c r="O108" s="12"/>
      <c r="P108" s="12"/>
      <c r="Q108" s="12"/>
    </row>
    <row r="109" spans="2:17">
      <c r="B109" s="38"/>
      <c r="C109" s="3"/>
      <c r="E109" s="91" t="str" cm="1">
        <f t="array" ref="E109:G109">TRANSPOSE("'"&amp;_xlfn._xlws.FILTER(Lists!$CA$9:$CA$50,B109=Lists!$CC$9:$CC$50)&amp;"'!"&amp;B109)</f>
        <v>''!</v>
      </c>
      <c r="F109" s="91" t="str">
        <v>''!</v>
      </c>
      <c r="G109" s="91" t="str">
        <v>''!</v>
      </c>
      <c r="H109" s="91"/>
      <c r="I109" s="91"/>
      <c r="J109" s="91"/>
      <c r="L109" s="34">
        <f t="shared" ca="1" si="1"/>
        <v>0</v>
      </c>
      <c r="M109" s="12" t="str" cm="1">
        <f t="array" aca="1" ref="M109" ca="1">TRANSPOSE(_xlfn.LET(
_xlpm.all_scenario_tags,
_xlfn.VSTACK(
IFERROR(_xlfn._xlws.FILTER(INDIRECT("'"&amp;model_name&amp;" case settings'!$C$19:$C$42"),ISNUMBER(MATCH(INDIRECT("'"&amp;model_name&amp;" case settings'!$C$19:$C$42"),_xlfn._xlws.FILTER(INDIRECT(E109&amp;".scenario"),INDIRECT(E109)=$C109),0))),"-/-"),
IFERROR(_xlfn._xlws.FILTER(INDIRECT("'"&amp;model_name&amp;" case settings'!$C$19:$C$42"),ISNUMBER(MATCH(INDIRECT("'"&amp;model_name&amp;" case settings'!$C$19:$C$42"),_xlfn._xlws.FILTER(INDIRECT(F109&amp;".scenario"),INDIRECT(F109)=$C109),0))),"-/-"),
IFERROR(_xlfn._xlws.FILTER(INDIRECT("'"&amp;model_name&amp;" case settings'!$C$19:$C$42"),ISNUMBER(MATCH(INDIRECT("'"&amp;model_name&amp;" case settings'!$C$19:$C$42"),_xlfn._xlws.FILTER(INDIRECT(G109&amp;".scenario"),INDIRECT(G109)=$C109),0))),"-/-"),
IFERROR(_xlfn._xlws.FILTER(INDIRECT("'"&amp;model_name&amp;" case settings'!$C$19:$C$42"),ISNUMBER(MATCH(INDIRECT("'"&amp;model_name&amp;" case settings'!$C$19:$C$42"),_xlfn._xlws.FILTER(INDIRECT(H109&amp;".scenario"),INDIRECT(H109)=$C109),0))),"-/-"),
IFERROR(_xlfn._xlws.FILTER(INDIRECT("'"&amp;model_name&amp;" case settings'!$C$19:$C$42"),ISNUMBER(MATCH(INDIRECT("'"&amp;model_name&amp;" case settings'!$C$19:$C$42"),_xlfn._xlws.FILTER(INDIRECT(I109&amp;".scenario"),INDIRECT(I109)=$C109),0))),"-/-"),
IFERROR(_xlfn._xlws.FILTER(INDIRECT("'"&amp;model_name&amp;" case settings'!$C$19:$C$42"),ISNUMBER(MATCH(INDIRECT("'"&amp;model_name&amp;" case settings'!$C$19:$C$42"),_xlfn._xlws.FILTER(INDIRECT(J109&amp;".scenario"),INDIRECT(J109)=$C109),0))),"-/-")),
_xlfn._xlws.FILTER(_xlpm.all_scenario_tags,_xlpm.all_scenario_tags&lt;&gt;"-/-","-/-")
))</f>
        <v>-/-</v>
      </c>
      <c r="N109" s="12"/>
      <c r="O109" s="12"/>
      <c r="P109" s="12"/>
      <c r="Q109" s="12"/>
    </row>
    <row r="110" spans="2:17">
      <c r="B110" s="38"/>
      <c r="C110" s="3"/>
      <c r="E110" s="91" t="str" cm="1">
        <f t="array" ref="E110:G110">TRANSPOSE("'"&amp;_xlfn._xlws.FILTER(Lists!$CA$9:$CA$50,B110=Lists!$CC$9:$CC$50)&amp;"'!"&amp;B110)</f>
        <v>''!</v>
      </c>
      <c r="F110" s="91" t="str">
        <v>''!</v>
      </c>
      <c r="G110" s="91" t="str">
        <v>''!</v>
      </c>
      <c r="H110" s="91"/>
      <c r="I110" s="91"/>
      <c r="J110" s="91"/>
      <c r="L110" s="34">
        <f t="shared" ca="1" si="1"/>
        <v>0</v>
      </c>
      <c r="M110" s="12" t="str" cm="1">
        <f t="array" aca="1" ref="M110" ca="1">TRANSPOSE(_xlfn.LET(
_xlpm.all_scenario_tags,
_xlfn.VSTACK(
IFERROR(_xlfn._xlws.FILTER(INDIRECT("'"&amp;model_name&amp;" case settings'!$C$19:$C$42"),ISNUMBER(MATCH(INDIRECT("'"&amp;model_name&amp;" case settings'!$C$19:$C$42"),_xlfn._xlws.FILTER(INDIRECT(E110&amp;".scenario"),INDIRECT(E110)=$C110),0))),"-/-"),
IFERROR(_xlfn._xlws.FILTER(INDIRECT("'"&amp;model_name&amp;" case settings'!$C$19:$C$42"),ISNUMBER(MATCH(INDIRECT("'"&amp;model_name&amp;" case settings'!$C$19:$C$42"),_xlfn._xlws.FILTER(INDIRECT(F110&amp;".scenario"),INDIRECT(F110)=$C110),0))),"-/-"),
IFERROR(_xlfn._xlws.FILTER(INDIRECT("'"&amp;model_name&amp;" case settings'!$C$19:$C$42"),ISNUMBER(MATCH(INDIRECT("'"&amp;model_name&amp;" case settings'!$C$19:$C$42"),_xlfn._xlws.FILTER(INDIRECT(G110&amp;".scenario"),INDIRECT(G110)=$C110),0))),"-/-"),
IFERROR(_xlfn._xlws.FILTER(INDIRECT("'"&amp;model_name&amp;" case settings'!$C$19:$C$42"),ISNUMBER(MATCH(INDIRECT("'"&amp;model_name&amp;" case settings'!$C$19:$C$42"),_xlfn._xlws.FILTER(INDIRECT(H110&amp;".scenario"),INDIRECT(H110)=$C110),0))),"-/-"),
IFERROR(_xlfn._xlws.FILTER(INDIRECT("'"&amp;model_name&amp;" case settings'!$C$19:$C$42"),ISNUMBER(MATCH(INDIRECT("'"&amp;model_name&amp;" case settings'!$C$19:$C$42"),_xlfn._xlws.FILTER(INDIRECT(I110&amp;".scenario"),INDIRECT(I110)=$C110),0))),"-/-"),
IFERROR(_xlfn._xlws.FILTER(INDIRECT("'"&amp;model_name&amp;" case settings'!$C$19:$C$42"),ISNUMBER(MATCH(INDIRECT("'"&amp;model_name&amp;" case settings'!$C$19:$C$42"),_xlfn._xlws.FILTER(INDIRECT(J110&amp;".scenario"),INDIRECT(J110)=$C110),0))),"-/-")),
_xlfn._xlws.FILTER(_xlpm.all_scenario_tags,_xlpm.all_scenario_tags&lt;&gt;"-/-","-/-")
))</f>
        <v>-/-</v>
      </c>
      <c r="N110" s="12"/>
      <c r="O110" s="12"/>
      <c r="P110" s="12"/>
      <c r="Q110" s="12"/>
    </row>
    <row r="111" spans="2:17">
      <c r="B111" s="38"/>
      <c r="C111" s="3"/>
      <c r="E111" s="91" t="str" cm="1">
        <f t="array" ref="E111:G111">TRANSPOSE("'"&amp;_xlfn._xlws.FILTER(Lists!$CA$9:$CA$50,B111=Lists!$CC$9:$CC$50)&amp;"'!"&amp;B111)</f>
        <v>''!</v>
      </c>
      <c r="F111" s="91" t="str">
        <v>''!</v>
      </c>
      <c r="G111" s="91" t="str">
        <v>''!</v>
      </c>
      <c r="H111" s="91"/>
      <c r="I111" s="91"/>
      <c r="J111" s="91"/>
      <c r="L111" s="34">
        <f t="shared" ca="1" si="1"/>
        <v>0</v>
      </c>
      <c r="M111" s="12" t="str" cm="1">
        <f t="array" aca="1" ref="M111" ca="1">TRANSPOSE(_xlfn.LET(
_xlpm.all_scenario_tags,
_xlfn.VSTACK(
IFERROR(_xlfn._xlws.FILTER(INDIRECT("'"&amp;model_name&amp;" case settings'!$C$19:$C$42"),ISNUMBER(MATCH(INDIRECT("'"&amp;model_name&amp;" case settings'!$C$19:$C$42"),_xlfn._xlws.FILTER(INDIRECT(E111&amp;".scenario"),INDIRECT(E111)=$C111),0))),"-/-"),
IFERROR(_xlfn._xlws.FILTER(INDIRECT("'"&amp;model_name&amp;" case settings'!$C$19:$C$42"),ISNUMBER(MATCH(INDIRECT("'"&amp;model_name&amp;" case settings'!$C$19:$C$42"),_xlfn._xlws.FILTER(INDIRECT(F111&amp;".scenario"),INDIRECT(F111)=$C111),0))),"-/-"),
IFERROR(_xlfn._xlws.FILTER(INDIRECT("'"&amp;model_name&amp;" case settings'!$C$19:$C$42"),ISNUMBER(MATCH(INDIRECT("'"&amp;model_name&amp;" case settings'!$C$19:$C$42"),_xlfn._xlws.FILTER(INDIRECT(G111&amp;".scenario"),INDIRECT(G111)=$C111),0))),"-/-"),
IFERROR(_xlfn._xlws.FILTER(INDIRECT("'"&amp;model_name&amp;" case settings'!$C$19:$C$42"),ISNUMBER(MATCH(INDIRECT("'"&amp;model_name&amp;" case settings'!$C$19:$C$42"),_xlfn._xlws.FILTER(INDIRECT(H111&amp;".scenario"),INDIRECT(H111)=$C111),0))),"-/-"),
IFERROR(_xlfn._xlws.FILTER(INDIRECT("'"&amp;model_name&amp;" case settings'!$C$19:$C$42"),ISNUMBER(MATCH(INDIRECT("'"&amp;model_name&amp;" case settings'!$C$19:$C$42"),_xlfn._xlws.FILTER(INDIRECT(I111&amp;".scenario"),INDIRECT(I111)=$C111),0))),"-/-"),
IFERROR(_xlfn._xlws.FILTER(INDIRECT("'"&amp;model_name&amp;" case settings'!$C$19:$C$42"),ISNUMBER(MATCH(INDIRECT("'"&amp;model_name&amp;" case settings'!$C$19:$C$42"),_xlfn._xlws.FILTER(INDIRECT(J111&amp;".scenario"),INDIRECT(J111)=$C111),0))),"-/-")),
_xlfn._xlws.FILTER(_xlpm.all_scenario_tags,_xlpm.all_scenario_tags&lt;&gt;"-/-","-/-")
))</f>
        <v>-/-</v>
      </c>
      <c r="N111" s="12"/>
      <c r="O111" s="12"/>
      <c r="P111" s="12"/>
      <c r="Q111" s="12"/>
    </row>
    <row r="112" spans="2:17">
      <c r="B112" s="38"/>
      <c r="C112" s="3"/>
      <c r="E112" s="91" t="str" cm="1">
        <f t="array" ref="E112:G112">TRANSPOSE("'"&amp;_xlfn._xlws.FILTER(Lists!$CA$9:$CA$50,B112=Lists!$CC$9:$CC$50)&amp;"'!"&amp;B112)</f>
        <v>''!</v>
      </c>
      <c r="F112" s="91" t="str">
        <v>''!</v>
      </c>
      <c r="G112" s="91" t="str">
        <v>''!</v>
      </c>
      <c r="H112" s="91"/>
      <c r="I112" s="91"/>
      <c r="J112" s="91"/>
      <c r="L112" s="34">
        <f t="shared" ca="1" si="1"/>
        <v>0</v>
      </c>
      <c r="M112" s="12" t="str" cm="1">
        <f t="array" aca="1" ref="M112" ca="1">TRANSPOSE(_xlfn.LET(
_xlpm.all_scenario_tags,
_xlfn.VSTACK(
IFERROR(_xlfn._xlws.FILTER(INDIRECT("'"&amp;model_name&amp;" case settings'!$C$19:$C$42"),ISNUMBER(MATCH(INDIRECT("'"&amp;model_name&amp;" case settings'!$C$19:$C$42"),_xlfn._xlws.FILTER(INDIRECT(E112&amp;".scenario"),INDIRECT(E112)=$C112),0))),"-/-"),
IFERROR(_xlfn._xlws.FILTER(INDIRECT("'"&amp;model_name&amp;" case settings'!$C$19:$C$42"),ISNUMBER(MATCH(INDIRECT("'"&amp;model_name&amp;" case settings'!$C$19:$C$42"),_xlfn._xlws.FILTER(INDIRECT(F112&amp;".scenario"),INDIRECT(F112)=$C112),0))),"-/-"),
IFERROR(_xlfn._xlws.FILTER(INDIRECT("'"&amp;model_name&amp;" case settings'!$C$19:$C$42"),ISNUMBER(MATCH(INDIRECT("'"&amp;model_name&amp;" case settings'!$C$19:$C$42"),_xlfn._xlws.FILTER(INDIRECT(G112&amp;".scenario"),INDIRECT(G112)=$C112),0))),"-/-"),
IFERROR(_xlfn._xlws.FILTER(INDIRECT("'"&amp;model_name&amp;" case settings'!$C$19:$C$42"),ISNUMBER(MATCH(INDIRECT("'"&amp;model_name&amp;" case settings'!$C$19:$C$42"),_xlfn._xlws.FILTER(INDIRECT(H112&amp;".scenario"),INDIRECT(H112)=$C112),0))),"-/-"),
IFERROR(_xlfn._xlws.FILTER(INDIRECT("'"&amp;model_name&amp;" case settings'!$C$19:$C$42"),ISNUMBER(MATCH(INDIRECT("'"&amp;model_name&amp;" case settings'!$C$19:$C$42"),_xlfn._xlws.FILTER(INDIRECT(I112&amp;".scenario"),INDIRECT(I112)=$C112),0))),"-/-"),
IFERROR(_xlfn._xlws.FILTER(INDIRECT("'"&amp;model_name&amp;" case settings'!$C$19:$C$42"),ISNUMBER(MATCH(INDIRECT("'"&amp;model_name&amp;" case settings'!$C$19:$C$42"),_xlfn._xlws.FILTER(INDIRECT(J112&amp;".scenario"),INDIRECT(J112)=$C112),0))),"-/-")),
_xlfn._xlws.FILTER(_xlpm.all_scenario_tags,_xlpm.all_scenario_tags&lt;&gt;"-/-","-/-")
))</f>
        <v>-/-</v>
      </c>
      <c r="N112" s="12"/>
      <c r="O112" s="12"/>
      <c r="P112" s="12"/>
      <c r="Q112" s="12"/>
    </row>
    <row r="113" spans="2:17">
      <c r="B113" s="38"/>
      <c r="C113" s="3"/>
      <c r="E113" s="91" t="str" cm="1">
        <f t="array" ref="E113:G113">TRANSPOSE("'"&amp;_xlfn._xlws.FILTER(Lists!$CA$9:$CA$50,B113=Lists!$CC$9:$CC$50)&amp;"'!"&amp;B113)</f>
        <v>''!</v>
      </c>
      <c r="F113" s="91" t="str">
        <v>''!</v>
      </c>
      <c r="G113" s="91" t="str">
        <v>''!</v>
      </c>
      <c r="H113" s="91"/>
      <c r="I113" s="91"/>
      <c r="J113" s="91"/>
      <c r="L113" s="34">
        <f t="shared" ca="1" si="1"/>
        <v>0</v>
      </c>
      <c r="M113" s="12" t="str" cm="1">
        <f t="array" aca="1" ref="M113" ca="1">TRANSPOSE(_xlfn.LET(
_xlpm.all_scenario_tags,
_xlfn.VSTACK(
IFERROR(_xlfn._xlws.FILTER(INDIRECT("'"&amp;model_name&amp;" case settings'!$C$19:$C$42"),ISNUMBER(MATCH(INDIRECT("'"&amp;model_name&amp;" case settings'!$C$19:$C$42"),_xlfn._xlws.FILTER(INDIRECT(E113&amp;".scenario"),INDIRECT(E113)=$C113),0))),"-/-"),
IFERROR(_xlfn._xlws.FILTER(INDIRECT("'"&amp;model_name&amp;" case settings'!$C$19:$C$42"),ISNUMBER(MATCH(INDIRECT("'"&amp;model_name&amp;" case settings'!$C$19:$C$42"),_xlfn._xlws.FILTER(INDIRECT(F113&amp;".scenario"),INDIRECT(F113)=$C113),0))),"-/-"),
IFERROR(_xlfn._xlws.FILTER(INDIRECT("'"&amp;model_name&amp;" case settings'!$C$19:$C$42"),ISNUMBER(MATCH(INDIRECT("'"&amp;model_name&amp;" case settings'!$C$19:$C$42"),_xlfn._xlws.FILTER(INDIRECT(G113&amp;".scenario"),INDIRECT(G113)=$C113),0))),"-/-"),
IFERROR(_xlfn._xlws.FILTER(INDIRECT("'"&amp;model_name&amp;" case settings'!$C$19:$C$42"),ISNUMBER(MATCH(INDIRECT("'"&amp;model_name&amp;" case settings'!$C$19:$C$42"),_xlfn._xlws.FILTER(INDIRECT(H113&amp;".scenario"),INDIRECT(H113)=$C113),0))),"-/-"),
IFERROR(_xlfn._xlws.FILTER(INDIRECT("'"&amp;model_name&amp;" case settings'!$C$19:$C$42"),ISNUMBER(MATCH(INDIRECT("'"&amp;model_name&amp;" case settings'!$C$19:$C$42"),_xlfn._xlws.FILTER(INDIRECT(I113&amp;".scenario"),INDIRECT(I113)=$C113),0))),"-/-"),
IFERROR(_xlfn._xlws.FILTER(INDIRECT("'"&amp;model_name&amp;" case settings'!$C$19:$C$42"),ISNUMBER(MATCH(INDIRECT("'"&amp;model_name&amp;" case settings'!$C$19:$C$42"),_xlfn._xlws.FILTER(INDIRECT(J113&amp;".scenario"),INDIRECT(J113)=$C113),0))),"-/-")),
_xlfn._xlws.FILTER(_xlpm.all_scenario_tags,_xlpm.all_scenario_tags&lt;&gt;"-/-","-/-")
))</f>
        <v>-/-</v>
      </c>
      <c r="N113" s="12"/>
      <c r="O113" s="12"/>
      <c r="P113" s="12"/>
      <c r="Q113" s="12"/>
    </row>
    <row r="114" spans="2:17">
      <c r="B114" s="38"/>
      <c r="C114" s="3"/>
      <c r="E114" s="91" t="str" cm="1">
        <f t="array" ref="E114:G114">TRANSPOSE("'"&amp;_xlfn._xlws.FILTER(Lists!$CA$9:$CA$50,B114=Lists!$CC$9:$CC$50)&amp;"'!"&amp;B114)</f>
        <v>''!</v>
      </c>
      <c r="F114" s="91" t="str">
        <v>''!</v>
      </c>
      <c r="G114" s="91" t="str">
        <v>''!</v>
      </c>
      <c r="H114" s="91"/>
      <c r="I114" s="91"/>
      <c r="J114" s="91"/>
      <c r="L114" s="34">
        <f t="shared" ca="1" si="1"/>
        <v>0</v>
      </c>
      <c r="M114" s="12" t="str" cm="1">
        <f t="array" aca="1" ref="M114" ca="1">TRANSPOSE(_xlfn.LET(
_xlpm.all_scenario_tags,
_xlfn.VSTACK(
IFERROR(_xlfn._xlws.FILTER(INDIRECT("'"&amp;model_name&amp;" case settings'!$C$19:$C$42"),ISNUMBER(MATCH(INDIRECT("'"&amp;model_name&amp;" case settings'!$C$19:$C$42"),_xlfn._xlws.FILTER(INDIRECT(E114&amp;".scenario"),INDIRECT(E114)=$C114),0))),"-/-"),
IFERROR(_xlfn._xlws.FILTER(INDIRECT("'"&amp;model_name&amp;" case settings'!$C$19:$C$42"),ISNUMBER(MATCH(INDIRECT("'"&amp;model_name&amp;" case settings'!$C$19:$C$42"),_xlfn._xlws.FILTER(INDIRECT(F114&amp;".scenario"),INDIRECT(F114)=$C114),0))),"-/-"),
IFERROR(_xlfn._xlws.FILTER(INDIRECT("'"&amp;model_name&amp;" case settings'!$C$19:$C$42"),ISNUMBER(MATCH(INDIRECT("'"&amp;model_name&amp;" case settings'!$C$19:$C$42"),_xlfn._xlws.FILTER(INDIRECT(G114&amp;".scenario"),INDIRECT(G114)=$C114),0))),"-/-"),
IFERROR(_xlfn._xlws.FILTER(INDIRECT("'"&amp;model_name&amp;" case settings'!$C$19:$C$42"),ISNUMBER(MATCH(INDIRECT("'"&amp;model_name&amp;" case settings'!$C$19:$C$42"),_xlfn._xlws.FILTER(INDIRECT(H114&amp;".scenario"),INDIRECT(H114)=$C114),0))),"-/-"),
IFERROR(_xlfn._xlws.FILTER(INDIRECT("'"&amp;model_name&amp;" case settings'!$C$19:$C$42"),ISNUMBER(MATCH(INDIRECT("'"&amp;model_name&amp;" case settings'!$C$19:$C$42"),_xlfn._xlws.FILTER(INDIRECT(I114&amp;".scenario"),INDIRECT(I114)=$C114),0))),"-/-"),
IFERROR(_xlfn._xlws.FILTER(INDIRECT("'"&amp;model_name&amp;" case settings'!$C$19:$C$42"),ISNUMBER(MATCH(INDIRECT("'"&amp;model_name&amp;" case settings'!$C$19:$C$42"),_xlfn._xlws.FILTER(INDIRECT(J114&amp;".scenario"),INDIRECT(J114)=$C114),0))),"-/-")),
_xlfn._xlws.FILTER(_xlpm.all_scenario_tags,_xlpm.all_scenario_tags&lt;&gt;"-/-","-/-")
))</f>
        <v>-/-</v>
      </c>
      <c r="N114" s="12"/>
      <c r="O114" s="12"/>
      <c r="P114" s="12"/>
      <c r="Q114" s="12"/>
    </row>
    <row r="115" spans="2:17">
      <c r="B115" s="38"/>
      <c r="C115" s="3"/>
      <c r="E115" s="91" t="str" cm="1">
        <f t="array" ref="E115:G115">TRANSPOSE("'"&amp;_xlfn._xlws.FILTER(Lists!$CA$9:$CA$50,B115=Lists!$CC$9:$CC$50)&amp;"'!"&amp;B115)</f>
        <v>''!</v>
      </c>
      <c r="F115" s="91" t="str">
        <v>''!</v>
      </c>
      <c r="G115" s="91" t="str">
        <v>''!</v>
      </c>
      <c r="H115" s="91"/>
      <c r="I115" s="91"/>
      <c r="J115" s="91"/>
      <c r="L115" s="34">
        <f t="shared" ca="1" si="1"/>
        <v>0</v>
      </c>
      <c r="M115" s="12" t="str" cm="1">
        <f t="array" aca="1" ref="M115" ca="1">TRANSPOSE(_xlfn.LET(
_xlpm.all_scenario_tags,
_xlfn.VSTACK(
IFERROR(_xlfn._xlws.FILTER(INDIRECT("'"&amp;model_name&amp;" case settings'!$C$19:$C$42"),ISNUMBER(MATCH(INDIRECT("'"&amp;model_name&amp;" case settings'!$C$19:$C$42"),_xlfn._xlws.FILTER(INDIRECT(E115&amp;".scenario"),INDIRECT(E115)=$C115),0))),"-/-"),
IFERROR(_xlfn._xlws.FILTER(INDIRECT("'"&amp;model_name&amp;" case settings'!$C$19:$C$42"),ISNUMBER(MATCH(INDIRECT("'"&amp;model_name&amp;" case settings'!$C$19:$C$42"),_xlfn._xlws.FILTER(INDIRECT(F115&amp;".scenario"),INDIRECT(F115)=$C115),0))),"-/-"),
IFERROR(_xlfn._xlws.FILTER(INDIRECT("'"&amp;model_name&amp;" case settings'!$C$19:$C$42"),ISNUMBER(MATCH(INDIRECT("'"&amp;model_name&amp;" case settings'!$C$19:$C$42"),_xlfn._xlws.FILTER(INDIRECT(G115&amp;".scenario"),INDIRECT(G115)=$C115),0))),"-/-"),
IFERROR(_xlfn._xlws.FILTER(INDIRECT("'"&amp;model_name&amp;" case settings'!$C$19:$C$42"),ISNUMBER(MATCH(INDIRECT("'"&amp;model_name&amp;" case settings'!$C$19:$C$42"),_xlfn._xlws.FILTER(INDIRECT(H115&amp;".scenario"),INDIRECT(H115)=$C115),0))),"-/-"),
IFERROR(_xlfn._xlws.FILTER(INDIRECT("'"&amp;model_name&amp;" case settings'!$C$19:$C$42"),ISNUMBER(MATCH(INDIRECT("'"&amp;model_name&amp;" case settings'!$C$19:$C$42"),_xlfn._xlws.FILTER(INDIRECT(I115&amp;".scenario"),INDIRECT(I115)=$C115),0))),"-/-"),
IFERROR(_xlfn._xlws.FILTER(INDIRECT("'"&amp;model_name&amp;" case settings'!$C$19:$C$42"),ISNUMBER(MATCH(INDIRECT("'"&amp;model_name&amp;" case settings'!$C$19:$C$42"),_xlfn._xlws.FILTER(INDIRECT(J115&amp;".scenario"),INDIRECT(J115)=$C115),0))),"-/-")),
_xlfn._xlws.FILTER(_xlpm.all_scenario_tags,_xlpm.all_scenario_tags&lt;&gt;"-/-","-/-")
))</f>
        <v>-/-</v>
      </c>
      <c r="N115" s="12"/>
      <c r="O115" s="12"/>
      <c r="P115" s="12"/>
      <c r="Q115" s="12"/>
    </row>
    <row r="116" spans="2:17">
      <c r="B116" s="38"/>
      <c r="C116" s="3"/>
      <c r="E116" s="91" t="str" cm="1">
        <f t="array" ref="E116:G116">TRANSPOSE("'"&amp;_xlfn._xlws.FILTER(Lists!$CA$9:$CA$50,B116=Lists!$CC$9:$CC$50)&amp;"'!"&amp;B116)</f>
        <v>''!</v>
      </c>
      <c r="F116" s="91" t="str">
        <v>''!</v>
      </c>
      <c r="G116" s="91" t="str">
        <v>''!</v>
      </c>
      <c r="H116" s="91"/>
      <c r="I116" s="91"/>
      <c r="J116" s="91"/>
      <c r="L116" s="34">
        <f t="shared" ca="1" si="1"/>
        <v>0</v>
      </c>
      <c r="M116" s="12" t="str" cm="1">
        <f t="array" aca="1" ref="M116" ca="1">TRANSPOSE(_xlfn.LET(
_xlpm.all_scenario_tags,
_xlfn.VSTACK(
IFERROR(_xlfn._xlws.FILTER(INDIRECT("'"&amp;model_name&amp;" case settings'!$C$19:$C$42"),ISNUMBER(MATCH(INDIRECT("'"&amp;model_name&amp;" case settings'!$C$19:$C$42"),_xlfn._xlws.FILTER(INDIRECT(E116&amp;".scenario"),INDIRECT(E116)=$C116),0))),"-/-"),
IFERROR(_xlfn._xlws.FILTER(INDIRECT("'"&amp;model_name&amp;" case settings'!$C$19:$C$42"),ISNUMBER(MATCH(INDIRECT("'"&amp;model_name&amp;" case settings'!$C$19:$C$42"),_xlfn._xlws.FILTER(INDIRECT(F116&amp;".scenario"),INDIRECT(F116)=$C116),0))),"-/-"),
IFERROR(_xlfn._xlws.FILTER(INDIRECT("'"&amp;model_name&amp;" case settings'!$C$19:$C$42"),ISNUMBER(MATCH(INDIRECT("'"&amp;model_name&amp;" case settings'!$C$19:$C$42"),_xlfn._xlws.FILTER(INDIRECT(G116&amp;".scenario"),INDIRECT(G116)=$C116),0))),"-/-"),
IFERROR(_xlfn._xlws.FILTER(INDIRECT("'"&amp;model_name&amp;" case settings'!$C$19:$C$42"),ISNUMBER(MATCH(INDIRECT("'"&amp;model_name&amp;" case settings'!$C$19:$C$42"),_xlfn._xlws.FILTER(INDIRECT(H116&amp;".scenario"),INDIRECT(H116)=$C116),0))),"-/-"),
IFERROR(_xlfn._xlws.FILTER(INDIRECT("'"&amp;model_name&amp;" case settings'!$C$19:$C$42"),ISNUMBER(MATCH(INDIRECT("'"&amp;model_name&amp;" case settings'!$C$19:$C$42"),_xlfn._xlws.FILTER(INDIRECT(I116&amp;".scenario"),INDIRECT(I116)=$C116),0))),"-/-"),
IFERROR(_xlfn._xlws.FILTER(INDIRECT("'"&amp;model_name&amp;" case settings'!$C$19:$C$42"),ISNUMBER(MATCH(INDIRECT("'"&amp;model_name&amp;" case settings'!$C$19:$C$42"),_xlfn._xlws.FILTER(INDIRECT(J116&amp;".scenario"),INDIRECT(J116)=$C116),0))),"-/-")),
_xlfn._xlws.FILTER(_xlpm.all_scenario_tags,_xlpm.all_scenario_tags&lt;&gt;"-/-","-/-")
))</f>
        <v>-/-</v>
      </c>
      <c r="N116" s="12"/>
      <c r="O116" s="12"/>
      <c r="P116" s="12"/>
      <c r="Q116" s="12"/>
    </row>
    <row r="117" spans="2:17">
      <c r="B117" s="38"/>
      <c r="C117" s="3"/>
      <c r="E117" s="91" t="str" cm="1">
        <f t="array" ref="E117:G117">TRANSPOSE("'"&amp;_xlfn._xlws.FILTER(Lists!$CA$9:$CA$50,B117=Lists!$CC$9:$CC$50)&amp;"'!"&amp;B117)</f>
        <v>''!</v>
      </c>
      <c r="F117" s="91" t="str">
        <v>''!</v>
      </c>
      <c r="G117" s="91" t="str">
        <v>''!</v>
      </c>
      <c r="H117" s="91"/>
      <c r="I117" s="91"/>
      <c r="J117" s="91"/>
      <c r="L117" s="34">
        <f t="shared" ca="1" si="1"/>
        <v>0</v>
      </c>
      <c r="M117" s="12" t="str" cm="1">
        <f t="array" aca="1" ref="M117" ca="1">TRANSPOSE(_xlfn.LET(
_xlpm.all_scenario_tags,
_xlfn.VSTACK(
IFERROR(_xlfn._xlws.FILTER(INDIRECT("'"&amp;model_name&amp;" case settings'!$C$19:$C$42"),ISNUMBER(MATCH(INDIRECT("'"&amp;model_name&amp;" case settings'!$C$19:$C$42"),_xlfn._xlws.FILTER(INDIRECT(E117&amp;".scenario"),INDIRECT(E117)=$C117),0))),"-/-"),
IFERROR(_xlfn._xlws.FILTER(INDIRECT("'"&amp;model_name&amp;" case settings'!$C$19:$C$42"),ISNUMBER(MATCH(INDIRECT("'"&amp;model_name&amp;" case settings'!$C$19:$C$42"),_xlfn._xlws.FILTER(INDIRECT(F117&amp;".scenario"),INDIRECT(F117)=$C117),0))),"-/-"),
IFERROR(_xlfn._xlws.FILTER(INDIRECT("'"&amp;model_name&amp;" case settings'!$C$19:$C$42"),ISNUMBER(MATCH(INDIRECT("'"&amp;model_name&amp;" case settings'!$C$19:$C$42"),_xlfn._xlws.FILTER(INDIRECT(G117&amp;".scenario"),INDIRECT(G117)=$C117),0))),"-/-"),
IFERROR(_xlfn._xlws.FILTER(INDIRECT("'"&amp;model_name&amp;" case settings'!$C$19:$C$42"),ISNUMBER(MATCH(INDIRECT("'"&amp;model_name&amp;" case settings'!$C$19:$C$42"),_xlfn._xlws.FILTER(INDIRECT(H117&amp;".scenario"),INDIRECT(H117)=$C117),0))),"-/-"),
IFERROR(_xlfn._xlws.FILTER(INDIRECT("'"&amp;model_name&amp;" case settings'!$C$19:$C$42"),ISNUMBER(MATCH(INDIRECT("'"&amp;model_name&amp;" case settings'!$C$19:$C$42"),_xlfn._xlws.FILTER(INDIRECT(I117&amp;".scenario"),INDIRECT(I117)=$C117),0))),"-/-"),
IFERROR(_xlfn._xlws.FILTER(INDIRECT("'"&amp;model_name&amp;" case settings'!$C$19:$C$42"),ISNUMBER(MATCH(INDIRECT("'"&amp;model_name&amp;" case settings'!$C$19:$C$42"),_xlfn._xlws.FILTER(INDIRECT(J117&amp;".scenario"),INDIRECT(J117)=$C117),0))),"-/-")),
_xlfn._xlws.FILTER(_xlpm.all_scenario_tags,_xlpm.all_scenario_tags&lt;&gt;"-/-","-/-")
))</f>
        <v>-/-</v>
      </c>
      <c r="N117" s="12"/>
      <c r="O117" s="12"/>
      <c r="P117" s="12"/>
      <c r="Q117" s="12"/>
    </row>
    <row r="118" spans="2:17">
      <c r="B118" s="38"/>
      <c r="C118" s="3"/>
      <c r="E118" s="91" t="str" cm="1">
        <f t="array" ref="E118:G118">TRANSPOSE("'"&amp;_xlfn._xlws.FILTER(Lists!$CA$9:$CA$50,B118=Lists!$CC$9:$CC$50)&amp;"'!"&amp;B118)</f>
        <v>''!</v>
      </c>
      <c r="F118" s="91" t="str">
        <v>''!</v>
      </c>
      <c r="G118" s="91" t="str">
        <v>''!</v>
      </c>
      <c r="H118" s="91"/>
      <c r="I118" s="91"/>
      <c r="J118" s="91"/>
      <c r="L118" s="34">
        <f t="shared" ca="1" si="1"/>
        <v>0</v>
      </c>
      <c r="M118" s="12" t="str" cm="1">
        <f t="array" aca="1" ref="M118" ca="1">TRANSPOSE(_xlfn.LET(
_xlpm.all_scenario_tags,
_xlfn.VSTACK(
IFERROR(_xlfn._xlws.FILTER(INDIRECT("'"&amp;model_name&amp;" case settings'!$C$19:$C$42"),ISNUMBER(MATCH(INDIRECT("'"&amp;model_name&amp;" case settings'!$C$19:$C$42"),_xlfn._xlws.FILTER(INDIRECT(E118&amp;".scenario"),INDIRECT(E118)=$C118),0))),"-/-"),
IFERROR(_xlfn._xlws.FILTER(INDIRECT("'"&amp;model_name&amp;" case settings'!$C$19:$C$42"),ISNUMBER(MATCH(INDIRECT("'"&amp;model_name&amp;" case settings'!$C$19:$C$42"),_xlfn._xlws.FILTER(INDIRECT(F118&amp;".scenario"),INDIRECT(F118)=$C118),0))),"-/-"),
IFERROR(_xlfn._xlws.FILTER(INDIRECT("'"&amp;model_name&amp;" case settings'!$C$19:$C$42"),ISNUMBER(MATCH(INDIRECT("'"&amp;model_name&amp;" case settings'!$C$19:$C$42"),_xlfn._xlws.FILTER(INDIRECT(G118&amp;".scenario"),INDIRECT(G118)=$C118),0))),"-/-"),
IFERROR(_xlfn._xlws.FILTER(INDIRECT("'"&amp;model_name&amp;" case settings'!$C$19:$C$42"),ISNUMBER(MATCH(INDIRECT("'"&amp;model_name&amp;" case settings'!$C$19:$C$42"),_xlfn._xlws.FILTER(INDIRECT(H118&amp;".scenario"),INDIRECT(H118)=$C118),0))),"-/-"),
IFERROR(_xlfn._xlws.FILTER(INDIRECT("'"&amp;model_name&amp;" case settings'!$C$19:$C$42"),ISNUMBER(MATCH(INDIRECT("'"&amp;model_name&amp;" case settings'!$C$19:$C$42"),_xlfn._xlws.FILTER(INDIRECT(I118&amp;".scenario"),INDIRECT(I118)=$C118),0))),"-/-"),
IFERROR(_xlfn._xlws.FILTER(INDIRECT("'"&amp;model_name&amp;" case settings'!$C$19:$C$42"),ISNUMBER(MATCH(INDIRECT("'"&amp;model_name&amp;" case settings'!$C$19:$C$42"),_xlfn._xlws.FILTER(INDIRECT(J118&amp;".scenario"),INDIRECT(J118)=$C118),0))),"-/-")),
_xlfn._xlws.FILTER(_xlpm.all_scenario_tags,_xlpm.all_scenario_tags&lt;&gt;"-/-","-/-")
))</f>
        <v>-/-</v>
      </c>
      <c r="N118" s="12"/>
      <c r="O118" s="12"/>
      <c r="P118" s="12"/>
      <c r="Q118" s="12"/>
    </row>
    <row r="119" spans="2:17">
      <c r="B119" s="38"/>
      <c r="C119" s="3"/>
      <c r="E119" s="91" t="str" cm="1">
        <f t="array" ref="E119:G119">TRANSPOSE("'"&amp;_xlfn._xlws.FILTER(Lists!$CA$9:$CA$50,B119=Lists!$CC$9:$CC$50)&amp;"'!"&amp;B119)</f>
        <v>''!</v>
      </c>
      <c r="F119" s="91" t="str">
        <v>''!</v>
      </c>
      <c r="G119" s="91" t="str">
        <v>''!</v>
      </c>
      <c r="H119" s="91"/>
      <c r="I119" s="91"/>
      <c r="J119" s="91"/>
      <c r="L119" s="34">
        <f t="shared" ca="1" si="1"/>
        <v>0</v>
      </c>
      <c r="M119" s="12" t="str" cm="1">
        <f t="array" aca="1" ref="M119" ca="1">TRANSPOSE(_xlfn.LET(
_xlpm.all_scenario_tags,
_xlfn.VSTACK(
IFERROR(_xlfn._xlws.FILTER(INDIRECT("'"&amp;model_name&amp;" case settings'!$C$19:$C$42"),ISNUMBER(MATCH(INDIRECT("'"&amp;model_name&amp;" case settings'!$C$19:$C$42"),_xlfn._xlws.FILTER(INDIRECT(E119&amp;".scenario"),INDIRECT(E119)=$C119),0))),"-/-"),
IFERROR(_xlfn._xlws.FILTER(INDIRECT("'"&amp;model_name&amp;" case settings'!$C$19:$C$42"),ISNUMBER(MATCH(INDIRECT("'"&amp;model_name&amp;" case settings'!$C$19:$C$42"),_xlfn._xlws.FILTER(INDIRECT(F119&amp;".scenario"),INDIRECT(F119)=$C119),0))),"-/-"),
IFERROR(_xlfn._xlws.FILTER(INDIRECT("'"&amp;model_name&amp;" case settings'!$C$19:$C$42"),ISNUMBER(MATCH(INDIRECT("'"&amp;model_name&amp;" case settings'!$C$19:$C$42"),_xlfn._xlws.FILTER(INDIRECT(G119&amp;".scenario"),INDIRECT(G119)=$C119),0))),"-/-"),
IFERROR(_xlfn._xlws.FILTER(INDIRECT("'"&amp;model_name&amp;" case settings'!$C$19:$C$42"),ISNUMBER(MATCH(INDIRECT("'"&amp;model_name&amp;" case settings'!$C$19:$C$42"),_xlfn._xlws.FILTER(INDIRECT(H119&amp;".scenario"),INDIRECT(H119)=$C119),0))),"-/-"),
IFERROR(_xlfn._xlws.FILTER(INDIRECT("'"&amp;model_name&amp;" case settings'!$C$19:$C$42"),ISNUMBER(MATCH(INDIRECT("'"&amp;model_name&amp;" case settings'!$C$19:$C$42"),_xlfn._xlws.FILTER(INDIRECT(I119&amp;".scenario"),INDIRECT(I119)=$C119),0))),"-/-"),
IFERROR(_xlfn._xlws.FILTER(INDIRECT("'"&amp;model_name&amp;" case settings'!$C$19:$C$42"),ISNUMBER(MATCH(INDIRECT("'"&amp;model_name&amp;" case settings'!$C$19:$C$42"),_xlfn._xlws.FILTER(INDIRECT(J119&amp;".scenario"),INDIRECT(J119)=$C119),0))),"-/-")),
_xlfn._xlws.FILTER(_xlpm.all_scenario_tags,_xlpm.all_scenario_tags&lt;&gt;"-/-","-/-")
))</f>
        <v>-/-</v>
      </c>
      <c r="N119" s="12"/>
      <c r="O119" s="12"/>
      <c r="P119" s="12"/>
      <c r="Q119" s="12"/>
    </row>
    <row r="120" spans="2:17">
      <c r="B120" s="38"/>
      <c r="C120" s="3"/>
      <c r="E120" s="91" t="str" cm="1">
        <f t="array" ref="E120:G120">TRANSPOSE("'"&amp;_xlfn._xlws.FILTER(Lists!$CA$9:$CA$50,B120=Lists!$CC$9:$CC$50)&amp;"'!"&amp;B120)</f>
        <v>''!</v>
      </c>
      <c r="F120" s="91" t="str">
        <v>''!</v>
      </c>
      <c r="G120" s="91" t="str">
        <v>''!</v>
      </c>
      <c r="H120" s="91"/>
      <c r="I120" s="91"/>
      <c r="J120" s="91"/>
      <c r="L120" s="34">
        <f t="shared" ca="1" si="1"/>
        <v>0</v>
      </c>
      <c r="M120" s="12" t="str" cm="1">
        <f t="array" aca="1" ref="M120" ca="1">TRANSPOSE(_xlfn.LET(
_xlpm.all_scenario_tags,
_xlfn.VSTACK(
IFERROR(_xlfn._xlws.FILTER(INDIRECT("'"&amp;model_name&amp;" case settings'!$C$19:$C$42"),ISNUMBER(MATCH(INDIRECT("'"&amp;model_name&amp;" case settings'!$C$19:$C$42"),_xlfn._xlws.FILTER(INDIRECT(E120&amp;".scenario"),INDIRECT(E120)=$C120),0))),"-/-"),
IFERROR(_xlfn._xlws.FILTER(INDIRECT("'"&amp;model_name&amp;" case settings'!$C$19:$C$42"),ISNUMBER(MATCH(INDIRECT("'"&amp;model_name&amp;" case settings'!$C$19:$C$42"),_xlfn._xlws.FILTER(INDIRECT(F120&amp;".scenario"),INDIRECT(F120)=$C120),0))),"-/-"),
IFERROR(_xlfn._xlws.FILTER(INDIRECT("'"&amp;model_name&amp;" case settings'!$C$19:$C$42"),ISNUMBER(MATCH(INDIRECT("'"&amp;model_name&amp;" case settings'!$C$19:$C$42"),_xlfn._xlws.FILTER(INDIRECT(G120&amp;".scenario"),INDIRECT(G120)=$C120),0))),"-/-"),
IFERROR(_xlfn._xlws.FILTER(INDIRECT("'"&amp;model_name&amp;" case settings'!$C$19:$C$42"),ISNUMBER(MATCH(INDIRECT("'"&amp;model_name&amp;" case settings'!$C$19:$C$42"),_xlfn._xlws.FILTER(INDIRECT(H120&amp;".scenario"),INDIRECT(H120)=$C120),0))),"-/-"),
IFERROR(_xlfn._xlws.FILTER(INDIRECT("'"&amp;model_name&amp;" case settings'!$C$19:$C$42"),ISNUMBER(MATCH(INDIRECT("'"&amp;model_name&amp;" case settings'!$C$19:$C$42"),_xlfn._xlws.FILTER(INDIRECT(I120&amp;".scenario"),INDIRECT(I120)=$C120),0))),"-/-"),
IFERROR(_xlfn._xlws.FILTER(INDIRECT("'"&amp;model_name&amp;" case settings'!$C$19:$C$42"),ISNUMBER(MATCH(INDIRECT("'"&amp;model_name&amp;" case settings'!$C$19:$C$42"),_xlfn._xlws.FILTER(INDIRECT(J120&amp;".scenario"),INDIRECT(J120)=$C120),0))),"-/-")),
_xlfn._xlws.FILTER(_xlpm.all_scenario_tags,_xlpm.all_scenario_tags&lt;&gt;"-/-","-/-")
))</f>
        <v>-/-</v>
      </c>
      <c r="N120" s="12"/>
      <c r="O120" s="12"/>
      <c r="P120" s="12"/>
      <c r="Q120" s="12"/>
    </row>
  </sheetData>
  <autoFilter ref="A20:Q120" xr:uid="{D150CCCE-9B27-A247-A000-36DBD80EFF58}">
    <sortState xmlns:xlrd2="http://schemas.microsoft.com/office/spreadsheetml/2017/richdata2" ref="A21:Q120">
      <sortCondition ref="B20:B120"/>
    </sortState>
  </autoFilter>
  <conditionalFormatting sqref="L21:L120">
    <cfRule type="cellIs" dxfId="64" priority="2" operator="equal">
      <formula>0</formula>
    </cfRule>
  </conditionalFormatting>
  <conditionalFormatting sqref="C21:C120">
    <cfRule type="duplicateValues" dxfId="63" priority="1721"/>
  </conditionalFormatting>
  <dataValidations count="3">
    <dataValidation type="list" allowBlank="1" showInputMessage="1" showErrorMessage="1" sqref="B21:B120" xr:uid="{9A4F0403-5247-8342-B3F4-36C72A0E2ED4}">
      <formula1>OFFSET(lists_components,0,0,COUNTA(lists_components))</formula1>
    </dataValidation>
    <dataValidation type="list" allowBlank="1" showInputMessage="1" showErrorMessage="1" sqref="B11" xr:uid="{A86C74B7-CE84-4596-AB59-410EE8220730}">
      <formula1>"recap,resolve"</formula1>
    </dataValidation>
    <dataValidation type="list" allowBlank="1" showInputMessage="1" showErrorMessage="1" sqref="M11" xr:uid="{0AE8DC76-2288-44F1-B2CF-CAC8B61F9FC3}">
      <formula1>OFFSET(list_saved_system,,,COUNTA(list_saved_system))</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9BB31-F01A-0643-B321-C4053794C40B}">
  <sheetPr codeName="Sheet2">
    <tabColor theme="7" tint="0.59999389629810485"/>
  </sheetPr>
  <dimension ref="A1:AK22"/>
  <sheetViews>
    <sheetView showGridLines="0" zoomScale="83" zoomScaleNormal="90" workbookViewId="0">
      <selection activeCell="G26" sqref="G26"/>
    </sheetView>
  </sheetViews>
  <sheetFormatPr baseColWidth="10" defaultColWidth="11" defaultRowHeight="12" outlineLevelCol="1"/>
  <cols>
    <col min="1" max="3" width="3" customWidth="1"/>
    <col min="4" max="4" width="43.796875" customWidth="1"/>
    <col min="5" max="5" width="31.3984375" bestFit="1" customWidth="1"/>
    <col min="6" max="6" width="3" customWidth="1"/>
    <col min="7" max="7" width="16" customWidth="1"/>
    <col min="8" max="11" width="16" hidden="1" customWidth="1" outlineLevel="1"/>
    <col min="12" max="12" width="16" customWidth="1" collapsed="1"/>
    <col min="13" max="16" width="16" hidden="1" customWidth="1" outlineLevel="1"/>
    <col min="17" max="17" width="16" customWidth="1" collapsed="1"/>
    <col min="18" max="21" width="16" hidden="1" customWidth="1" outlineLevel="1"/>
    <col min="22" max="22" width="16" customWidth="1" collapsed="1"/>
    <col min="23" max="26" width="16" hidden="1" customWidth="1" outlineLevel="1"/>
    <col min="27" max="27" width="16" customWidth="1" collapsed="1"/>
    <col min="28" max="31" width="16" hidden="1" customWidth="1" outlineLevel="1"/>
    <col min="32" max="32" width="16" customWidth="1" collapsed="1"/>
    <col min="33" max="36" width="16" hidden="1" customWidth="1" outlineLevel="1"/>
    <col min="37" max="37" width="16" customWidth="1" collapsed="1"/>
    <col min="38" max="38" width="3" customWidth="1"/>
    <col min="40" max="42" width="11" customWidth="1"/>
  </cols>
  <sheetData>
    <row r="1" spans="1:37" s="5" customFormat="1" ht="29" thickBot="1">
      <c r="A1" s="5" t="s">
        <v>245</v>
      </c>
    </row>
    <row r="2" spans="1:37">
      <c r="A2" s="45" t="s">
        <v>246</v>
      </c>
    </row>
    <row r="5" spans="1:37" ht="13">
      <c r="G5" s="6" t="s">
        <v>247</v>
      </c>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row>
    <row r="6" spans="1:37">
      <c r="B6" s="27"/>
      <c r="C6" s="27"/>
      <c r="D6" s="27"/>
      <c r="E6" s="27" t="s">
        <v>248</v>
      </c>
      <c r="F6" s="27"/>
      <c r="G6" s="27" t="s">
        <v>249</v>
      </c>
      <c r="H6" s="27" t="s">
        <v>249</v>
      </c>
      <c r="I6" s="27" t="s">
        <v>249</v>
      </c>
      <c r="J6" s="27" t="s">
        <v>249</v>
      </c>
      <c r="K6" s="27" t="s">
        <v>249</v>
      </c>
      <c r="L6" s="27" t="s">
        <v>249</v>
      </c>
      <c r="M6" s="27" t="s">
        <v>249</v>
      </c>
      <c r="N6" s="27" t="s">
        <v>249</v>
      </c>
      <c r="O6" s="27" t="s">
        <v>249</v>
      </c>
      <c r="P6" s="27" t="s">
        <v>249</v>
      </c>
      <c r="Q6" s="27" t="s">
        <v>249</v>
      </c>
      <c r="R6" s="27" t="s">
        <v>249</v>
      </c>
      <c r="S6" s="27" t="s">
        <v>249</v>
      </c>
      <c r="T6" s="27" t="s">
        <v>249</v>
      </c>
      <c r="U6" s="27" t="s">
        <v>249</v>
      </c>
      <c r="V6" s="27" t="s">
        <v>249</v>
      </c>
      <c r="W6" s="27" t="s">
        <v>249</v>
      </c>
      <c r="X6" s="27" t="s">
        <v>249</v>
      </c>
      <c r="Y6" s="27" t="s">
        <v>249</v>
      </c>
      <c r="Z6" s="27" t="s">
        <v>249</v>
      </c>
      <c r="AA6" s="27" t="s">
        <v>249</v>
      </c>
      <c r="AB6" s="27" t="s">
        <v>249</v>
      </c>
      <c r="AC6" s="27" t="s">
        <v>249</v>
      </c>
      <c r="AD6" s="27" t="s">
        <v>249</v>
      </c>
      <c r="AE6" s="27" t="s">
        <v>249</v>
      </c>
      <c r="AF6" s="27" t="s">
        <v>249</v>
      </c>
      <c r="AG6" s="27" t="s">
        <v>249</v>
      </c>
      <c r="AH6" s="27" t="s">
        <v>249</v>
      </c>
      <c r="AI6" s="27" t="s">
        <v>249</v>
      </c>
      <c r="AJ6" s="27" t="s">
        <v>249</v>
      </c>
      <c r="AK6" s="27" t="s">
        <v>249</v>
      </c>
    </row>
    <row r="7" spans="1:37" ht="13">
      <c r="D7" s="6" t="s">
        <v>250</v>
      </c>
      <c r="E7" s="6" t="s">
        <v>251</v>
      </c>
      <c r="G7" s="115">
        <v>2020</v>
      </c>
      <c r="H7" s="115">
        <v>2021</v>
      </c>
      <c r="I7" s="115">
        <v>2022</v>
      </c>
      <c r="J7" s="115">
        <v>2023</v>
      </c>
      <c r="K7" s="115">
        <v>2024</v>
      </c>
      <c r="L7" s="115">
        <v>2025</v>
      </c>
      <c r="M7" s="115">
        <v>2026</v>
      </c>
      <c r="N7" s="115">
        <v>2027</v>
      </c>
      <c r="O7" s="115">
        <v>2028</v>
      </c>
      <c r="P7" s="115">
        <v>2029</v>
      </c>
      <c r="Q7" s="115">
        <v>2030</v>
      </c>
      <c r="R7" s="115">
        <v>2031</v>
      </c>
      <c r="S7" s="115">
        <v>2032</v>
      </c>
      <c r="T7" s="115">
        <v>2033</v>
      </c>
      <c r="U7" s="115">
        <v>2034</v>
      </c>
      <c r="V7" s="115">
        <v>2035</v>
      </c>
      <c r="W7" s="115">
        <v>2036</v>
      </c>
      <c r="X7" s="115">
        <v>2037</v>
      </c>
      <c r="Y7" s="115">
        <v>2038</v>
      </c>
      <c r="Z7" s="115">
        <v>2039</v>
      </c>
      <c r="AA7" s="115">
        <v>2040</v>
      </c>
      <c r="AB7" s="115">
        <v>2041</v>
      </c>
      <c r="AC7" s="115">
        <v>2042</v>
      </c>
      <c r="AD7" s="115">
        <v>2043</v>
      </c>
      <c r="AE7" s="115">
        <v>2044</v>
      </c>
      <c r="AF7" s="115">
        <v>2045</v>
      </c>
      <c r="AG7" s="115">
        <v>2046</v>
      </c>
      <c r="AH7" s="115">
        <v>2047</v>
      </c>
      <c r="AI7" s="115">
        <v>2048</v>
      </c>
      <c r="AJ7" s="115">
        <v>2049</v>
      </c>
      <c r="AK7" s="115">
        <v>2050</v>
      </c>
    </row>
    <row r="8" spans="1:37">
      <c r="D8" s="3"/>
      <c r="E8" s="3"/>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row>
    <row r="9" spans="1:37">
      <c r="D9" s="3"/>
      <c r="E9" s="3"/>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row>
    <row r="10" spans="1:37">
      <c r="D10" s="3"/>
      <c r="E10" s="3"/>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row>
    <row r="11" spans="1:37">
      <c r="D11" s="3"/>
      <c r="E11" s="3"/>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row>
    <row r="12" spans="1:37">
      <c r="D12" s="3"/>
      <c r="E12" s="3"/>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row>
    <row r="13" spans="1:37">
      <c r="D13" s="3"/>
      <c r="E13" s="3"/>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row>
    <row r="14" spans="1:37">
      <c r="D14" s="3"/>
      <c r="E14" s="3"/>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row>
    <row r="15" spans="1:37">
      <c r="D15" s="3"/>
      <c r="E15" s="3"/>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row>
    <row r="16" spans="1:37">
      <c r="D16" s="3"/>
      <c r="E16" s="3"/>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row>
    <row r="17" spans="4:37">
      <c r="D17" s="3"/>
      <c r="E17" s="3"/>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row>
    <row r="18" spans="4:37">
      <c r="D18" s="3"/>
      <c r="E18" s="3"/>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row>
    <row r="19" spans="4:37">
      <c r="D19" s="3"/>
      <c r="E19" s="3"/>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row>
    <row r="20" spans="4:37">
      <c r="D20" s="3"/>
      <c r="E20" s="3"/>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row>
    <row r="21" spans="4:37">
      <c r="D21" s="3"/>
      <c r="E21" s="3"/>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row>
    <row r="22" spans="4:37">
      <c r="D22" s="3"/>
      <c r="E22" s="3"/>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65FE0-D5B8-4484-99D7-18475A9A7E9A}">
  <sheetPr codeName="Sheet13">
    <tabColor theme="7" tint="0.59999389629810485"/>
  </sheetPr>
  <dimension ref="A1:AY23"/>
  <sheetViews>
    <sheetView showGridLines="0" zoomScale="165" zoomScaleNormal="70" workbookViewId="0">
      <selection sqref="A1:AZ24"/>
    </sheetView>
  </sheetViews>
  <sheetFormatPr baseColWidth="10" defaultColWidth="9" defaultRowHeight="12" outlineLevelRow="1" outlineLevelCol="1"/>
  <cols>
    <col min="2" max="2" width="16.796875" bestFit="1" customWidth="1"/>
    <col min="3" max="3" width="3" customWidth="1"/>
    <col min="4" max="4" width="25" bestFit="1" customWidth="1"/>
    <col min="5" max="5" width="3" customWidth="1"/>
    <col min="6" max="6" width="16" bestFit="1" customWidth="1"/>
    <col min="7" max="7" width="3" customWidth="1"/>
    <col min="9" max="10" width="9" hidden="1" customWidth="1" outlineLevel="1"/>
    <col min="11" max="11" width="9" customWidth="1" collapsed="1"/>
    <col min="12" max="12" width="9" customWidth="1"/>
    <col min="14" max="14" width="9" customWidth="1"/>
    <col min="15" max="15" width="9" hidden="1" customWidth="1" outlineLevel="1"/>
    <col min="16" max="16" width="9" customWidth="1" collapsed="1"/>
    <col min="17" max="17" width="9" hidden="1" customWidth="1" outlineLevel="1"/>
    <col min="18" max="18" width="9" collapsed="1"/>
    <col min="19" max="19" width="9" hidden="1" customWidth="1" outlineLevel="1"/>
    <col min="20" max="20" width="9" customWidth="1" collapsed="1"/>
    <col min="21" max="21" width="9" customWidth="1"/>
    <col min="22" max="22" width="9" hidden="1" customWidth="1" outlineLevel="1"/>
    <col min="23" max="23" width="9" collapsed="1"/>
    <col min="24" max="26" width="9" hidden="1" customWidth="1" outlineLevel="1"/>
    <col min="27" max="27" width="9" customWidth="1" collapsed="1"/>
    <col min="29" max="32" width="9" hidden="1" customWidth="1" outlineLevel="1"/>
    <col min="33" max="33" width="9" collapsed="1"/>
    <col min="34" max="37" width="9" hidden="1" customWidth="1" outlineLevel="1"/>
    <col min="38" max="38" width="9" collapsed="1"/>
    <col min="39" max="39" width="3" customWidth="1"/>
    <col min="41" max="44" width="9" customWidth="1"/>
    <col min="46" max="49" width="9" customWidth="1"/>
  </cols>
  <sheetData>
    <row r="1" spans="1:51" s="5" customFormat="1" ht="29" thickBot="1">
      <c r="A1" s="28" t="s">
        <v>252</v>
      </c>
    </row>
    <row r="2" spans="1:51">
      <c r="A2" s="16"/>
    </row>
    <row r="5" spans="1:51" ht="13">
      <c r="H5" s="6" t="s">
        <v>253</v>
      </c>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N5" s="6" t="s">
        <v>254</v>
      </c>
      <c r="AO5" s="6"/>
      <c r="AP5" s="6"/>
      <c r="AQ5" s="6"/>
      <c r="AR5" s="6"/>
      <c r="AS5" s="6"/>
      <c r="AT5" s="6"/>
      <c r="AU5" s="6"/>
      <c r="AV5" s="6"/>
      <c r="AW5" s="6"/>
      <c r="AX5" s="6"/>
      <c r="AY5" s="6"/>
    </row>
    <row r="6" spans="1:51" s="27" customFormat="1" hidden="1" outlineLevel="1">
      <c r="B6" s="27" t="s">
        <v>255</v>
      </c>
      <c r="F6"/>
      <c r="H6" s="27" t="s">
        <v>256</v>
      </c>
      <c r="I6" s="27" t="s">
        <v>256</v>
      </c>
      <c r="J6" s="27" t="s">
        <v>256</v>
      </c>
      <c r="K6" s="27" t="s">
        <v>256</v>
      </c>
      <c r="L6" s="27" t="s">
        <v>256</v>
      </c>
      <c r="M6" s="27" t="s">
        <v>256</v>
      </c>
      <c r="N6" s="27" t="s">
        <v>256</v>
      </c>
      <c r="O6" s="27" t="s">
        <v>256</v>
      </c>
      <c r="P6" s="27" t="s">
        <v>256</v>
      </c>
      <c r="Q6" s="27" t="s">
        <v>256</v>
      </c>
      <c r="R6" s="27" t="s">
        <v>256</v>
      </c>
      <c r="S6" s="27" t="s">
        <v>256</v>
      </c>
      <c r="T6" s="27" t="s">
        <v>256</v>
      </c>
      <c r="U6" s="27" t="s">
        <v>256</v>
      </c>
      <c r="V6" s="27" t="s">
        <v>256</v>
      </c>
      <c r="W6" s="27" t="s">
        <v>256</v>
      </c>
      <c r="X6" s="27" t="s">
        <v>256</v>
      </c>
      <c r="Y6" s="27" t="s">
        <v>256</v>
      </c>
      <c r="Z6" s="27" t="s">
        <v>256</v>
      </c>
      <c r="AA6" s="27" t="s">
        <v>256</v>
      </c>
      <c r="AB6" s="27" t="s">
        <v>256</v>
      </c>
      <c r="AC6" s="27" t="s">
        <v>256</v>
      </c>
      <c r="AD6" s="27" t="s">
        <v>256</v>
      </c>
      <c r="AE6" s="27" t="s">
        <v>256</v>
      </c>
      <c r="AF6" s="27" t="s">
        <v>256</v>
      </c>
      <c r="AG6" s="27" t="s">
        <v>256</v>
      </c>
      <c r="AH6" s="27" t="s">
        <v>256</v>
      </c>
      <c r="AI6" s="27" t="s">
        <v>256</v>
      </c>
      <c r="AJ6" s="27" t="s">
        <v>256</v>
      </c>
      <c r="AK6" s="27" t="s">
        <v>256</v>
      </c>
      <c r="AL6" s="27" t="s">
        <v>256</v>
      </c>
      <c r="AN6" s="27" t="s">
        <v>257</v>
      </c>
      <c r="AO6" s="27" t="s">
        <v>257</v>
      </c>
      <c r="AP6" s="27" t="s">
        <v>257</v>
      </c>
      <c r="AQ6" s="27" t="s">
        <v>257</v>
      </c>
      <c r="AR6" s="27" t="s">
        <v>257</v>
      </c>
      <c r="AS6" s="27" t="s">
        <v>257</v>
      </c>
      <c r="AT6" s="27" t="s">
        <v>257</v>
      </c>
      <c r="AU6" s="27" t="s">
        <v>257</v>
      </c>
      <c r="AV6" s="27" t="s">
        <v>257</v>
      </c>
      <c r="AW6" s="27" t="s">
        <v>257</v>
      </c>
      <c r="AX6" s="27" t="s">
        <v>257</v>
      </c>
      <c r="AY6" s="27" t="s">
        <v>257</v>
      </c>
    </row>
    <row r="7" spans="1:51" ht="42" collapsed="1">
      <c r="B7" s="6" t="s">
        <v>252</v>
      </c>
      <c r="D7" s="11" t="str">
        <f>"Included in Current System ("&amp;system_name&amp;")"</f>
        <v>Included in Current System (ISONE_toy_system)</v>
      </c>
      <c r="F7" s="11" t="s">
        <v>251</v>
      </c>
      <c r="H7" s="59">
        <f>start_year</f>
        <v>43831</v>
      </c>
      <c r="I7" s="59">
        <f>EDATE(H7,12)</f>
        <v>44197</v>
      </c>
      <c r="J7" s="59">
        <f t="shared" ref="J7:AL7" si="0">EDATE(I7,12)</f>
        <v>44562</v>
      </c>
      <c r="K7" s="59">
        <f t="shared" si="0"/>
        <v>44927</v>
      </c>
      <c r="L7" s="59">
        <f t="shared" si="0"/>
        <v>45292</v>
      </c>
      <c r="M7" s="59">
        <f t="shared" si="0"/>
        <v>45658</v>
      </c>
      <c r="N7" s="59">
        <f t="shared" si="0"/>
        <v>46023</v>
      </c>
      <c r="O7" s="59">
        <f t="shared" si="0"/>
        <v>46388</v>
      </c>
      <c r="P7" s="59">
        <f t="shared" si="0"/>
        <v>46753</v>
      </c>
      <c r="Q7" s="59">
        <f t="shared" si="0"/>
        <v>47119</v>
      </c>
      <c r="R7" s="59">
        <f t="shared" si="0"/>
        <v>47484</v>
      </c>
      <c r="S7" s="59">
        <f t="shared" si="0"/>
        <v>47849</v>
      </c>
      <c r="T7" s="59">
        <f t="shared" si="0"/>
        <v>48214</v>
      </c>
      <c r="U7" s="59">
        <f t="shared" si="0"/>
        <v>48580</v>
      </c>
      <c r="V7" s="59">
        <f t="shared" si="0"/>
        <v>48945</v>
      </c>
      <c r="W7" s="59">
        <f t="shared" si="0"/>
        <v>49310</v>
      </c>
      <c r="X7" s="59">
        <f t="shared" si="0"/>
        <v>49675</v>
      </c>
      <c r="Y7" s="59">
        <f t="shared" si="0"/>
        <v>50041</v>
      </c>
      <c r="Z7" s="59">
        <f t="shared" si="0"/>
        <v>50406</v>
      </c>
      <c r="AA7" s="59">
        <f t="shared" si="0"/>
        <v>50771</v>
      </c>
      <c r="AB7" s="59">
        <f t="shared" si="0"/>
        <v>51136</v>
      </c>
      <c r="AC7" s="59">
        <f t="shared" si="0"/>
        <v>51502</v>
      </c>
      <c r="AD7" s="59">
        <f t="shared" si="0"/>
        <v>51867</v>
      </c>
      <c r="AE7" s="59">
        <f t="shared" si="0"/>
        <v>52232</v>
      </c>
      <c r="AF7" s="59">
        <f t="shared" si="0"/>
        <v>52597</v>
      </c>
      <c r="AG7" s="59">
        <f t="shared" si="0"/>
        <v>52963</v>
      </c>
      <c r="AH7" s="59">
        <f t="shared" si="0"/>
        <v>53328</v>
      </c>
      <c r="AI7" s="59">
        <f t="shared" si="0"/>
        <v>53693</v>
      </c>
      <c r="AJ7" s="59">
        <f t="shared" si="0"/>
        <v>54058</v>
      </c>
      <c r="AK7" s="59">
        <f t="shared" si="0"/>
        <v>54424</v>
      </c>
      <c r="AL7" s="59">
        <f t="shared" si="0"/>
        <v>54789</v>
      </c>
      <c r="AN7" s="50">
        <v>36526</v>
      </c>
      <c r="AO7" s="50">
        <v>36557</v>
      </c>
      <c r="AP7" s="50">
        <v>36586</v>
      </c>
      <c r="AQ7" s="50">
        <v>36617</v>
      </c>
      <c r="AR7" s="50">
        <v>36647</v>
      </c>
      <c r="AS7" s="50">
        <v>36678</v>
      </c>
      <c r="AT7" s="50">
        <v>36708</v>
      </c>
      <c r="AU7" s="50">
        <v>36739</v>
      </c>
      <c r="AV7" s="50">
        <v>36770</v>
      </c>
      <c r="AW7" s="50">
        <v>36800</v>
      </c>
      <c r="AX7" s="50">
        <v>36831</v>
      </c>
      <c r="AY7" s="50">
        <v>36861</v>
      </c>
    </row>
    <row r="8" spans="1:51">
      <c r="B8" s="3"/>
      <c r="D8" s="39" t="str">
        <f t="shared" ref="D8:D23" si="1">IF(ISBLANK($B8),"-/-",COUNTIFS(component_names,$B8,component_types,$B$6)&gt;0)</f>
        <v>-/-</v>
      </c>
      <c r="F8" s="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N8" s="29"/>
      <c r="AO8" s="29"/>
      <c r="AP8" s="29"/>
      <c r="AQ8" s="29"/>
      <c r="AR8" s="29"/>
      <c r="AS8" s="29"/>
      <c r="AT8" s="29"/>
      <c r="AU8" s="29"/>
      <c r="AV8" s="29"/>
      <c r="AW8" s="29"/>
      <c r="AX8" s="29"/>
      <c r="AY8" s="29"/>
    </row>
    <row r="9" spans="1:51">
      <c r="B9" s="3"/>
      <c r="D9" s="39" t="str">
        <f t="shared" si="1"/>
        <v>-/-</v>
      </c>
      <c r="F9" s="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N9" s="29"/>
      <c r="AO9" s="29"/>
      <c r="AP9" s="29"/>
      <c r="AQ9" s="29"/>
      <c r="AR9" s="29"/>
      <c r="AS9" s="29"/>
      <c r="AT9" s="29"/>
      <c r="AU9" s="29"/>
      <c r="AV9" s="29"/>
      <c r="AW9" s="29"/>
      <c r="AX9" s="29"/>
      <c r="AY9" s="29"/>
    </row>
    <row r="10" spans="1:51">
      <c r="B10" s="3"/>
      <c r="D10" s="39" t="str">
        <f t="shared" si="1"/>
        <v>-/-</v>
      </c>
      <c r="F10" s="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N10" s="29"/>
      <c r="AO10" s="29"/>
      <c r="AP10" s="29"/>
      <c r="AQ10" s="29"/>
      <c r="AR10" s="29"/>
      <c r="AS10" s="29"/>
      <c r="AT10" s="29"/>
      <c r="AU10" s="29"/>
      <c r="AV10" s="29"/>
      <c r="AW10" s="29"/>
      <c r="AX10" s="29"/>
      <c r="AY10" s="29"/>
    </row>
    <row r="11" spans="1:51">
      <c r="B11" s="3"/>
      <c r="D11" s="39" t="str">
        <f t="shared" si="1"/>
        <v>-/-</v>
      </c>
      <c r="F11" s="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N11" s="29"/>
      <c r="AO11" s="29"/>
      <c r="AP11" s="29"/>
      <c r="AQ11" s="29"/>
      <c r="AR11" s="29"/>
      <c r="AS11" s="29"/>
      <c r="AT11" s="29"/>
      <c r="AU11" s="29"/>
      <c r="AV11" s="29"/>
      <c r="AW11" s="29"/>
      <c r="AX11" s="29"/>
      <c r="AY11" s="29"/>
    </row>
    <row r="12" spans="1:51">
      <c r="B12" s="3"/>
      <c r="D12" s="39" t="str">
        <f t="shared" si="1"/>
        <v>-/-</v>
      </c>
      <c r="F12" s="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N12" s="29"/>
      <c r="AO12" s="29"/>
      <c r="AP12" s="29"/>
      <c r="AQ12" s="29"/>
      <c r="AR12" s="29"/>
      <c r="AS12" s="29"/>
      <c r="AT12" s="29"/>
      <c r="AU12" s="29"/>
      <c r="AV12" s="29"/>
      <c r="AW12" s="29"/>
      <c r="AX12" s="29"/>
      <c r="AY12" s="29"/>
    </row>
    <row r="13" spans="1:51">
      <c r="B13" s="3"/>
      <c r="D13" s="39" t="str">
        <f t="shared" si="1"/>
        <v>-/-</v>
      </c>
      <c r="F13" s="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N13" s="29"/>
      <c r="AO13" s="29"/>
      <c r="AP13" s="29"/>
      <c r="AQ13" s="29"/>
      <c r="AR13" s="29"/>
      <c r="AS13" s="29"/>
      <c r="AT13" s="29"/>
      <c r="AU13" s="29"/>
      <c r="AV13" s="29"/>
      <c r="AW13" s="29"/>
      <c r="AX13" s="29"/>
      <c r="AY13" s="29"/>
    </row>
    <row r="14" spans="1:51">
      <c r="B14" s="3"/>
      <c r="D14" s="39" t="str">
        <f t="shared" si="1"/>
        <v>-/-</v>
      </c>
      <c r="F14" s="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N14" s="29"/>
      <c r="AO14" s="29"/>
      <c r="AP14" s="29"/>
      <c r="AQ14" s="29"/>
      <c r="AR14" s="29"/>
      <c r="AS14" s="29"/>
      <c r="AT14" s="29"/>
      <c r="AU14" s="29"/>
      <c r="AV14" s="29"/>
      <c r="AW14" s="29"/>
      <c r="AX14" s="29"/>
      <c r="AY14" s="29"/>
    </row>
    <row r="15" spans="1:51">
      <c r="B15" s="3"/>
      <c r="D15" s="39" t="str">
        <f t="shared" si="1"/>
        <v>-/-</v>
      </c>
      <c r="F15" s="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N15" s="29"/>
      <c r="AO15" s="29"/>
      <c r="AP15" s="29"/>
      <c r="AQ15" s="29"/>
      <c r="AR15" s="29"/>
      <c r="AS15" s="29"/>
      <c r="AT15" s="29"/>
      <c r="AU15" s="29"/>
      <c r="AV15" s="29"/>
      <c r="AW15" s="29"/>
      <c r="AX15" s="29"/>
      <c r="AY15" s="29"/>
    </row>
    <row r="16" spans="1:51">
      <c r="B16" s="3"/>
      <c r="D16" s="39" t="str">
        <f t="shared" si="1"/>
        <v>-/-</v>
      </c>
      <c r="F16" s="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N16" s="29"/>
      <c r="AO16" s="29"/>
      <c r="AP16" s="29"/>
      <c r="AQ16" s="29"/>
      <c r="AR16" s="29"/>
      <c r="AS16" s="29"/>
      <c r="AT16" s="29"/>
      <c r="AU16" s="29"/>
      <c r="AV16" s="29"/>
      <c r="AW16" s="29"/>
      <c r="AX16" s="29"/>
      <c r="AY16" s="29"/>
    </row>
    <row r="17" spans="2:51">
      <c r="B17" s="3"/>
      <c r="D17" s="39" t="str">
        <f t="shared" si="1"/>
        <v>-/-</v>
      </c>
      <c r="F17" s="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N17" s="29"/>
      <c r="AO17" s="29"/>
      <c r="AP17" s="29"/>
      <c r="AQ17" s="29"/>
      <c r="AR17" s="29"/>
      <c r="AS17" s="29"/>
      <c r="AT17" s="29"/>
      <c r="AU17" s="29"/>
      <c r="AV17" s="29"/>
      <c r="AW17" s="29"/>
      <c r="AX17" s="29"/>
      <c r="AY17" s="29"/>
    </row>
    <row r="18" spans="2:51">
      <c r="B18" s="3"/>
      <c r="D18" s="39" t="str">
        <f t="shared" si="1"/>
        <v>-/-</v>
      </c>
      <c r="F18" s="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N18" s="29"/>
      <c r="AO18" s="29"/>
      <c r="AP18" s="29"/>
      <c r="AQ18" s="29"/>
      <c r="AR18" s="29"/>
      <c r="AS18" s="29"/>
      <c r="AT18" s="29"/>
      <c r="AU18" s="29"/>
      <c r="AV18" s="29"/>
      <c r="AW18" s="29"/>
      <c r="AX18" s="29"/>
      <c r="AY18" s="29"/>
    </row>
    <row r="19" spans="2:51">
      <c r="B19" s="3"/>
      <c r="D19" s="39" t="str">
        <f t="shared" si="1"/>
        <v>-/-</v>
      </c>
      <c r="F19" s="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N19" s="29"/>
      <c r="AO19" s="29"/>
      <c r="AP19" s="29"/>
      <c r="AQ19" s="29"/>
      <c r="AR19" s="29"/>
      <c r="AS19" s="29"/>
      <c r="AT19" s="29"/>
      <c r="AU19" s="29"/>
      <c r="AV19" s="29"/>
      <c r="AW19" s="29"/>
      <c r="AX19" s="29"/>
      <c r="AY19" s="29"/>
    </row>
    <row r="20" spans="2:51">
      <c r="B20" s="3"/>
      <c r="D20" s="39" t="str">
        <f t="shared" si="1"/>
        <v>-/-</v>
      </c>
      <c r="F20" s="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N20" s="29"/>
      <c r="AO20" s="29"/>
      <c r="AP20" s="29"/>
      <c r="AQ20" s="29"/>
      <c r="AR20" s="29"/>
      <c r="AS20" s="29"/>
      <c r="AT20" s="29"/>
      <c r="AU20" s="29"/>
      <c r="AV20" s="29"/>
      <c r="AW20" s="29"/>
      <c r="AX20" s="29"/>
      <c r="AY20" s="29"/>
    </row>
    <row r="21" spans="2:51">
      <c r="B21" s="3"/>
      <c r="D21" s="39" t="str">
        <f t="shared" si="1"/>
        <v>-/-</v>
      </c>
      <c r="F21" s="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N21" s="29"/>
      <c r="AO21" s="29"/>
      <c r="AP21" s="29"/>
      <c r="AQ21" s="29"/>
      <c r="AR21" s="29"/>
      <c r="AS21" s="29"/>
      <c r="AT21" s="29"/>
      <c r="AU21" s="29"/>
      <c r="AV21" s="29"/>
      <c r="AW21" s="29"/>
      <c r="AX21" s="29"/>
      <c r="AY21" s="29"/>
    </row>
    <row r="22" spans="2:51">
      <c r="B22" s="3"/>
      <c r="D22" s="39" t="str">
        <f t="shared" si="1"/>
        <v>-/-</v>
      </c>
      <c r="F22" s="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N22" s="29"/>
      <c r="AO22" s="29"/>
      <c r="AP22" s="29"/>
      <c r="AQ22" s="29"/>
      <c r="AR22" s="29"/>
      <c r="AS22" s="29"/>
      <c r="AT22" s="29"/>
      <c r="AU22" s="29"/>
      <c r="AV22" s="29"/>
      <c r="AW22" s="29"/>
      <c r="AX22" s="29"/>
      <c r="AY22" s="29"/>
    </row>
    <row r="23" spans="2:51">
      <c r="B23" s="3"/>
      <c r="D23" s="39" t="str">
        <f t="shared" si="1"/>
        <v>-/-</v>
      </c>
      <c r="F23" s="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N23" s="29"/>
      <c r="AO23" s="29"/>
      <c r="AP23" s="29"/>
      <c r="AQ23" s="29"/>
      <c r="AR23" s="29"/>
      <c r="AS23" s="29"/>
      <c r="AT23" s="29"/>
      <c r="AU23" s="29"/>
      <c r="AV23" s="29"/>
      <c r="AW23" s="29"/>
      <c r="AX23" s="29"/>
      <c r="AY23" s="29"/>
    </row>
  </sheetData>
  <conditionalFormatting sqref="D8:D23">
    <cfRule type="cellIs" dxfId="62" priority="1" operator="equal">
      <formula>FALSE</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684" id="{949B5ECE-E16C-3F41-9F0E-B7C125F9F0BB}">
            <xm:f>ISNUMBER(MATCH(F8,'RESOLVE Case Settings'!$C$19:$C$42,0))</xm:f>
            <x14:dxf>
              <font>
                <color rgb="FF006100"/>
              </font>
              <fill>
                <patternFill>
                  <bgColor rgb="FFC6EFCE"/>
                </patternFill>
              </fill>
            </x14:dxf>
          </x14:cfRule>
          <xm:sqref>F8:F23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F6172-4CCC-D04F-97D1-28C46CC8A273}">
  <sheetPr codeName="Sheet8">
    <tabColor theme="7" tint="-0.499984740745262"/>
  </sheetPr>
  <dimension ref="A1"/>
  <sheetViews>
    <sheetView showGridLines="0" workbookViewId="0">
      <selection activeCell="F17" sqref="F17"/>
    </sheetView>
  </sheetViews>
  <sheetFormatPr baseColWidth="10" defaultColWidth="11.3984375" defaultRowHeight="12"/>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76E64-6FFD-4176-B30F-1F96A01B2475}">
  <sheetPr codeName="Sheet6">
    <tabColor theme="7" tint="-0.249977111117893"/>
  </sheetPr>
  <dimension ref="A1:DG60"/>
  <sheetViews>
    <sheetView showGridLines="0" zoomScale="55" zoomScaleNormal="55" workbookViewId="0">
      <pane xSplit="7" ySplit="10" topLeftCell="H11" activePane="bottomRight" state="frozen"/>
      <selection pane="topRight" activeCell="G8" sqref="G8:G9"/>
      <selection pane="bottomLeft" activeCell="G8" sqref="G8:G9"/>
      <selection pane="bottomRight" activeCell="M10" sqref="M10:AQ10"/>
    </sheetView>
  </sheetViews>
  <sheetFormatPr baseColWidth="10" defaultColWidth="11" defaultRowHeight="12" outlineLevelRow="1" outlineLevelCol="1"/>
  <cols>
    <col min="2" max="2" width="28" customWidth="1"/>
    <col min="3" max="3" width="3" customWidth="1"/>
    <col min="4" max="4" width="25" bestFit="1" customWidth="1"/>
    <col min="5" max="5" width="3" customWidth="1"/>
    <col min="6" max="6" width="26" bestFit="1" customWidth="1"/>
    <col min="7" max="7" width="3" customWidth="1"/>
    <col min="8" max="8" width="16" customWidth="1"/>
    <col min="9" max="9" width="3" customWidth="1"/>
    <col min="10" max="10" width="19.796875" customWidth="1"/>
    <col min="11" max="11" width="31.59765625" customWidth="1"/>
    <col min="12" max="12" width="3" customWidth="1"/>
    <col min="13" max="13" width="16" customWidth="1"/>
    <col min="14" max="17" width="16" hidden="1" customWidth="1" outlineLevel="1"/>
    <col min="18" max="18" width="16" customWidth="1" collapsed="1"/>
    <col min="19" max="22" width="16" hidden="1" customWidth="1" outlineLevel="1"/>
    <col min="23" max="23" width="16" customWidth="1" collapsed="1"/>
    <col min="24" max="27" width="16" hidden="1" customWidth="1" outlineLevel="1"/>
    <col min="28" max="28" width="16" customWidth="1" collapsed="1"/>
    <col min="29" max="32" width="16" hidden="1" customWidth="1" outlineLevel="1"/>
    <col min="33" max="33" width="16" customWidth="1" collapsed="1"/>
    <col min="34" max="37" width="16" hidden="1" customWidth="1" outlineLevel="1"/>
    <col min="38" max="38" width="16" customWidth="1" collapsed="1"/>
    <col min="39" max="42" width="16" hidden="1" customWidth="1" outlineLevel="1"/>
    <col min="43" max="43" width="16" customWidth="1" collapsed="1"/>
    <col min="44" max="44" width="3" customWidth="1"/>
    <col min="45" max="45" width="19.796875" customWidth="1"/>
    <col min="46" max="46" width="3" customWidth="1"/>
    <col min="47" max="47" width="16" customWidth="1"/>
    <col min="48" max="51" width="16" hidden="1" customWidth="1" outlineLevel="1"/>
    <col min="52" max="52" width="16" customWidth="1" collapsed="1"/>
    <col min="53" max="56" width="16" hidden="1" customWidth="1" outlineLevel="1"/>
    <col min="57" max="57" width="16" customWidth="1" collapsed="1"/>
    <col min="58" max="61" width="16" hidden="1" customWidth="1" outlineLevel="1"/>
    <col min="62" max="62" width="16" customWidth="1" collapsed="1"/>
    <col min="63" max="66" width="16" hidden="1" customWidth="1" outlineLevel="1"/>
    <col min="67" max="67" width="16" customWidth="1" collapsed="1"/>
    <col min="68" max="71" width="16" hidden="1" customWidth="1" outlineLevel="1"/>
    <col min="72" max="72" width="16" customWidth="1" collapsed="1"/>
    <col min="73" max="76" width="16" hidden="1" customWidth="1" outlineLevel="1"/>
    <col min="77" max="77" width="16" customWidth="1" collapsed="1"/>
    <col min="78" max="78" width="3" customWidth="1"/>
    <col min="79" max="79" width="18" customWidth="1"/>
    <col min="80" max="80" width="3" customWidth="1"/>
    <col min="81" max="81" width="16" customWidth="1"/>
    <col min="82" max="85" width="16" hidden="1" customWidth="1" outlineLevel="1"/>
    <col min="86" max="86" width="16" customWidth="1" collapsed="1"/>
    <col min="87" max="90" width="16" hidden="1" customWidth="1" outlineLevel="1"/>
    <col min="91" max="91" width="16" customWidth="1" collapsed="1"/>
    <col min="92" max="95" width="16" hidden="1" customWidth="1" outlineLevel="1"/>
    <col min="96" max="96" width="16" customWidth="1" collapsed="1"/>
    <col min="97" max="100" width="16" hidden="1" customWidth="1" outlineLevel="1"/>
    <col min="101" max="101" width="16" customWidth="1" collapsed="1"/>
    <col min="102" max="105" width="16" hidden="1" customWidth="1" outlineLevel="1"/>
    <col min="106" max="106" width="16" customWidth="1" collapsed="1"/>
    <col min="107" max="110" width="16" hidden="1" customWidth="1" outlineLevel="1"/>
    <col min="111" max="111" width="16" customWidth="1" collapsed="1"/>
  </cols>
  <sheetData>
    <row r="1" spans="1:111" s="5" customFormat="1" ht="29" thickBot="1">
      <c r="A1" s="5" t="s">
        <v>258</v>
      </c>
    </row>
    <row r="5" spans="1:111">
      <c r="B5" s="15"/>
      <c r="D5" s="15"/>
    </row>
    <row r="6" spans="1:111" ht="19" thickBot="1">
      <c r="H6" s="9" t="s">
        <v>474</v>
      </c>
      <c r="J6" s="9" t="s">
        <v>260</v>
      </c>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row>
    <row r="8" spans="1:111" ht="28">
      <c r="H8" s="11" t="s">
        <v>203</v>
      </c>
      <c r="J8" s="6" t="s">
        <v>261</v>
      </c>
      <c r="K8" s="6" t="s">
        <v>262</v>
      </c>
      <c r="M8" s="6" t="s">
        <v>263</v>
      </c>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S8" s="11" t="s">
        <v>264</v>
      </c>
      <c r="AU8" s="6" t="s">
        <v>265</v>
      </c>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CA8" s="11" t="s">
        <v>266</v>
      </c>
      <c r="CC8" s="6" t="s">
        <v>267</v>
      </c>
      <c r="CD8" s="6"/>
      <c r="CE8" s="6"/>
      <c r="CF8" s="6"/>
      <c r="CG8" s="6"/>
      <c r="CH8" s="6"/>
      <c r="CI8" s="6"/>
      <c r="CJ8" s="6"/>
      <c r="CK8" s="6"/>
      <c r="CL8" s="6"/>
      <c r="CM8" s="6"/>
      <c r="CN8" s="6"/>
      <c r="CO8" s="6"/>
      <c r="CP8" s="6"/>
      <c r="CQ8" s="6"/>
      <c r="CR8" s="6"/>
      <c r="CS8" s="6"/>
      <c r="CT8" s="6"/>
      <c r="CU8" s="6"/>
      <c r="CV8" s="6"/>
      <c r="CW8" s="6"/>
      <c r="CX8" s="6"/>
      <c r="CY8" s="6"/>
      <c r="CZ8" s="6"/>
      <c r="DA8" s="6"/>
      <c r="DB8" s="6"/>
      <c r="DC8" s="6"/>
      <c r="DD8" s="6"/>
      <c r="DE8" s="6"/>
      <c r="DF8" s="6"/>
      <c r="DG8" s="6"/>
    </row>
    <row r="9" spans="1:111" s="27" customFormat="1" outlineLevel="1">
      <c r="B9" s="27" t="s">
        <v>243</v>
      </c>
      <c r="F9"/>
      <c r="H9" s="27" t="s">
        <v>268</v>
      </c>
      <c r="J9" s="27" t="s">
        <v>269</v>
      </c>
      <c r="K9" s="27" t="s">
        <v>270</v>
      </c>
      <c r="M9" s="27" t="s">
        <v>271</v>
      </c>
      <c r="N9" s="27" t="s">
        <v>271</v>
      </c>
      <c r="O9" s="27" t="s">
        <v>271</v>
      </c>
      <c r="P9" s="27" t="s">
        <v>271</v>
      </c>
      <c r="Q9" s="27" t="s">
        <v>271</v>
      </c>
      <c r="R9" s="27" t="s">
        <v>271</v>
      </c>
      <c r="S9" s="27" t="s">
        <v>271</v>
      </c>
      <c r="T9" s="27" t="s">
        <v>271</v>
      </c>
      <c r="U9" s="27" t="s">
        <v>271</v>
      </c>
      <c r="V9" s="27" t="s">
        <v>271</v>
      </c>
      <c r="W9" s="27" t="s">
        <v>271</v>
      </c>
      <c r="X9" s="27" t="s">
        <v>271</v>
      </c>
      <c r="Y9" s="27" t="s">
        <v>271</v>
      </c>
      <c r="Z9" s="27" t="s">
        <v>271</v>
      </c>
      <c r="AA9" s="27" t="s">
        <v>271</v>
      </c>
      <c r="AB9" s="27" t="s">
        <v>271</v>
      </c>
      <c r="AC9" s="27" t="s">
        <v>271</v>
      </c>
      <c r="AD9" s="27" t="s">
        <v>271</v>
      </c>
      <c r="AE9" s="27" t="s">
        <v>271</v>
      </c>
      <c r="AF9" s="27" t="s">
        <v>271</v>
      </c>
      <c r="AG9" s="27" t="s">
        <v>271</v>
      </c>
      <c r="AH9" s="27" t="s">
        <v>271</v>
      </c>
      <c r="AI9" s="27" t="s">
        <v>271</v>
      </c>
      <c r="AJ9" s="27" t="s">
        <v>271</v>
      </c>
      <c r="AK9" s="27" t="s">
        <v>271</v>
      </c>
      <c r="AL9" s="27" t="s">
        <v>271</v>
      </c>
      <c r="AM9" s="27" t="s">
        <v>271</v>
      </c>
      <c r="AN9" s="27" t="s">
        <v>271</v>
      </c>
      <c r="AO9" s="27" t="s">
        <v>271</v>
      </c>
      <c r="AP9" s="27" t="s">
        <v>271</v>
      </c>
      <c r="AQ9" s="27" t="s">
        <v>271</v>
      </c>
      <c r="AS9" s="27" t="s">
        <v>272</v>
      </c>
      <c r="AU9" s="27" t="s">
        <v>273</v>
      </c>
      <c r="AV9" s="27" t="s">
        <v>273</v>
      </c>
      <c r="AW9" s="27" t="s">
        <v>273</v>
      </c>
      <c r="AX9" s="27" t="s">
        <v>273</v>
      </c>
      <c r="AY9" s="27" t="s">
        <v>273</v>
      </c>
      <c r="AZ9" s="27" t="s">
        <v>273</v>
      </c>
      <c r="BA9" s="27" t="s">
        <v>273</v>
      </c>
      <c r="BB9" s="27" t="s">
        <v>273</v>
      </c>
      <c r="BC9" s="27" t="s">
        <v>273</v>
      </c>
      <c r="BD9" s="27" t="s">
        <v>273</v>
      </c>
      <c r="BE9" s="27" t="s">
        <v>273</v>
      </c>
      <c r="BF9" s="27" t="s">
        <v>273</v>
      </c>
      <c r="BG9" s="27" t="s">
        <v>273</v>
      </c>
      <c r="BH9" s="27" t="s">
        <v>273</v>
      </c>
      <c r="BI9" s="27" t="s">
        <v>273</v>
      </c>
      <c r="BJ9" s="27" t="s">
        <v>273</v>
      </c>
      <c r="BK9" s="27" t="s">
        <v>273</v>
      </c>
      <c r="BL9" s="27" t="s">
        <v>273</v>
      </c>
      <c r="BM9" s="27" t="s">
        <v>273</v>
      </c>
      <c r="BN9" s="27" t="s">
        <v>273</v>
      </c>
      <c r="BO9" s="27" t="s">
        <v>273</v>
      </c>
      <c r="BP9" s="27" t="s">
        <v>273</v>
      </c>
      <c r="BQ9" s="27" t="s">
        <v>273</v>
      </c>
      <c r="BR9" s="27" t="s">
        <v>273</v>
      </c>
      <c r="BS9" s="27" t="s">
        <v>273</v>
      </c>
      <c r="BT9" s="27" t="s">
        <v>273</v>
      </c>
      <c r="BU9" s="27" t="s">
        <v>273</v>
      </c>
      <c r="BV9" s="27" t="s">
        <v>273</v>
      </c>
      <c r="BW9" s="27" t="s">
        <v>273</v>
      </c>
      <c r="BX9" s="27" t="s">
        <v>273</v>
      </c>
      <c r="BY9" s="27" t="s">
        <v>273</v>
      </c>
      <c r="CA9" s="27" t="s">
        <v>274</v>
      </c>
      <c r="CC9" s="27" t="s">
        <v>275</v>
      </c>
      <c r="CD9" s="27" t="s">
        <v>275</v>
      </c>
      <c r="CE9" s="27" t="s">
        <v>275</v>
      </c>
      <c r="CF9" s="27" t="s">
        <v>275</v>
      </c>
      <c r="CG9" s="27" t="s">
        <v>275</v>
      </c>
      <c r="CH9" s="27" t="s">
        <v>275</v>
      </c>
      <c r="CI9" s="27" t="s">
        <v>275</v>
      </c>
      <c r="CJ9" s="27" t="s">
        <v>275</v>
      </c>
      <c r="CK9" s="27" t="s">
        <v>275</v>
      </c>
      <c r="CL9" s="27" t="s">
        <v>275</v>
      </c>
      <c r="CM9" s="27" t="s">
        <v>275</v>
      </c>
      <c r="CN9" s="27" t="s">
        <v>275</v>
      </c>
      <c r="CO9" s="27" t="s">
        <v>275</v>
      </c>
      <c r="CP9" s="27" t="s">
        <v>275</v>
      </c>
      <c r="CQ9" s="27" t="s">
        <v>275</v>
      </c>
      <c r="CR9" s="27" t="s">
        <v>275</v>
      </c>
      <c r="CS9" s="27" t="s">
        <v>275</v>
      </c>
      <c r="CT9" s="27" t="s">
        <v>275</v>
      </c>
      <c r="CU9" s="27" t="s">
        <v>275</v>
      </c>
      <c r="CV9" s="27" t="s">
        <v>275</v>
      </c>
      <c r="CW9" s="27" t="s">
        <v>275</v>
      </c>
      <c r="CX9" s="27" t="s">
        <v>275</v>
      </c>
      <c r="CY9" s="27" t="s">
        <v>275</v>
      </c>
      <c r="CZ9" s="27" t="s">
        <v>275</v>
      </c>
      <c r="DA9" s="27" t="s">
        <v>275</v>
      </c>
      <c r="DB9" s="27" t="s">
        <v>275</v>
      </c>
      <c r="DC9" s="27" t="s">
        <v>275</v>
      </c>
      <c r="DD9" s="27" t="s">
        <v>275</v>
      </c>
      <c r="DE9" s="27" t="s">
        <v>275</v>
      </c>
      <c r="DF9" s="27" t="s">
        <v>275</v>
      </c>
      <c r="DG9" s="27" t="s">
        <v>275</v>
      </c>
    </row>
    <row r="10" spans="1:111" ht="42">
      <c r="B10" s="6" t="s">
        <v>276</v>
      </c>
      <c r="D10" s="11" t="str">
        <f>"Included in Current System ("&amp;system_name&amp;")"</f>
        <v>Included in Current System (ISONE_toy_system)</v>
      </c>
      <c r="F10" s="11" t="s">
        <v>251</v>
      </c>
      <c r="H10" s="26"/>
      <c r="J10" s="26" t="s">
        <v>277</v>
      </c>
      <c r="K10" s="26" t="s">
        <v>277</v>
      </c>
      <c r="M10" s="59">
        <f>start_year</f>
        <v>43831</v>
      </c>
      <c r="N10" s="59">
        <f>EDATE(M10,12)</f>
        <v>44197</v>
      </c>
      <c r="O10" s="59">
        <f t="shared" ref="O10" si="0">EDATE(N10,12)</f>
        <v>44562</v>
      </c>
      <c r="P10" s="59">
        <f t="shared" ref="P10" si="1">EDATE(O10,12)</f>
        <v>44927</v>
      </c>
      <c r="Q10" s="59">
        <f t="shared" ref="Q10" si="2">EDATE(P10,12)</f>
        <v>45292</v>
      </c>
      <c r="R10" s="59">
        <f t="shared" ref="R10" si="3">EDATE(Q10,12)</f>
        <v>45658</v>
      </c>
      <c r="S10" s="59">
        <f t="shared" ref="S10" si="4">EDATE(R10,12)</f>
        <v>46023</v>
      </c>
      <c r="T10" s="59">
        <f t="shared" ref="T10" si="5">EDATE(S10,12)</f>
        <v>46388</v>
      </c>
      <c r="U10" s="59">
        <f t="shared" ref="U10" si="6">EDATE(T10,12)</f>
        <v>46753</v>
      </c>
      <c r="V10" s="59">
        <f t="shared" ref="V10" si="7">EDATE(U10,12)</f>
        <v>47119</v>
      </c>
      <c r="W10" s="59">
        <f t="shared" ref="W10" si="8">EDATE(V10,12)</f>
        <v>47484</v>
      </c>
      <c r="X10" s="59">
        <f t="shared" ref="X10" si="9">EDATE(W10,12)</f>
        <v>47849</v>
      </c>
      <c r="Y10" s="59">
        <f t="shared" ref="Y10" si="10">EDATE(X10,12)</f>
        <v>48214</v>
      </c>
      <c r="Z10" s="59">
        <f t="shared" ref="Z10" si="11">EDATE(Y10,12)</f>
        <v>48580</v>
      </c>
      <c r="AA10" s="59">
        <f t="shared" ref="AA10" si="12">EDATE(Z10,12)</f>
        <v>48945</v>
      </c>
      <c r="AB10" s="59">
        <f t="shared" ref="AB10" si="13">EDATE(AA10,12)</f>
        <v>49310</v>
      </c>
      <c r="AC10" s="59">
        <f t="shared" ref="AC10" si="14">EDATE(AB10,12)</f>
        <v>49675</v>
      </c>
      <c r="AD10" s="59">
        <f t="shared" ref="AD10" si="15">EDATE(AC10,12)</f>
        <v>50041</v>
      </c>
      <c r="AE10" s="59">
        <f t="shared" ref="AE10" si="16">EDATE(AD10,12)</f>
        <v>50406</v>
      </c>
      <c r="AF10" s="59">
        <f t="shared" ref="AF10" si="17">EDATE(AE10,12)</f>
        <v>50771</v>
      </c>
      <c r="AG10" s="59">
        <f t="shared" ref="AG10" si="18">EDATE(AF10,12)</f>
        <v>51136</v>
      </c>
      <c r="AH10" s="59">
        <f t="shared" ref="AH10" si="19">EDATE(AG10,12)</f>
        <v>51502</v>
      </c>
      <c r="AI10" s="59">
        <f t="shared" ref="AI10" si="20">EDATE(AH10,12)</f>
        <v>51867</v>
      </c>
      <c r="AJ10" s="59">
        <f t="shared" ref="AJ10" si="21">EDATE(AI10,12)</f>
        <v>52232</v>
      </c>
      <c r="AK10" s="59">
        <f t="shared" ref="AK10" si="22">EDATE(AJ10,12)</f>
        <v>52597</v>
      </c>
      <c r="AL10" s="59">
        <f t="shared" ref="AL10" si="23">EDATE(AK10,12)</f>
        <v>52963</v>
      </c>
      <c r="AM10" s="59">
        <f t="shared" ref="AM10" si="24">EDATE(AL10,12)</f>
        <v>53328</v>
      </c>
      <c r="AN10" s="59">
        <f t="shared" ref="AN10" si="25">EDATE(AM10,12)</f>
        <v>53693</v>
      </c>
      <c r="AO10" s="59">
        <f t="shared" ref="AO10" si="26">EDATE(AN10,12)</f>
        <v>54058</v>
      </c>
      <c r="AP10" s="59">
        <f t="shared" ref="AP10" si="27">EDATE(AO10,12)</f>
        <v>54424</v>
      </c>
      <c r="AQ10" s="59">
        <f t="shared" ref="AQ10" si="28">EDATE(AP10,12)</f>
        <v>54789</v>
      </c>
      <c r="AS10" s="26"/>
      <c r="AU10" s="59">
        <f>start_year</f>
        <v>43831</v>
      </c>
      <c r="AV10" s="59">
        <f>EDATE(AU10,12)</f>
        <v>44197</v>
      </c>
      <c r="AW10" s="59">
        <f t="shared" ref="AW10:BY10" si="29">EDATE(AV10,12)</f>
        <v>44562</v>
      </c>
      <c r="AX10" s="59">
        <f t="shared" si="29"/>
        <v>44927</v>
      </c>
      <c r="AY10" s="59">
        <f t="shared" si="29"/>
        <v>45292</v>
      </c>
      <c r="AZ10" s="59">
        <f t="shared" si="29"/>
        <v>45658</v>
      </c>
      <c r="BA10" s="59">
        <f t="shared" si="29"/>
        <v>46023</v>
      </c>
      <c r="BB10" s="59">
        <f t="shared" si="29"/>
        <v>46388</v>
      </c>
      <c r="BC10" s="59">
        <f t="shared" si="29"/>
        <v>46753</v>
      </c>
      <c r="BD10" s="59">
        <f t="shared" si="29"/>
        <v>47119</v>
      </c>
      <c r="BE10" s="59">
        <f t="shared" si="29"/>
        <v>47484</v>
      </c>
      <c r="BF10" s="59">
        <f t="shared" si="29"/>
        <v>47849</v>
      </c>
      <c r="BG10" s="59">
        <f t="shared" si="29"/>
        <v>48214</v>
      </c>
      <c r="BH10" s="59">
        <f t="shared" si="29"/>
        <v>48580</v>
      </c>
      <c r="BI10" s="59">
        <f t="shared" si="29"/>
        <v>48945</v>
      </c>
      <c r="BJ10" s="59">
        <f t="shared" si="29"/>
        <v>49310</v>
      </c>
      <c r="BK10" s="59">
        <f t="shared" si="29"/>
        <v>49675</v>
      </c>
      <c r="BL10" s="59">
        <f t="shared" si="29"/>
        <v>50041</v>
      </c>
      <c r="BM10" s="59">
        <f t="shared" si="29"/>
        <v>50406</v>
      </c>
      <c r="BN10" s="59">
        <f t="shared" si="29"/>
        <v>50771</v>
      </c>
      <c r="BO10" s="59">
        <f t="shared" si="29"/>
        <v>51136</v>
      </c>
      <c r="BP10" s="59">
        <f t="shared" si="29"/>
        <v>51502</v>
      </c>
      <c r="BQ10" s="59">
        <f t="shared" si="29"/>
        <v>51867</v>
      </c>
      <c r="BR10" s="59">
        <f t="shared" si="29"/>
        <v>52232</v>
      </c>
      <c r="BS10" s="59">
        <f t="shared" si="29"/>
        <v>52597</v>
      </c>
      <c r="BT10" s="59">
        <f t="shared" si="29"/>
        <v>52963</v>
      </c>
      <c r="BU10" s="59">
        <f t="shared" si="29"/>
        <v>53328</v>
      </c>
      <c r="BV10" s="59">
        <f t="shared" si="29"/>
        <v>53693</v>
      </c>
      <c r="BW10" s="59">
        <f t="shared" si="29"/>
        <v>54058</v>
      </c>
      <c r="BX10" s="59">
        <f t="shared" si="29"/>
        <v>54424</v>
      </c>
      <c r="BY10" s="59">
        <f t="shared" si="29"/>
        <v>54789</v>
      </c>
      <c r="CA10" s="26"/>
      <c r="CC10" s="59">
        <f>start_year</f>
        <v>43831</v>
      </c>
      <c r="CD10" s="59">
        <f>EDATE(CC10,12)</f>
        <v>44197</v>
      </c>
      <c r="CE10" s="59">
        <f t="shared" ref="CE10:DG10" si="30">EDATE(CD10,12)</f>
        <v>44562</v>
      </c>
      <c r="CF10" s="59">
        <f t="shared" si="30"/>
        <v>44927</v>
      </c>
      <c r="CG10" s="59">
        <f t="shared" si="30"/>
        <v>45292</v>
      </c>
      <c r="CH10" s="59">
        <f t="shared" si="30"/>
        <v>45658</v>
      </c>
      <c r="CI10" s="59">
        <f t="shared" si="30"/>
        <v>46023</v>
      </c>
      <c r="CJ10" s="59">
        <f t="shared" si="30"/>
        <v>46388</v>
      </c>
      <c r="CK10" s="59">
        <f t="shared" si="30"/>
        <v>46753</v>
      </c>
      <c r="CL10" s="59">
        <f t="shared" si="30"/>
        <v>47119</v>
      </c>
      <c r="CM10" s="59">
        <f t="shared" si="30"/>
        <v>47484</v>
      </c>
      <c r="CN10" s="59">
        <f t="shared" si="30"/>
        <v>47849</v>
      </c>
      <c r="CO10" s="59">
        <f t="shared" si="30"/>
        <v>48214</v>
      </c>
      <c r="CP10" s="59">
        <f t="shared" si="30"/>
        <v>48580</v>
      </c>
      <c r="CQ10" s="59">
        <f t="shared" si="30"/>
        <v>48945</v>
      </c>
      <c r="CR10" s="59">
        <f t="shared" si="30"/>
        <v>49310</v>
      </c>
      <c r="CS10" s="59">
        <f t="shared" si="30"/>
        <v>49675</v>
      </c>
      <c r="CT10" s="59">
        <f t="shared" si="30"/>
        <v>50041</v>
      </c>
      <c r="CU10" s="59">
        <f t="shared" si="30"/>
        <v>50406</v>
      </c>
      <c r="CV10" s="59">
        <f t="shared" si="30"/>
        <v>50771</v>
      </c>
      <c r="CW10" s="59">
        <f t="shared" si="30"/>
        <v>51136</v>
      </c>
      <c r="CX10" s="59">
        <f t="shared" si="30"/>
        <v>51502</v>
      </c>
      <c r="CY10" s="59">
        <f t="shared" si="30"/>
        <v>51867</v>
      </c>
      <c r="CZ10" s="59">
        <f t="shared" si="30"/>
        <v>52232</v>
      </c>
      <c r="DA10" s="59">
        <f t="shared" si="30"/>
        <v>52597</v>
      </c>
      <c r="DB10" s="59">
        <f t="shared" si="30"/>
        <v>52963</v>
      </c>
      <c r="DC10" s="59">
        <f t="shared" si="30"/>
        <v>53328</v>
      </c>
      <c r="DD10" s="59">
        <f t="shared" si="30"/>
        <v>53693</v>
      </c>
      <c r="DE10" s="59">
        <f t="shared" si="30"/>
        <v>54058</v>
      </c>
      <c r="DF10" s="59">
        <f t="shared" si="30"/>
        <v>54424</v>
      </c>
      <c r="DG10" s="59">
        <f t="shared" si="30"/>
        <v>54789</v>
      </c>
    </row>
    <row r="11" spans="1:111">
      <c r="B11" s="3" t="s">
        <v>244</v>
      </c>
      <c r="D11" s="39" t="b">
        <f t="shared" ref="D11:D60" si="31">IF(ISBLANK($B11),"-/-",COUNTIFS(component_names,$B11,component_types,$B$9)&gt;0)</f>
        <v>1</v>
      </c>
      <c r="F11" s="3"/>
      <c r="H11" s="19" t="s">
        <v>110</v>
      </c>
      <c r="J11" s="3" t="s">
        <v>278</v>
      </c>
      <c r="K11" s="3"/>
      <c r="M11" s="35">
        <v>1</v>
      </c>
      <c r="N11" s="35">
        <v>1</v>
      </c>
      <c r="O11" s="35">
        <v>1</v>
      </c>
      <c r="P11" s="35">
        <v>1</v>
      </c>
      <c r="Q11" s="35">
        <v>1</v>
      </c>
      <c r="R11" s="35">
        <v>1</v>
      </c>
      <c r="S11" s="35">
        <v>1</v>
      </c>
      <c r="T11" s="35">
        <v>1</v>
      </c>
      <c r="U11" s="35">
        <v>1</v>
      </c>
      <c r="V11" s="35">
        <v>1</v>
      </c>
      <c r="W11" s="35">
        <v>1</v>
      </c>
      <c r="X11" s="35">
        <v>1</v>
      </c>
      <c r="Y11" s="35">
        <v>1</v>
      </c>
      <c r="Z11" s="35">
        <v>1</v>
      </c>
      <c r="AA11" s="35">
        <v>1</v>
      </c>
      <c r="AB11" s="35">
        <v>1</v>
      </c>
      <c r="AC11" s="35">
        <v>1</v>
      </c>
      <c r="AD11" s="35">
        <v>1</v>
      </c>
      <c r="AE11" s="35">
        <v>1</v>
      </c>
      <c r="AF11" s="35">
        <v>1</v>
      </c>
      <c r="AG11" s="35">
        <v>1</v>
      </c>
      <c r="AH11" s="35">
        <v>1</v>
      </c>
      <c r="AI11" s="35">
        <v>1</v>
      </c>
      <c r="AJ11" s="35">
        <v>1</v>
      </c>
      <c r="AK11" s="35">
        <v>1</v>
      </c>
      <c r="AL11" s="35">
        <v>1</v>
      </c>
      <c r="AM11" s="35">
        <v>1</v>
      </c>
      <c r="AN11" s="35">
        <v>1</v>
      </c>
      <c r="AO11" s="35">
        <v>1</v>
      </c>
      <c r="AP11" s="35">
        <v>1</v>
      </c>
      <c r="AQ11" s="35">
        <v>1</v>
      </c>
      <c r="AS11" s="19" t="b">
        <v>0</v>
      </c>
      <c r="AU11" s="25"/>
      <c r="AV11" s="25"/>
      <c r="AW11" s="25"/>
      <c r="AX11" s="25"/>
      <c r="AY11" s="25"/>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4"/>
      <c r="CA11" s="19" t="b">
        <v>1</v>
      </c>
      <c r="CB11" s="24"/>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5"/>
      <c r="DD11" s="25"/>
      <c r="DE11" s="25"/>
      <c r="DF11" s="25"/>
      <c r="DG11" s="25">
        <v>252832600</v>
      </c>
    </row>
    <row r="12" spans="1:111">
      <c r="B12" s="3"/>
      <c r="D12" s="39" t="str">
        <f t="shared" si="31"/>
        <v>-/-</v>
      </c>
      <c r="F12" s="3"/>
      <c r="H12" s="19"/>
      <c r="J12" s="3"/>
      <c r="K12" s="3"/>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S12" s="19"/>
      <c r="AU12" s="25"/>
      <c r="AV12" s="25"/>
      <c r="AW12" s="25"/>
      <c r="AX12" s="25"/>
      <c r="AY12" s="25"/>
      <c r="AZ12" s="25"/>
      <c r="BA12" s="25"/>
      <c r="BB12" s="25"/>
      <c r="BC12" s="25"/>
      <c r="BD12" s="25"/>
      <c r="BE12" s="25"/>
      <c r="BF12" s="25"/>
      <c r="BG12" s="25"/>
      <c r="BH12" s="25"/>
      <c r="BI12" s="25"/>
      <c r="BJ12" s="25"/>
      <c r="BK12" s="25"/>
      <c r="BL12" s="25"/>
      <c r="BM12" s="25"/>
      <c r="BN12" s="25"/>
      <c r="BO12" s="25"/>
      <c r="BP12" s="25"/>
      <c r="BQ12" s="25"/>
      <c r="BR12" s="25"/>
      <c r="BS12" s="25"/>
      <c r="BT12" s="25"/>
      <c r="BU12" s="25"/>
      <c r="BV12" s="25"/>
      <c r="BW12" s="25"/>
      <c r="BX12" s="25"/>
      <c r="BY12" s="25"/>
      <c r="BZ12" s="24"/>
      <c r="CA12" s="19"/>
      <c r="CB12" s="24"/>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c r="DE12" s="25"/>
      <c r="DF12" s="25"/>
      <c r="DG12" s="25"/>
    </row>
    <row r="13" spans="1:111">
      <c r="B13" s="3"/>
      <c r="D13" s="39" t="str">
        <f t="shared" si="31"/>
        <v>-/-</v>
      </c>
      <c r="F13" s="3"/>
      <c r="H13" s="19"/>
      <c r="J13" s="3"/>
      <c r="K13" s="3"/>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S13" s="19"/>
      <c r="AU13" s="25"/>
      <c r="AV13" s="25"/>
      <c r="AW13" s="25"/>
      <c r="AX13" s="25"/>
      <c r="AY13" s="25"/>
      <c r="AZ13" s="25"/>
      <c r="BA13" s="25"/>
      <c r="BB13" s="25"/>
      <c r="BC13" s="25"/>
      <c r="BD13" s="25"/>
      <c r="BE13" s="25"/>
      <c r="BF13" s="25"/>
      <c r="BG13" s="25"/>
      <c r="BH13" s="25"/>
      <c r="BI13" s="25"/>
      <c r="BJ13" s="25"/>
      <c r="BK13" s="25"/>
      <c r="BL13" s="25"/>
      <c r="BM13" s="25"/>
      <c r="BN13" s="25"/>
      <c r="BO13" s="25"/>
      <c r="BP13" s="25"/>
      <c r="BQ13" s="25"/>
      <c r="BR13" s="25"/>
      <c r="BS13" s="25"/>
      <c r="BT13" s="25"/>
      <c r="BU13" s="25"/>
      <c r="BV13" s="25"/>
      <c r="BW13" s="25"/>
      <c r="BX13" s="25"/>
      <c r="BY13" s="25"/>
      <c r="BZ13" s="24"/>
      <c r="CA13" s="19"/>
      <c r="CB13" s="24"/>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5"/>
      <c r="DD13" s="25"/>
      <c r="DE13" s="25"/>
      <c r="DF13" s="25"/>
      <c r="DG13" s="25"/>
    </row>
    <row r="14" spans="1:111">
      <c r="B14" s="3"/>
      <c r="D14" s="39" t="str">
        <f t="shared" si="31"/>
        <v>-/-</v>
      </c>
      <c r="F14" s="3"/>
      <c r="H14" s="19"/>
      <c r="J14" s="3"/>
      <c r="K14" s="3"/>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S14" s="19"/>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c r="BX14" s="25"/>
      <c r="BY14" s="25"/>
      <c r="BZ14" s="24"/>
      <c r="CA14" s="19"/>
      <c r="CB14" s="24"/>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row>
    <row r="15" spans="1:111">
      <c r="B15" s="3"/>
      <c r="D15" s="39" t="str">
        <f t="shared" si="31"/>
        <v>-/-</v>
      </c>
      <c r="F15" s="3"/>
      <c r="H15" s="19"/>
      <c r="J15" s="3"/>
      <c r="K15" s="3"/>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S15" s="19"/>
      <c r="AU15" s="25"/>
      <c r="AV15" s="25"/>
      <c r="AW15" s="25"/>
      <c r="AX15" s="25"/>
      <c r="AY15" s="25"/>
      <c r="AZ15" s="25"/>
      <c r="BA15" s="25"/>
      <c r="BB15" s="25"/>
      <c r="BC15" s="25"/>
      <c r="BD15" s="25"/>
      <c r="BE15" s="25"/>
      <c r="BF15" s="25"/>
      <c r="BG15" s="25"/>
      <c r="BH15" s="25"/>
      <c r="BI15" s="25"/>
      <c r="BJ15" s="25"/>
      <c r="BK15" s="25"/>
      <c r="BL15" s="25"/>
      <c r="BM15" s="25"/>
      <c r="BN15" s="25"/>
      <c r="BO15" s="25"/>
      <c r="BP15" s="25"/>
      <c r="BQ15" s="25"/>
      <c r="BR15" s="25"/>
      <c r="BS15" s="25"/>
      <c r="BT15" s="25"/>
      <c r="BU15" s="25"/>
      <c r="BV15" s="25"/>
      <c r="BW15" s="25"/>
      <c r="BX15" s="25"/>
      <c r="BY15" s="25"/>
      <c r="BZ15" s="24"/>
      <c r="CA15" s="19"/>
      <c r="CB15" s="24"/>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5"/>
      <c r="DD15" s="25"/>
      <c r="DE15" s="25"/>
      <c r="DF15" s="25"/>
      <c r="DG15" s="25"/>
    </row>
    <row r="16" spans="1:111">
      <c r="B16" s="3"/>
      <c r="D16" s="39" t="str">
        <f t="shared" si="31"/>
        <v>-/-</v>
      </c>
      <c r="F16" s="3"/>
      <c r="H16" s="19"/>
      <c r="J16" s="3"/>
      <c r="K16" s="3"/>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S16" s="19"/>
      <c r="AU16" s="25"/>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c r="BX16" s="25"/>
      <c r="BY16" s="25"/>
      <c r="BZ16" s="24"/>
      <c r="CA16" s="19"/>
      <c r="CB16" s="24"/>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row>
    <row r="17" spans="2:111">
      <c r="B17" s="3"/>
      <c r="D17" s="39" t="str">
        <f t="shared" si="31"/>
        <v>-/-</v>
      </c>
      <c r="F17" s="3"/>
      <c r="H17" s="19"/>
      <c r="J17" s="3"/>
      <c r="K17" s="3"/>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S17" s="19"/>
      <c r="AU17" s="25"/>
      <c r="AV17" s="25"/>
      <c r="AW17" s="25"/>
      <c r="AX17" s="25"/>
      <c r="AY17" s="25"/>
      <c r="AZ17" s="25"/>
      <c r="BA17" s="25"/>
      <c r="BB17" s="25"/>
      <c r="BC17" s="25"/>
      <c r="BD17" s="25"/>
      <c r="BE17" s="25"/>
      <c r="BF17" s="25"/>
      <c r="BG17" s="25"/>
      <c r="BH17" s="25"/>
      <c r="BI17" s="25"/>
      <c r="BJ17" s="25"/>
      <c r="BK17" s="25"/>
      <c r="BL17" s="25"/>
      <c r="BM17" s="25"/>
      <c r="BN17" s="25"/>
      <c r="BO17" s="25"/>
      <c r="BP17" s="25"/>
      <c r="BQ17" s="25"/>
      <c r="BR17" s="25"/>
      <c r="BS17" s="25"/>
      <c r="BT17" s="25"/>
      <c r="BU17" s="25"/>
      <c r="BV17" s="25"/>
      <c r="BW17" s="25"/>
      <c r="BX17" s="25"/>
      <c r="BY17" s="25"/>
      <c r="BZ17" s="24"/>
      <c r="CA17" s="19"/>
      <c r="CB17" s="24"/>
      <c r="CC17" s="25"/>
      <c r="CD17" s="25"/>
      <c r="CE17" s="25"/>
      <c r="CF17" s="25"/>
      <c r="CG17" s="25"/>
      <c r="CH17" s="25"/>
      <c r="CI17" s="25"/>
      <c r="CJ17" s="25"/>
      <c r="CK17" s="25"/>
      <c r="CL17" s="25"/>
      <c r="CM17" s="25"/>
      <c r="CN17" s="25"/>
      <c r="CO17" s="25"/>
      <c r="CP17" s="25"/>
      <c r="CQ17" s="25"/>
      <c r="CR17" s="25"/>
      <c r="CS17" s="25"/>
      <c r="CT17" s="25"/>
      <c r="CU17" s="25"/>
      <c r="CV17" s="25"/>
      <c r="CW17" s="25"/>
      <c r="CX17" s="25"/>
      <c r="CY17" s="25"/>
      <c r="CZ17" s="25"/>
      <c r="DA17" s="25"/>
      <c r="DB17" s="25"/>
      <c r="DC17" s="25"/>
      <c r="DD17" s="25"/>
      <c r="DE17" s="25"/>
      <c r="DF17" s="25"/>
      <c r="DG17" s="25"/>
    </row>
    <row r="18" spans="2:111">
      <c r="B18" s="3"/>
      <c r="D18" s="39" t="str">
        <f t="shared" si="31"/>
        <v>-/-</v>
      </c>
      <c r="F18" s="3"/>
      <c r="H18" s="19"/>
      <c r="J18" s="3"/>
      <c r="K18" s="3"/>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S18" s="19"/>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c r="BX18" s="25"/>
      <c r="BY18" s="25"/>
      <c r="BZ18" s="24"/>
      <c r="CA18" s="19"/>
      <c r="CB18" s="24"/>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row>
    <row r="19" spans="2:111">
      <c r="B19" s="3"/>
      <c r="D19" s="39" t="str">
        <f t="shared" si="31"/>
        <v>-/-</v>
      </c>
      <c r="F19" s="3"/>
      <c r="H19" s="19"/>
      <c r="J19" s="3"/>
      <c r="K19" s="3"/>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S19" s="19"/>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W19" s="25"/>
      <c r="BX19" s="25"/>
      <c r="BY19" s="25"/>
      <c r="BZ19" s="24"/>
      <c r="CA19" s="19"/>
      <c r="CB19" s="24"/>
      <c r="CC19" s="25"/>
      <c r="CD19" s="25"/>
      <c r="CE19" s="25"/>
      <c r="CF19" s="25"/>
      <c r="CG19" s="25"/>
      <c r="CH19" s="25"/>
      <c r="CI19" s="25"/>
      <c r="CJ19" s="25"/>
      <c r="CK19" s="25"/>
      <c r="CL19" s="25"/>
      <c r="CM19" s="25"/>
      <c r="CN19" s="25"/>
      <c r="CO19" s="25"/>
      <c r="CP19" s="25"/>
      <c r="CQ19" s="25"/>
      <c r="CR19" s="25"/>
      <c r="CS19" s="25"/>
      <c r="CT19" s="25"/>
      <c r="CU19" s="25"/>
      <c r="CV19" s="25"/>
      <c r="CW19" s="25"/>
      <c r="CX19" s="25"/>
      <c r="CY19" s="25"/>
      <c r="CZ19" s="25"/>
      <c r="DA19" s="25"/>
      <c r="DB19" s="25"/>
      <c r="DC19" s="25"/>
      <c r="DD19" s="25"/>
      <c r="DE19" s="25"/>
      <c r="DF19" s="25"/>
      <c r="DG19" s="25"/>
    </row>
    <row r="20" spans="2:111">
      <c r="B20" s="3"/>
      <c r="D20" s="39" t="str">
        <f t="shared" si="31"/>
        <v>-/-</v>
      </c>
      <c r="F20" s="3"/>
      <c r="H20" s="19"/>
      <c r="J20" s="3"/>
      <c r="K20" s="3"/>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S20" s="19"/>
      <c r="AU20" s="25"/>
      <c r="AV20" s="25"/>
      <c r="AW20" s="25"/>
      <c r="AX20" s="25"/>
      <c r="AY20" s="25"/>
      <c r="AZ20" s="25"/>
      <c r="BA20" s="25"/>
      <c r="BB20" s="25"/>
      <c r="BC20" s="25"/>
      <c r="BD20" s="25"/>
      <c r="BE20" s="25"/>
      <c r="BF20" s="25"/>
      <c r="BG20" s="25"/>
      <c r="BH20" s="25"/>
      <c r="BI20" s="25"/>
      <c r="BJ20" s="25"/>
      <c r="BK20" s="25"/>
      <c r="BL20" s="25"/>
      <c r="BM20" s="25"/>
      <c r="BN20" s="25"/>
      <c r="BO20" s="25"/>
      <c r="BP20" s="25"/>
      <c r="BQ20" s="25"/>
      <c r="BR20" s="25"/>
      <c r="BS20" s="25"/>
      <c r="BT20" s="25"/>
      <c r="BU20" s="25"/>
      <c r="BV20" s="25"/>
      <c r="BW20" s="25"/>
      <c r="BX20" s="25"/>
      <c r="BY20" s="25"/>
      <c r="BZ20" s="24"/>
      <c r="CA20" s="19"/>
      <c r="CB20" s="24"/>
      <c r="CC20" s="25"/>
      <c r="CD20" s="25"/>
      <c r="CE20" s="25"/>
      <c r="CF20" s="25"/>
      <c r="CG20" s="25"/>
      <c r="CH20" s="25"/>
      <c r="CI20" s="25"/>
      <c r="CJ20" s="25"/>
      <c r="CK20" s="25"/>
      <c r="CL20" s="25"/>
      <c r="CM20" s="25"/>
      <c r="CN20" s="25"/>
      <c r="CO20" s="25"/>
      <c r="CP20" s="25"/>
      <c r="CQ20" s="25"/>
      <c r="CR20" s="25"/>
      <c r="CS20" s="25"/>
      <c r="CT20" s="25"/>
      <c r="CU20" s="25"/>
      <c r="CV20" s="25"/>
      <c r="CW20" s="25"/>
      <c r="CX20" s="25"/>
      <c r="CY20" s="25"/>
      <c r="CZ20" s="25"/>
      <c r="DA20" s="25"/>
      <c r="DB20" s="25"/>
      <c r="DC20" s="25"/>
      <c r="DD20" s="25"/>
      <c r="DE20" s="25"/>
      <c r="DF20" s="25"/>
      <c r="DG20" s="25"/>
    </row>
    <row r="21" spans="2:111">
      <c r="B21" s="3"/>
      <c r="D21" s="39" t="str">
        <f t="shared" si="31"/>
        <v>-/-</v>
      </c>
      <c r="F21" s="3"/>
      <c r="H21" s="19"/>
      <c r="J21" s="3"/>
      <c r="K21" s="3"/>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S21" s="19"/>
      <c r="AU21" s="25"/>
      <c r="AV21" s="25"/>
      <c r="AW21" s="25"/>
      <c r="AX21" s="25"/>
      <c r="AY21" s="25"/>
      <c r="AZ21" s="25"/>
      <c r="BA21" s="25"/>
      <c r="BB21" s="25"/>
      <c r="BC21" s="25"/>
      <c r="BD21" s="25"/>
      <c r="BE21" s="25"/>
      <c r="BF21" s="25"/>
      <c r="BG21" s="25"/>
      <c r="BH21" s="25"/>
      <c r="BI21" s="25"/>
      <c r="BJ21" s="25"/>
      <c r="BK21" s="25"/>
      <c r="BL21" s="25"/>
      <c r="BM21" s="25"/>
      <c r="BN21" s="25"/>
      <c r="BO21" s="25"/>
      <c r="BP21" s="25"/>
      <c r="BQ21" s="25"/>
      <c r="BR21" s="25"/>
      <c r="BS21" s="25"/>
      <c r="BT21" s="25"/>
      <c r="BU21" s="25"/>
      <c r="BV21" s="25"/>
      <c r="BW21" s="25"/>
      <c r="BX21" s="25"/>
      <c r="BY21" s="25"/>
      <c r="BZ21" s="24"/>
      <c r="CA21" s="19"/>
      <c r="CB21" s="24"/>
      <c r="CC21" s="25"/>
      <c r="CD21" s="25"/>
      <c r="CE21" s="25"/>
      <c r="CF21" s="25"/>
      <c r="CG21" s="25"/>
      <c r="CH21" s="25"/>
      <c r="CI21" s="25"/>
      <c r="CJ21" s="25"/>
      <c r="CK21" s="25"/>
      <c r="CL21" s="25"/>
      <c r="CM21" s="25"/>
      <c r="CN21" s="25"/>
      <c r="CO21" s="25"/>
      <c r="CP21" s="25"/>
      <c r="CQ21" s="25"/>
      <c r="CR21" s="25"/>
      <c r="CS21" s="25"/>
      <c r="CT21" s="25"/>
      <c r="CU21" s="25"/>
      <c r="CV21" s="25"/>
      <c r="CW21" s="25"/>
      <c r="CX21" s="25"/>
      <c r="CY21" s="25"/>
      <c r="CZ21" s="25"/>
      <c r="DA21" s="25"/>
      <c r="DB21" s="25"/>
      <c r="DC21" s="25"/>
      <c r="DD21" s="25"/>
      <c r="DE21" s="25"/>
      <c r="DF21" s="25"/>
      <c r="DG21" s="25"/>
    </row>
    <row r="22" spans="2:111">
      <c r="B22" s="3"/>
      <c r="D22" s="39" t="str">
        <f t="shared" si="31"/>
        <v>-/-</v>
      </c>
      <c r="F22" s="3"/>
      <c r="H22" s="19"/>
      <c r="J22" s="3"/>
      <c r="K22" s="3"/>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S22" s="19"/>
      <c r="AU22" s="25"/>
      <c r="AV22" s="25"/>
      <c r="AW22" s="25"/>
      <c r="AX22" s="25"/>
      <c r="AY22" s="25"/>
      <c r="AZ22" s="25"/>
      <c r="BA22" s="25"/>
      <c r="BB22" s="25"/>
      <c r="BC22" s="25"/>
      <c r="BD22" s="25"/>
      <c r="BE22" s="25"/>
      <c r="BF22" s="25"/>
      <c r="BG22" s="25"/>
      <c r="BH22" s="25"/>
      <c r="BI22" s="25"/>
      <c r="BJ22" s="25"/>
      <c r="BK22" s="25"/>
      <c r="BL22" s="25"/>
      <c r="BM22" s="25"/>
      <c r="BN22" s="25"/>
      <c r="BO22" s="25"/>
      <c r="BP22" s="25"/>
      <c r="BQ22" s="25"/>
      <c r="BR22" s="25"/>
      <c r="BS22" s="25"/>
      <c r="BT22" s="25"/>
      <c r="BU22" s="25"/>
      <c r="BV22" s="25"/>
      <c r="BW22" s="25"/>
      <c r="BX22" s="25"/>
      <c r="BY22" s="25"/>
      <c r="BZ22" s="24"/>
      <c r="CA22" s="19"/>
      <c r="CB22" s="24"/>
      <c r="CC22" s="25"/>
      <c r="CD22" s="25"/>
      <c r="CE22" s="25"/>
      <c r="CF22" s="25"/>
      <c r="CG22" s="25"/>
      <c r="CH22" s="25"/>
      <c r="CI22" s="25"/>
      <c r="CJ22" s="25"/>
      <c r="CK22" s="25"/>
      <c r="CL22" s="25"/>
      <c r="CM22" s="25"/>
      <c r="CN22" s="25"/>
      <c r="CO22" s="25"/>
      <c r="CP22" s="25"/>
      <c r="CQ22" s="25"/>
      <c r="CR22" s="25"/>
      <c r="CS22" s="25"/>
      <c r="CT22" s="25"/>
      <c r="CU22" s="25"/>
      <c r="CV22" s="25"/>
      <c r="CW22" s="25"/>
      <c r="CX22" s="25"/>
      <c r="CY22" s="25"/>
      <c r="CZ22" s="25"/>
      <c r="DA22" s="25"/>
      <c r="DB22" s="25"/>
      <c r="DC22" s="25"/>
      <c r="DD22" s="25"/>
      <c r="DE22" s="25"/>
      <c r="DF22" s="25"/>
      <c r="DG22" s="25"/>
    </row>
    <row r="23" spans="2:111">
      <c r="B23" s="3"/>
      <c r="D23" s="39" t="str">
        <f t="shared" si="31"/>
        <v>-/-</v>
      </c>
      <c r="F23" s="3"/>
      <c r="H23" s="19"/>
      <c r="J23" s="3"/>
      <c r="K23" s="3"/>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S23" s="19"/>
      <c r="AU23" s="25"/>
      <c r="AV23" s="25"/>
      <c r="AW23" s="25"/>
      <c r="AX23" s="25"/>
      <c r="AY23" s="25"/>
      <c r="AZ23" s="25"/>
      <c r="BA23" s="25"/>
      <c r="BB23" s="25"/>
      <c r="BC23" s="25"/>
      <c r="BD23" s="25"/>
      <c r="BE23" s="25"/>
      <c r="BF23" s="25"/>
      <c r="BG23" s="25"/>
      <c r="BH23" s="25"/>
      <c r="BI23" s="25"/>
      <c r="BJ23" s="25"/>
      <c r="BK23" s="25"/>
      <c r="BL23" s="25"/>
      <c r="BM23" s="25"/>
      <c r="BN23" s="25"/>
      <c r="BO23" s="25"/>
      <c r="BP23" s="25"/>
      <c r="BQ23" s="25"/>
      <c r="BR23" s="25"/>
      <c r="BS23" s="25"/>
      <c r="BT23" s="25"/>
      <c r="BU23" s="25"/>
      <c r="BV23" s="25"/>
      <c r="BW23" s="25"/>
      <c r="BX23" s="25"/>
      <c r="BY23" s="25"/>
      <c r="BZ23" s="24"/>
      <c r="CA23" s="19"/>
      <c r="CB23" s="24"/>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5"/>
      <c r="DD23" s="25"/>
      <c r="DE23" s="25"/>
      <c r="DF23" s="25"/>
      <c r="DG23" s="25"/>
    </row>
    <row r="24" spans="2:111">
      <c r="B24" s="3"/>
      <c r="D24" s="39" t="str">
        <f t="shared" si="31"/>
        <v>-/-</v>
      </c>
      <c r="F24" s="3"/>
      <c r="H24" s="19"/>
      <c r="J24" s="3"/>
      <c r="K24" s="3"/>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S24" s="19"/>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W24" s="25"/>
      <c r="BX24" s="25"/>
      <c r="BY24" s="25"/>
      <c r="BZ24" s="24"/>
      <c r="CA24" s="19"/>
      <c r="CB24" s="24"/>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row>
    <row r="25" spans="2:111">
      <c r="B25" s="3"/>
      <c r="D25" s="39" t="str">
        <f t="shared" si="31"/>
        <v>-/-</v>
      </c>
      <c r="F25" s="3"/>
      <c r="H25" s="19"/>
      <c r="J25" s="3"/>
      <c r="K25" s="3"/>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S25" s="19"/>
      <c r="AU25" s="25"/>
      <c r="AV25" s="25"/>
      <c r="AW25" s="25"/>
      <c r="AX25" s="25"/>
      <c r="AY25" s="25"/>
      <c r="AZ25" s="25"/>
      <c r="BA25" s="25"/>
      <c r="BB25" s="25"/>
      <c r="BC25" s="25"/>
      <c r="BD25" s="25"/>
      <c r="BE25" s="25"/>
      <c r="BF25" s="25"/>
      <c r="BG25" s="25"/>
      <c r="BH25" s="25"/>
      <c r="BI25" s="25"/>
      <c r="BJ25" s="25"/>
      <c r="BK25" s="25"/>
      <c r="BL25" s="25"/>
      <c r="BM25" s="25"/>
      <c r="BN25" s="25"/>
      <c r="BO25" s="25"/>
      <c r="BP25" s="25"/>
      <c r="BQ25" s="25"/>
      <c r="BR25" s="25"/>
      <c r="BS25" s="25"/>
      <c r="BT25" s="25"/>
      <c r="BU25" s="25"/>
      <c r="BV25" s="25"/>
      <c r="BW25" s="25"/>
      <c r="BX25" s="25"/>
      <c r="BY25" s="25"/>
      <c r="BZ25" s="24"/>
      <c r="CA25" s="19"/>
      <c r="CB25" s="24"/>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5"/>
      <c r="DD25" s="25"/>
      <c r="DE25" s="25"/>
      <c r="DF25" s="25"/>
      <c r="DG25" s="25"/>
    </row>
    <row r="26" spans="2:111">
      <c r="B26" s="3"/>
      <c r="D26" s="39" t="str">
        <f t="shared" si="31"/>
        <v>-/-</v>
      </c>
      <c r="F26" s="3"/>
      <c r="H26" s="19"/>
      <c r="J26" s="3"/>
      <c r="K26" s="3"/>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S26" s="19"/>
      <c r="AU26" s="25"/>
      <c r="AV26" s="25"/>
      <c r="AW26" s="25"/>
      <c r="AX26" s="25"/>
      <c r="AY26" s="25"/>
      <c r="AZ26" s="25"/>
      <c r="BA26" s="25"/>
      <c r="BB26" s="25"/>
      <c r="BC26" s="25"/>
      <c r="BD26" s="25"/>
      <c r="BE26" s="25"/>
      <c r="BF26" s="25"/>
      <c r="BG26" s="25"/>
      <c r="BH26" s="25"/>
      <c r="BI26" s="25"/>
      <c r="BJ26" s="25"/>
      <c r="BK26" s="25"/>
      <c r="BL26" s="25"/>
      <c r="BM26" s="25"/>
      <c r="BN26" s="25"/>
      <c r="BO26" s="25"/>
      <c r="BP26" s="25"/>
      <c r="BQ26" s="25"/>
      <c r="BR26" s="25"/>
      <c r="BS26" s="25"/>
      <c r="BT26" s="25"/>
      <c r="BU26" s="25"/>
      <c r="BV26" s="25"/>
      <c r="BW26" s="25"/>
      <c r="BX26" s="25"/>
      <c r="BY26" s="25"/>
      <c r="BZ26" s="24"/>
      <c r="CA26" s="19"/>
      <c r="CB26" s="24"/>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row>
    <row r="27" spans="2:111">
      <c r="B27" s="3"/>
      <c r="D27" s="39" t="str">
        <f t="shared" si="31"/>
        <v>-/-</v>
      </c>
      <c r="F27" s="3"/>
      <c r="H27" s="19"/>
      <c r="J27" s="3"/>
      <c r="K27" s="3"/>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S27" s="19"/>
      <c r="AU27" s="25"/>
      <c r="AV27" s="25"/>
      <c r="AW27" s="25"/>
      <c r="AX27" s="25"/>
      <c r="AY27" s="25"/>
      <c r="AZ27" s="25"/>
      <c r="BA27" s="25"/>
      <c r="BB27" s="25"/>
      <c r="BC27" s="25"/>
      <c r="BD27" s="25"/>
      <c r="BE27" s="25"/>
      <c r="BF27" s="25"/>
      <c r="BG27" s="25"/>
      <c r="BH27" s="25"/>
      <c r="BI27" s="25"/>
      <c r="BJ27" s="25"/>
      <c r="BK27" s="25"/>
      <c r="BL27" s="25"/>
      <c r="BM27" s="25"/>
      <c r="BN27" s="25"/>
      <c r="BO27" s="25"/>
      <c r="BP27" s="25"/>
      <c r="BQ27" s="25"/>
      <c r="BR27" s="25"/>
      <c r="BS27" s="25"/>
      <c r="BT27" s="25"/>
      <c r="BU27" s="25"/>
      <c r="BV27" s="25"/>
      <c r="BW27" s="25"/>
      <c r="BX27" s="25"/>
      <c r="BY27" s="25"/>
      <c r="BZ27" s="24"/>
      <c r="CA27" s="19"/>
      <c r="CB27" s="24"/>
      <c r="CC27" s="25"/>
      <c r="CD27" s="25"/>
      <c r="CE27" s="25"/>
      <c r="CF27" s="25"/>
      <c r="CG27" s="25"/>
      <c r="CH27" s="25"/>
      <c r="CI27" s="25"/>
      <c r="CJ27" s="25"/>
      <c r="CK27" s="25"/>
      <c r="CL27" s="25"/>
      <c r="CM27" s="25"/>
      <c r="CN27" s="25"/>
      <c r="CO27" s="25"/>
      <c r="CP27" s="25"/>
      <c r="CQ27" s="25"/>
      <c r="CR27" s="25"/>
      <c r="CS27" s="25"/>
      <c r="CT27" s="25"/>
      <c r="CU27" s="25"/>
      <c r="CV27" s="25"/>
      <c r="CW27" s="25"/>
      <c r="CX27" s="25"/>
      <c r="CY27" s="25"/>
      <c r="CZ27" s="25"/>
      <c r="DA27" s="25"/>
      <c r="DB27" s="25"/>
      <c r="DC27" s="25"/>
      <c r="DD27" s="25"/>
      <c r="DE27" s="25"/>
      <c r="DF27" s="25"/>
      <c r="DG27" s="25"/>
    </row>
    <row r="28" spans="2:111">
      <c r="B28" s="3"/>
      <c r="D28" s="39" t="str">
        <f t="shared" si="31"/>
        <v>-/-</v>
      </c>
      <c r="F28" s="3"/>
      <c r="H28" s="19"/>
      <c r="J28" s="3"/>
      <c r="K28" s="3"/>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S28" s="19"/>
      <c r="AU28" s="25"/>
      <c r="AV28" s="25"/>
      <c r="AW28" s="25"/>
      <c r="AX28" s="25"/>
      <c r="AY28" s="25"/>
      <c r="AZ28" s="25"/>
      <c r="BA28" s="25"/>
      <c r="BB28" s="25"/>
      <c r="BC28" s="25"/>
      <c r="BD28" s="25"/>
      <c r="BE28" s="25"/>
      <c r="BF28" s="25"/>
      <c r="BG28" s="25"/>
      <c r="BH28" s="25"/>
      <c r="BI28" s="25"/>
      <c r="BJ28" s="25"/>
      <c r="BK28" s="25"/>
      <c r="BL28" s="25"/>
      <c r="BM28" s="25"/>
      <c r="BN28" s="25"/>
      <c r="BO28" s="25"/>
      <c r="BP28" s="25"/>
      <c r="BQ28" s="25"/>
      <c r="BR28" s="25"/>
      <c r="BS28" s="25"/>
      <c r="BT28" s="25"/>
      <c r="BU28" s="25"/>
      <c r="BV28" s="25"/>
      <c r="BW28" s="25"/>
      <c r="BX28" s="25"/>
      <c r="BY28" s="25"/>
      <c r="BZ28" s="24"/>
      <c r="CA28" s="19"/>
      <c r="CB28" s="24"/>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c r="DE28" s="25"/>
      <c r="DF28" s="25"/>
      <c r="DG28" s="25"/>
    </row>
    <row r="29" spans="2:111">
      <c r="B29" s="3"/>
      <c r="D29" s="39" t="str">
        <f t="shared" si="31"/>
        <v>-/-</v>
      </c>
      <c r="F29" s="3"/>
      <c r="H29" s="19"/>
      <c r="J29" s="3"/>
      <c r="K29" s="3"/>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35"/>
      <c r="AO29" s="35"/>
      <c r="AP29" s="35"/>
      <c r="AQ29" s="35"/>
      <c r="AS29" s="19"/>
      <c r="AU29" s="25"/>
      <c r="AV29" s="25"/>
      <c r="AW29" s="25"/>
      <c r="AX29" s="25"/>
      <c r="AY29" s="25"/>
      <c r="AZ29" s="25"/>
      <c r="BA29" s="25"/>
      <c r="BB29" s="25"/>
      <c r="BC29" s="25"/>
      <c r="BD29" s="25"/>
      <c r="BE29" s="25"/>
      <c r="BF29" s="25"/>
      <c r="BG29" s="25"/>
      <c r="BH29" s="25"/>
      <c r="BI29" s="25"/>
      <c r="BJ29" s="25"/>
      <c r="BK29" s="25"/>
      <c r="BL29" s="25"/>
      <c r="BM29" s="25"/>
      <c r="BN29" s="25"/>
      <c r="BO29" s="25"/>
      <c r="BP29" s="25"/>
      <c r="BQ29" s="25"/>
      <c r="BR29" s="25"/>
      <c r="BS29" s="25"/>
      <c r="BT29" s="25"/>
      <c r="BU29" s="25"/>
      <c r="BV29" s="25"/>
      <c r="BW29" s="25"/>
      <c r="BX29" s="25"/>
      <c r="BY29" s="25"/>
      <c r="BZ29" s="24"/>
      <c r="CA29" s="19"/>
      <c r="CB29" s="24"/>
      <c r="CC29" s="25"/>
      <c r="CD29" s="25"/>
      <c r="CE29" s="25"/>
      <c r="CF29" s="25"/>
      <c r="CG29" s="25"/>
      <c r="CH29" s="25"/>
      <c r="CI29" s="25"/>
      <c r="CJ29" s="25"/>
      <c r="CK29" s="25"/>
      <c r="CL29" s="25"/>
      <c r="CM29" s="25"/>
      <c r="CN29" s="25"/>
      <c r="CO29" s="25"/>
      <c r="CP29" s="25"/>
      <c r="CQ29" s="25"/>
      <c r="CR29" s="25"/>
      <c r="CS29" s="25"/>
      <c r="CT29" s="25"/>
      <c r="CU29" s="25"/>
      <c r="CV29" s="25"/>
      <c r="CW29" s="25"/>
      <c r="CX29" s="25"/>
      <c r="CY29" s="25"/>
      <c r="CZ29" s="25"/>
      <c r="DA29" s="25"/>
      <c r="DB29" s="25"/>
      <c r="DC29" s="25"/>
      <c r="DD29" s="25"/>
      <c r="DE29" s="25"/>
      <c r="DF29" s="25"/>
      <c r="DG29" s="25"/>
    </row>
    <row r="30" spans="2:111">
      <c r="B30" s="3"/>
      <c r="D30" s="39" t="str">
        <f t="shared" si="31"/>
        <v>-/-</v>
      </c>
      <c r="F30" s="3"/>
      <c r="H30" s="19"/>
      <c r="J30" s="3"/>
      <c r="K30" s="3"/>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S30" s="19"/>
      <c r="AU30" s="25"/>
      <c r="AV30" s="25"/>
      <c r="AW30" s="25"/>
      <c r="AX30" s="25"/>
      <c r="AY30" s="25"/>
      <c r="AZ30" s="25"/>
      <c r="BA30" s="25"/>
      <c r="BB30" s="25"/>
      <c r="BC30" s="25"/>
      <c r="BD30" s="25"/>
      <c r="BE30" s="25"/>
      <c r="BF30" s="25"/>
      <c r="BG30" s="25"/>
      <c r="BH30" s="25"/>
      <c r="BI30" s="25"/>
      <c r="BJ30" s="25"/>
      <c r="BK30" s="25"/>
      <c r="BL30" s="25"/>
      <c r="BM30" s="25"/>
      <c r="BN30" s="25"/>
      <c r="BO30" s="25"/>
      <c r="BP30" s="25"/>
      <c r="BQ30" s="25"/>
      <c r="BR30" s="25"/>
      <c r="BS30" s="25"/>
      <c r="BT30" s="25"/>
      <c r="BU30" s="25"/>
      <c r="BV30" s="25"/>
      <c r="BW30" s="25"/>
      <c r="BX30" s="25"/>
      <c r="BY30" s="25"/>
      <c r="BZ30" s="24"/>
      <c r="CA30" s="19"/>
      <c r="CB30" s="24"/>
      <c r="CC30" s="25"/>
      <c r="CD30" s="25"/>
      <c r="CE30" s="25"/>
      <c r="CF30" s="25"/>
      <c r="CG30" s="25"/>
      <c r="CH30" s="25"/>
      <c r="CI30" s="25"/>
      <c r="CJ30" s="25"/>
      <c r="CK30" s="25"/>
      <c r="CL30" s="25"/>
      <c r="CM30" s="25"/>
      <c r="CN30" s="25"/>
      <c r="CO30" s="25"/>
      <c r="CP30" s="25"/>
      <c r="CQ30" s="25"/>
      <c r="CR30" s="25"/>
      <c r="CS30" s="25"/>
      <c r="CT30" s="25"/>
      <c r="CU30" s="25"/>
      <c r="CV30" s="25"/>
      <c r="CW30" s="25"/>
      <c r="CX30" s="25"/>
      <c r="CY30" s="25"/>
      <c r="CZ30" s="25"/>
      <c r="DA30" s="25"/>
      <c r="DB30" s="25"/>
      <c r="DC30" s="25"/>
      <c r="DD30" s="25"/>
      <c r="DE30" s="25"/>
      <c r="DF30" s="25"/>
      <c r="DG30" s="25"/>
    </row>
    <row r="31" spans="2:111">
      <c r="B31" s="3"/>
      <c r="D31" s="39" t="str">
        <f t="shared" si="31"/>
        <v>-/-</v>
      </c>
      <c r="F31" s="3"/>
      <c r="H31" s="19"/>
      <c r="J31" s="3"/>
      <c r="K31" s="3"/>
      <c r="M31" s="35"/>
      <c r="N31" s="35"/>
      <c r="O31" s="35"/>
      <c r="P31" s="35"/>
      <c r="Q31" s="35"/>
      <c r="R31" s="35"/>
      <c r="S31" s="35"/>
      <c r="T31" s="35"/>
      <c r="U31" s="35"/>
      <c r="V31" s="35"/>
      <c r="W31" s="35"/>
      <c r="X31" s="35"/>
      <c r="Y31" s="35"/>
      <c r="Z31" s="35"/>
      <c r="AA31" s="35"/>
      <c r="AB31" s="35"/>
      <c r="AC31" s="35"/>
      <c r="AD31" s="35"/>
      <c r="AE31" s="35"/>
      <c r="AF31" s="35"/>
      <c r="AG31" s="35"/>
      <c r="AH31" s="35"/>
      <c r="AI31" s="35"/>
      <c r="AJ31" s="35"/>
      <c r="AK31" s="35"/>
      <c r="AL31" s="35"/>
      <c r="AM31" s="35"/>
      <c r="AN31" s="35"/>
      <c r="AO31" s="35"/>
      <c r="AP31" s="35"/>
      <c r="AQ31" s="35"/>
      <c r="AS31" s="19"/>
      <c r="AU31" s="25"/>
      <c r="AV31" s="25"/>
      <c r="AW31" s="25"/>
      <c r="AX31" s="25"/>
      <c r="AY31" s="25"/>
      <c r="AZ31" s="25"/>
      <c r="BA31" s="25"/>
      <c r="BB31" s="25"/>
      <c r="BC31" s="25"/>
      <c r="BD31" s="25"/>
      <c r="BE31" s="25"/>
      <c r="BF31" s="25"/>
      <c r="BG31" s="25"/>
      <c r="BH31" s="25"/>
      <c r="BI31" s="25"/>
      <c r="BJ31" s="25"/>
      <c r="BK31" s="25"/>
      <c r="BL31" s="25"/>
      <c r="BM31" s="25"/>
      <c r="BN31" s="25"/>
      <c r="BO31" s="25"/>
      <c r="BP31" s="25"/>
      <c r="BQ31" s="25"/>
      <c r="BR31" s="25"/>
      <c r="BS31" s="25"/>
      <c r="BT31" s="25"/>
      <c r="BU31" s="25"/>
      <c r="BV31" s="25"/>
      <c r="BW31" s="25"/>
      <c r="BX31" s="25"/>
      <c r="BY31" s="25"/>
      <c r="BZ31" s="24"/>
      <c r="CA31" s="19"/>
      <c r="CB31" s="24"/>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5"/>
      <c r="DD31" s="25"/>
      <c r="DE31" s="25"/>
      <c r="DF31" s="25"/>
      <c r="DG31" s="25"/>
    </row>
    <row r="32" spans="2:111">
      <c r="B32" s="3"/>
      <c r="D32" s="39" t="str">
        <f t="shared" si="31"/>
        <v>-/-</v>
      </c>
      <c r="F32" s="3"/>
      <c r="H32" s="19"/>
      <c r="J32" s="3"/>
      <c r="K32" s="3"/>
      <c r="M32" s="35"/>
      <c r="N32" s="35"/>
      <c r="O32" s="35"/>
      <c r="P32" s="35"/>
      <c r="Q32" s="35"/>
      <c r="R32" s="35"/>
      <c r="S32" s="35"/>
      <c r="T32" s="35"/>
      <c r="U32" s="35"/>
      <c r="V32" s="35"/>
      <c r="W32" s="35"/>
      <c r="X32" s="35"/>
      <c r="Y32" s="35"/>
      <c r="Z32" s="35"/>
      <c r="AA32" s="35"/>
      <c r="AB32" s="35"/>
      <c r="AC32" s="35"/>
      <c r="AD32" s="35"/>
      <c r="AE32" s="35"/>
      <c r="AF32" s="35"/>
      <c r="AG32" s="35"/>
      <c r="AH32" s="35"/>
      <c r="AI32" s="35"/>
      <c r="AJ32" s="35"/>
      <c r="AK32" s="35"/>
      <c r="AL32" s="35"/>
      <c r="AM32" s="35"/>
      <c r="AN32" s="35"/>
      <c r="AO32" s="35"/>
      <c r="AP32" s="35"/>
      <c r="AQ32" s="35"/>
      <c r="AS32" s="19"/>
      <c r="AU32" s="25"/>
      <c r="AV32" s="25"/>
      <c r="AW32" s="25"/>
      <c r="AX32" s="25"/>
      <c r="AY32" s="25"/>
      <c r="AZ32" s="25"/>
      <c r="BA32" s="25"/>
      <c r="BB32" s="25"/>
      <c r="BC32" s="25"/>
      <c r="BD32" s="25"/>
      <c r="BE32" s="25"/>
      <c r="BF32" s="25"/>
      <c r="BG32" s="25"/>
      <c r="BH32" s="25"/>
      <c r="BI32" s="25"/>
      <c r="BJ32" s="25"/>
      <c r="BK32" s="25"/>
      <c r="BL32" s="25"/>
      <c r="BM32" s="25"/>
      <c r="BN32" s="25"/>
      <c r="BO32" s="25"/>
      <c r="BP32" s="25"/>
      <c r="BQ32" s="25"/>
      <c r="BR32" s="25"/>
      <c r="BS32" s="25"/>
      <c r="BT32" s="25"/>
      <c r="BU32" s="25"/>
      <c r="BV32" s="25"/>
      <c r="BW32" s="25"/>
      <c r="BX32" s="25"/>
      <c r="BY32" s="25"/>
      <c r="BZ32" s="24"/>
      <c r="CA32" s="19"/>
      <c r="CB32" s="24"/>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c r="DE32" s="25"/>
      <c r="DF32" s="25"/>
      <c r="DG32" s="25"/>
    </row>
    <row r="33" spans="2:111">
      <c r="B33" s="3"/>
      <c r="D33" s="39" t="str">
        <f t="shared" si="31"/>
        <v>-/-</v>
      </c>
      <c r="F33" s="3"/>
      <c r="H33" s="19"/>
      <c r="J33" s="3"/>
      <c r="K33" s="3"/>
      <c r="M33" s="35"/>
      <c r="N33" s="35"/>
      <c r="O33" s="35"/>
      <c r="P33" s="35"/>
      <c r="Q33" s="35"/>
      <c r="R33" s="35"/>
      <c r="S33" s="35"/>
      <c r="T33" s="35"/>
      <c r="U33" s="35"/>
      <c r="V33" s="35"/>
      <c r="W33" s="35"/>
      <c r="X33" s="35"/>
      <c r="Y33" s="35"/>
      <c r="Z33" s="35"/>
      <c r="AA33" s="35"/>
      <c r="AB33" s="35"/>
      <c r="AC33" s="35"/>
      <c r="AD33" s="35"/>
      <c r="AE33" s="35"/>
      <c r="AF33" s="35"/>
      <c r="AG33" s="35"/>
      <c r="AH33" s="35"/>
      <c r="AI33" s="35"/>
      <c r="AJ33" s="35"/>
      <c r="AK33" s="35"/>
      <c r="AL33" s="35"/>
      <c r="AM33" s="35"/>
      <c r="AN33" s="35"/>
      <c r="AO33" s="35"/>
      <c r="AP33" s="35"/>
      <c r="AQ33" s="35"/>
      <c r="AS33" s="19"/>
      <c r="AU33" s="25"/>
      <c r="AV33" s="25"/>
      <c r="AW33" s="25"/>
      <c r="AX33" s="25"/>
      <c r="AY33" s="25"/>
      <c r="AZ33" s="25"/>
      <c r="BA33" s="25"/>
      <c r="BB33" s="25"/>
      <c r="BC33" s="25"/>
      <c r="BD33" s="25"/>
      <c r="BE33" s="25"/>
      <c r="BF33" s="25"/>
      <c r="BG33" s="25"/>
      <c r="BH33" s="25"/>
      <c r="BI33" s="25"/>
      <c r="BJ33" s="25"/>
      <c r="BK33" s="25"/>
      <c r="BL33" s="25"/>
      <c r="BM33" s="25"/>
      <c r="BN33" s="25"/>
      <c r="BO33" s="25"/>
      <c r="BP33" s="25"/>
      <c r="BQ33" s="25"/>
      <c r="BR33" s="25"/>
      <c r="BS33" s="25"/>
      <c r="BT33" s="25"/>
      <c r="BU33" s="25"/>
      <c r="BV33" s="25"/>
      <c r="BW33" s="25"/>
      <c r="BX33" s="25"/>
      <c r="BY33" s="25"/>
      <c r="BZ33" s="24"/>
      <c r="CA33" s="19"/>
      <c r="CB33" s="24"/>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5"/>
      <c r="DD33" s="25"/>
      <c r="DE33" s="25"/>
      <c r="DF33" s="25"/>
      <c r="DG33" s="25"/>
    </row>
    <row r="34" spans="2:111">
      <c r="B34" s="3"/>
      <c r="D34" s="39" t="str">
        <f t="shared" si="31"/>
        <v>-/-</v>
      </c>
      <c r="F34" s="3"/>
      <c r="H34" s="19"/>
      <c r="J34" s="3"/>
      <c r="K34" s="3"/>
      <c r="M34" s="35"/>
      <c r="N34" s="35"/>
      <c r="O34" s="35"/>
      <c r="P34" s="35"/>
      <c r="Q34" s="35"/>
      <c r="R34" s="35"/>
      <c r="S34" s="35"/>
      <c r="T34" s="35"/>
      <c r="U34" s="35"/>
      <c r="V34" s="35"/>
      <c r="W34" s="35"/>
      <c r="X34" s="35"/>
      <c r="Y34" s="35"/>
      <c r="Z34" s="35"/>
      <c r="AA34" s="35"/>
      <c r="AB34" s="35"/>
      <c r="AC34" s="35"/>
      <c r="AD34" s="35"/>
      <c r="AE34" s="35"/>
      <c r="AF34" s="35"/>
      <c r="AG34" s="35"/>
      <c r="AH34" s="35"/>
      <c r="AI34" s="35"/>
      <c r="AJ34" s="35"/>
      <c r="AK34" s="35"/>
      <c r="AL34" s="35"/>
      <c r="AM34" s="35"/>
      <c r="AN34" s="35"/>
      <c r="AO34" s="35"/>
      <c r="AP34" s="35"/>
      <c r="AQ34" s="35"/>
      <c r="AS34" s="19"/>
      <c r="AU34" s="25"/>
      <c r="AV34" s="25"/>
      <c r="AW34" s="25"/>
      <c r="AX34" s="25"/>
      <c r="AY34" s="25"/>
      <c r="AZ34" s="25"/>
      <c r="BA34" s="25"/>
      <c r="BB34" s="25"/>
      <c r="BC34" s="25"/>
      <c r="BD34" s="25"/>
      <c r="BE34" s="25"/>
      <c r="BF34" s="25"/>
      <c r="BG34" s="25"/>
      <c r="BH34" s="25"/>
      <c r="BI34" s="25"/>
      <c r="BJ34" s="25"/>
      <c r="BK34" s="25"/>
      <c r="BL34" s="25"/>
      <c r="BM34" s="25"/>
      <c r="BN34" s="25"/>
      <c r="BO34" s="25"/>
      <c r="BP34" s="25"/>
      <c r="BQ34" s="25"/>
      <c r="BR34" s="25"/>
      <c r="BS34" s="25"/>
      <c r="BT34" s="25"/>
      <c r="BU34" s="25"/>
      <c r="BV34" s="25"/>
      <c r="BW34" s="25"/>
      <c r="BX34" s="25"/>
      <c r="BY34" s="25"/>
      <c r="BZ34" s="24"/>
      <c r="CA34" s="19"/>
      <c r="CB34" s="24"/>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5"/>
      <c r="DD34" s="25"/>
      <c r="DE34" s="25"/>
      <c r="DF34" s="25"/>
      <c r="DG34" s="25"/>
    </row>
    <row r="35" spans="2:111">
      <c r="B35" s="3"/>
      <c r="D35" s="39" t="str">
        <f t="shared" si="31"/>
        <v>-/-</v>
      </c>
      <c r="F35" s="3"/>
      <c r="H35" s="19"/>
      <c r="J35" s="3"/>
      <c r="K35" s="3"/>
      <c r="M35" s="35"/>
      <c r="N35" s="35"/>
      <c r="O35" s="35"/>
      <c r="P35" s="35"/>
      <c r="Q35" s="35"/>
      <c r="R35" s="35"/>
      <c r="S35" s="35"/>
      <c r="T35" s="35"/>
      <c r="U35" s="35"/>
      <c r="V35" s="35"/>
      <c r="W35" s="35"/>
      <c r="X35" s="35"/>
      <c r="Y35" s="35"/>
      <c r="Z35" s="35"/>
      <c r="AA35" s="35"/>
      <c r="AB35" s="35"/>
      <c r="AC35" s="35"/>
      <c r="AD35" s="35"/>
      <c r="AE35" s="35"/>
      <c r="AF35" s="35"/>
      <c r="AG35" s="35"/>
      <c r="AH35" s="35"/>
      <c r="AI35" s="35"/>
      <c r="AJ35" s="35"/>
      <c r="AK35" s="35"/>
      <c r="AL35" s="35"/>
      <c r="AM35" s="35"/>
      <c r="AN35" s="35"/>
      <c r="AO35" s="35"/>
      <c r="AP35" s="35"/>
      <c r="AQ35" s="35"/>
      <c r="AS35" s="19"/>
      <c r="AU35" s="25"/>
      <c r="AV35" s="25"/>
      <c r="AW35" s="25"/>
      <c r="AX35" s="25"/>
      <c r="AY35" s="25"/>
      <c r="AZ35" s="25"/>
      <c r="BA35" s="25"/>
      <c r="BB35" s="25"/>
      <c r="BC35" s="25"/>
      <c r="BD35" s="25"/>
      <c r="BE35" s="25"/>
      <c r="BF35" s="25"/>
      <c r="BG35" s="25"/>
      <c r="BH35" s="25"/>
      <c r="BI35" s="25"/>
      <c r="BJ35" s="25"/>
      <c r="BK35" s="25"/>
      <c r="BL35" s="25"/>
      <c r="BM35" s="25"/>
      <c r="BN35" s="25"/>
      <c r="BO35" s="25"/>
      <c r="BP35" s="25"/>
      <c r="BQ35" s="25"/>
      <c r="BR35" s="25"/>
      <c r="BS35" s="25"/>
      <c r="BT35" s="25"/>
      <c r="BU35" s="25"/>
      <c r="BV35" s="25"/>
      <c r="BW35" s="25"/>
      <c r="BX35" s="25"/>
      <c r="BY35" s="25"/>
      <c r="BZ35" s="24"/>
      <c r="CA35" s="19"/>
      <c r="CB35" s="24"/>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5"/>
      <c r="DD35" s="25"/>
      <c r="DE35" s="25"/>
      <c r="DF35" s="25"/>
      <c r="DG35" s="25"/>
    </row>
    <row r="36" spans="2:111">
      <c r="B36" s="3"/>
      <c r="D36" s="39" t="str">
        <f t="shared" si="31"/>
        <v>-/-</v>
      </c>
      <c r="F36" s="3"/>
      <c r="H36" s="19"/>
      <c r="J36" s="3"/>
      <c r="K36" s="3"/>
      <c r="M36" s="35"/>
      <c r="N36" s="35"/>
      <c r="O36" s="35"/>
      <c r="P36" s="35"/>
      <c r="Q36" s="35"/>
      <c r="R36" s="35"/>
      <c r="S36" s="35"/>
      <c r="T36" s="35"/>
      <c r="U36" s="35"/>
      <c r="V36" s="35"/>
      <c r="W36" s="35"/>
      <c r="X36" s="35"/>
      <c r="Y36" s="35"/>
      <c r="Z36" s="35"/>
      <c r="AA36" s="35"/>
      <c r="AB36" s="35"/>
      <c r="AC36" s="35"/>
      <c r="AD36" s="35"/>
      <c r="AE36" s="35"/>
      <c r="AF36" s="35"/>
      <c r="AG36" s="35"/>
      <c r="AH36" s="35"/>
      <c r="AI36" s="35"/>
      <c r="AJ36" s="35"/>
      <c r="AK36" s="35"/>
      <c r="AL36" s="35"/>
      <c r="AM36" s="35"/>
      <c r="AN36" s="35"/>
      <c r="AO36" s="35"/>
      <c r="AP36" s="35"/>
      <c r="AQ36" s="35"/>
      <c r="AS36" s="19"/>
      <c r="AU36" s="25"/>
      <c r="AV36" s="25"/>
      <c r="AW36" s="25"/>
      <c r="AX36" s="25"/>
      <c r="AY36" s="25"/>
      <c r="AZ36" s="25"/>
      <c r="BA36" s="25"/>
      <c r="BB36" s="25"/>
      <c r="BC36" s="25"/>
      <c r="BD36" s="25"/>
      <c r="BE36" s="25"/>
      <c r="BF36" s="25"/>
      <c r="BG36" s="25"/>
      <c r="BH36" s="25"/>
      <c r="BI36" s="25"/>
      <c r="BJ36" s="25"/>
      <c r="BK36" s="25"/>
      <c r="BL36" s="25"/>
      <c r="BM36" s="25"/>
      <c r="BN36" s="25"/>
      <c r="BO36" s="25"/>
      <c r="BP36" s="25"/>
      <c r="BQ36" s="25"/>
      <c r="BR36" s="25"/>
      <c r="BS36" s="25"/>
      <c r="BT36" s="25"/>
      <c r="BU36" s="25"/>
      <c r="BV36" s="25"/>
      <c r="BW36" s="25"/>
      <c r="BX36" s="25"/>
      <c r="BY36" s="25"/>
      <c r="BZ36" s="24"/>
      <c r="CA36" s="19"/>
      <c r="CB36" s="24"/>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5"/>
      <c r="DD36" s="25"/>
      <c r="DE36" s="25"/>
      <c r="DF36" s="25"/>
      <c r="DG36" s="25"/>
    </row>
    <row r="37" spans="2:111">
      <c r="B37" s="3"/>
      <c r="D37" s="39" t="str">
        <f t="shared" si="31"/>
        <v>-/-</v>
      </c>
      <c r="F37" s="3"/>
      <c r="H37" s="19"/>
      <c r="J37" s="3"/>
      <c r="K37" s="3"/>
      <c r="M37" s="35"/>
      <c r="N37" s="35"/>
      <c r="O37" s="35"/>
      <c r="P37" s="35"/>
      <c r="Q37" s="35"/>
      <c r="R37" s="35"/>
      <c r="S37" s="35"/>
      <c r="T37" s="35"/>
      <c r="U37" s="35"/>
      <c r="V37" s="35"/>
      <c r="W37" s="35"/>
      <c r="X37" s="35"/>
      <c r="Y37" s="35"/>
      <c r="Z37" s="35"/>
      <c r="AA37" s="35"/>
      <c r="AB37" s="35"/>
      <c r="AC37" s="35"/>
      <c r="AD37" s="35"/>
      <c r="AE37" s="35"/>
      <c r="AF37" s="35"/>
      <c r="AG37" s="35"/>
      <c r="AH37" s="35"/>
      <c r="AI37" s="35"/>
      <c r="AJ37" s="35"/>
      <c r="AK37" s="35"/>
      <c r="AL37" s="35"/>
      <c r="AM37" s="35"/>
      <c r="AN37" s="35"/>
      <c r="AO37" s="35"/>
      <c r="AP37" s="35"/>
      <c r="AQ37" s="35"/>
      <c r="AS37" s="19"/>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c r="BS37" s="25"/>
      <c r="BT37" s="25"/>
      <c r="BU37" s="25"/>
      <c r="BV37" s="25"/>
      <c r="BW37" s="25"/>
      <c r="BX37" s="25"/>
      <c r="BY37" s="25"/>
      <c r="BZ37" s="24"/>
      <c r="CA37" s="19"/>
      <c r="CB37" s="24"/>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c r="DE37" s="25"/>
      <c r="DF37" s="25"/>
      <c r="DG37" s="25"/>
    </row>
    <row r="38" spans="2:111">
      <c r="B38" s="3"/>
      <c r="D38" s="39" t="str">
        <f t="shared" si="31"/>
        <v>-/-</v>
      </c>
      <c r="F38" s="3"/>
      <c r="H38" s="19"/>
      <c r="J38" s="3"/>
      <c r="K38" s="3"/>
      <c r="M38" s="35"/>
      <c r="N38" s="35"/>
      <c r="O38" s="35"/>
      <c r="P38" s="35"/>
      <c r="Q38" s="35"/>
      <c r="R38" s="35"/>
      <c r="S38" s="35"/>
      <c r="T38" s="35"/>
      <c r="U38" s="35"/>
      <c r="V38" s="35"/>
      <c r="W38" s="35"/>
      <c r="X38" s="35"/>
      <c r="Y38" s="35"/>
      <c r="Z38" s="35"/>
      <c r="AA38" s="35"/>
      <c r="AB38" s="35"/>
      <c r="AC38" s="35"/>
      <c r="AD38" s="35"/>
      <c r="AE38" s="35"/>
      <c r="AF38" s="35"/>
      <c r="AG38" s="35"/>
      <c r="AH38" s="35"/>
      <c r="AI38" s="35"/>
      <c r="AJ38" s="35"/>
      <c r="AK38" s="35"/>
      <c r="AL38" s="35"/>
      <c r="AM38" s="35"/>
      <c r="AN38" s="35"/>
      <c r="AO38" s="35"/>
      <c r="AP38" s="35"/>
      <c r="AQ38" s="35"/>
      <c r="AS38" s="19"/>
      <c r="AU38" s="25"/>
      <c r="AV38" s="25"/>
      <c r="AW38" s="25"/>
      <c r="AX38" s="25"/>
      <c r="AY38" s="25"/>
      <c r="AZ38" s="25"/>
      <c r="BA38" s="25"/>
      <c r="BB38" s="25"/>
      <c r="BC38" s="25"/>
      <c r="BD38" s="25"/>
      <c r="BE38" s="25"/>
      <c r="BF38" s="25"/>
      <c r="BG38" s="25"/>
      <c r="BH38" s="25"/>
      <c r="BI38" s="25"/>
      <c r="BJ38" s="25"/>
      <c r="BK38" s="25"/>
      <c r="BL38" s="25"/>
      <c r="BM38" s="25"/>
      <c r="BN38" s="25"/>
      <c r="BO38" s="25"/>
      <c r="BP38" s="25"/>
      <c r="BQ38" s="25"/>
      <c r="BR38" s="25"/>
      <c r="BS38" s="25"/>
      <c r="BT38" s="25"/>
      <c r="BU38" s="25"/>
      <c r="BV38" s="25"/>
      <c r="BW38" s="25"/>
      <c r="BX38" s="25"/>
      <c r="BY38" s="25"/>
      <c r="BZ38" s="24"/>
      <c r="CA38" s="19"/>
      <c r="CB38" s="24"/>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5"/>
      <c r="DD38" s="25"/>
      <c r="DE38" s="25"/>
      <c r="DF38" s="25"/>
      <c r="DG38" s="25"/>
    </row>
    <row r="39" spans="2:111">
      <c r="B39" s="3"/>
      <c r="D39" s="39" t="str">
        <f t="shared" si="31"/>
        <v>-/-</v>
      </c>
      <c r="F39" s="3"/>
      <c r="H39" s="19"/>
      <c r="J39" s="3"/>
      <c r="K39" s="3"/>
      <c r="M39" s="35"/>
      <c r="N39" s="35"/>
      <c r="O39" s="35"/>
      <c r="P39" s="35"/>
      <c r="Q39" s="35"/>
      <c r="R39" s="35"/>
      <c r="S39" s="35"/>
      <c r="T39" s="35"/>
      <c r="U39" s="35"/>
      <c r="V39" s="35"/>
      <c r="W39" s="35"/>
      <c r="X39" s="35"/>
      <c r="Y39" s="35"/>
      <c r="Z39" s="35"/>
      <c r="AA39" s="35"/>
      <c r="AB39" s="35"/>
      <c r="AC39" s="35"/>
      <c r="AD39" s="35"/>
      <c r="AE39" s="35"/>
      <c r="AF39" s="35"/>
      <c r="AG39" s="35"/>
      <c r="AH39" s="35"/>
      <c r="AI39" s="35"/>
      <c r="AJ39" s="35"/>
      <c r="AK39" s="35"/>
      <c r="AL39" s="35"/>
      <c r="AM39" s="35"/>
      <c r="AN39" s="35"/>
      <c r="AO39" s="35"/>
      <c r="AP39" s="35"/>
      <c r="AQ39" s="35"/>
      <c r="AS39" s="19"/>
      <c r="AU39" s="25"/>
      <c r="AV39" s="25"/>
      <c r="AW39" s="25"/>
      <c r="AX39" s="25"/>
      <c r="AY39" s="25"/>
      <c r="AZ39" s="25"/>
      <c r="BA39" s="25"/>
      <c r="BB39" s="25"/>
      <c r="BC39" s="25"/>
      <c r="BD39" s="25"/>
      <c r="BE39" s="25"/>
      <c r="BF39" s="25"/>
      <c r="BG39" s="25"/>
      <c r="BH39" s="25"/>
      <c r="BI39" s="25"/>
      <c r="BJ39" s="25"/>
      <c r="BK39" s="25"/>
      <c r="BL39" s="25"/>
      <c r="BM39" s="25"/>
      <c r="BN39" s="25"/>
      <c r="BO39" s="25"/>
      <c r="BP39" s="25"/>
      <c r="BQ39" s="25"/>
      <c r="BR39" s="25"/>
      <c r="BS39" s="25"/>
      <c r="BT39" s="25"/>
      <c r="BU39" s="25"/>
      <c r="BV39" s="25"/>
      <c r="BW39" s="25"/>
      <c r="BX39" s="25"/>
      <c r="BY39" s="25"/>
      <c r="BZ39" s="24"/>
      <c r="CA39" s="19"/>
      <c r="CB39" s="24"/>
      <c r="CC39" s="25"/>
      <c r="CD39" s="25"/>
      <c r="CE39" s="25"/>
      <c r="CF39" s="25"/>
      <c r="CG39" s="25"/>
      <c r="CH39" s="25"/>
      <c r="CI39" s="25"/>
      <c r="CJ39" s="25"/>
      <c r="CK39" s="25"/>
      <c r="CL39" s="25"/>
      <c r="CM39" s="25"/>
      <c r="CN39" s="25"/>
      <c r="CO39" s="25"/>
      <c r="CP39" s="25"/>
      <c r="CQ39" s="25"/>
      <c r="CR39" s="25"/>
      <c r="CS39" s="25"/>
      <c r="CT39" s="25"/>
      <c r="CU39" s="25"/>
      <c r="CV39" s="25"/>
      <c r="CW39" s="25"/>
      <c r="CX39" s="25"/>
      <c r="CY39" s="25"/>
      <c r="CZ39" s="25"/>
      <c r="DA39" s="25"/>
      <c r="DB39" s="25"/>
      <c r="DC39" s="25"/>
      <c r="DD39" s="25"/>
      <c r="DE39" s="25"/>
      <c r="DF39" s="25"/>
      <c r="DG39" s="25"/>
    </row>
    <row r="40" spans="2:111">
      <c r="B40" s="3"/>
      <c r="D40" s="39" t="str">
        <f t="shared" si="31"/>
        <v>-/-</v>
      </c>
      <c r="F40" s="3"/>
      <c r="H40" s="19"/>
      <c r="J40" s="3"/>
      <c r="K40" s="3"/>
      <c r="M40" s="35"/>
      <c r="N40" s="35"/>
      <c r="O40" s="35"/>
      <c r="P40" s="35"/>
      <c r="Q40" s="35"/>
      <c r="R40" s="35"/>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c r="AQ40" s="35"/>
      <c r="AS40" s="19"/>
      <c r="AU40" s="25"/>
      <c r="AV40" s="25"/>
      <c r="AW40" s="25"/>
      <c r="AX40" s="25"/>
      <c r="AY40" s="25"/>
      <c r="AZ40" s="25"/>
      <c r="BA40" s="25"/>
      <c r="BB40" s="25"/>
      <c r="BC40" s="25"/>
      <c r="BD40" s="25"/>
      <c r="BE40" s="25"/>
      <c r="BF40" s="25"/>
      <c r="BG40" s="25"/>
      <c r="BH40" s="25"/>
      <c r="BI40" s="25"/>
      <c r="BJ40" s="25"/>
      <c r="BK40" s="25"/>
      <c r="BL40" s="25"/>
      <c r="BM40" s="25"/>
      <c r="BN40" s="25"/>
      <c r="BO40" s="25"/>
      <c r="BP40" s="25"/>
      <c r="BQ40" s="25"/>
      <c r="BR40" s="25"/>
      <c r="BS40" s="25"/>
      <c r="BT40" s="25"/>
      <c r="BU40" s="25"/>
      <c r="BV40" s="25"/>
      <c r="BW40" s="25"/>
      <c r="BX40" s="25"/>
      <c r="BY40" s="25"/>
      <c r="BZ40" s="24"/>
      <c r="CA40" s="19"/>
      <c r="CB40" s="24"/>
      <c r="CC40" s="25"/>
      <c r="CD40" s="25"/>
      <c r="CE40" s="25"/>
      <c r="CF40" s="25"/>
      <c r="CG40" s="25"/>
      <c r="CH40" s="25"/>
      <c r="CI40" s="25"/>
      <c r="CJ40" s="25"/>
      <c r="CK40" s="25"/>
      <c r="CL40" s="25"/>
      <c r="CM40" s="25"/>
      <c r="CN40" s="25"/>
      <c r="CO40" s="25"/>
      <c r="CP40" s="25"/>
      <c r="CQ40" s="25"/>
      <c r="CR40" s="25"/>
      <c r="CS40" s="25"/>
      <c r="CT40" s="25"/>
      <c r="CU40" s="25"/>
      <c r="CV40" s="25"/>
      <c r="CW40" s="25"/>
      <c r="CX40" s="25"/>
      <c r="CY40" s="25"/>
      <c r="CZ40" s="25"/>
      <c r="DA40" s="25"/>
      <c r="DB40" s="25"/>
      <c r="DC40" s="25"/>
      <c r="DD40" s="25"/>
      <c r="DE40" s="25"/>
      <c r="DF40" s="25"/>
      <c r="DG40" s="25"/>
    </row>
    <row r="41" spans="2:111">
      <c r="B41" s="3"/>
      <c r="D41" s="39" t="str">
        <f t="shared" si="31"/>
        <v>-/-</v>
      </c>
      <c r="F41" s="3"/>
      <c r="H41" s="19"/>
      <c r="J41" s="3"/>
      <c r="K41" s="3"/>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S41" s="19"/>
      <c r="AU41" s="25"/>
      <c r="AV41" s="25"/>
      <c r="AW41" s="25"/>
      <c r="AX41" s="25"/>
      <c r="AY41" s="25"/>
      <c r="AZ41" s="25"/>
      <c r="BA41" s="25"/>
      <c r="BB41" s="25"/>
      <c r="BC41" s="25"/>
      <c r="BD41" s="25"/>
      <c r="BE41" s="25"/>
      <c r="BF41" s="25"/>
      <c r="BG41" s="25"/>
      <c r="BH41" s="25"/>
      <c r="BI41" s="25"/>
      <c r="BJ41" s="25"/>
      <c r="BK41" s="25"/>
      <c r="BL41" s="25"/>
      <c r="BM41" s="25"/>
      <c r="BN41" s="25"/>
      <c r="BO41" s="25"/>
      <c r="BP41" s="25"/>
      <c r="BQ41" s="25"/>
      <c r="BR41" s="25"/>
      <c r="BS41" s="25"/>
      <c r="BT41" s="25"/>
      <c r="BU41" s="25"/>
      <c r="BV41" s="25"/>
      <c r="BW41" s="25"/>
      <c r="BX41" s="25"/>
      <c r="BY41" s="25"/>
      <c r="BZ41" s="24"/>
      <c r="CA41" s="19"/>
      <c r="CB41" s="24"/>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5"/>
      <c r="DD41" s="25"/>
      <c r="DE41" s="25"/>
      <c r="DF41" s="25"/>
      <c r="DG41" s="25"/>
    </row>
    <row r="42" spans="2:111">
      <c r="B42" s="3"/>
      <c r="D42" s="39" t="str">
        <f t="shared" si="31"/>
        <v>-/-</v>
      </c>
      <c r="F42" s="3"/>
      <c r="H42" s="19"/>
      <c r="J42" s="3"/>
      <c r="K42" s="3"/>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S42" s="19"/>
      <c r="AU42" s="25"/>
      <c r="AV42" s="25"/>
      <c r="AW42" s="25"/>
      <c r="AX42" s="25"/>
      <c r="AY42" s="25"/>
      <c r="AZ42" s="25"/>
      <c r="BA42" s="25"/>
      <c r="BB42" s="25"/>
      <c r="BC42" s="25"/>
      <c r="BD42" s="25"/>
      <c r="BE42" s="25"/>
      <c r="BF42" s="25"/>
      <c r="BG42" s="25"/>
      <c r="BH42" s="25"/>
      <c r="BI42" s="25"/>
      <c r="BJ42" s="25"/>
      <c r="BK42" s="25"/>
      <c r="BL42" s="25"/>
      <c r="BM42" s="25"/>
      <c r="BN42" s="25"/>
      <c r="BO42" s="25"/>
      <c r="BP42" s="25"/>
      <c r="BQ42" s="25"/>
      <c r="BR42" s="25"/>
      <c r="BS42" s="25"/>
      <c r="BT42" s="25"/>
      <c r="BU42" s="25"/>
      <c r="BV42" s="25"/>
      <c r="BW42" s="25"/>
      <c r="BX42" s="25"/>
      <c r="BY42" s="25"/>
      <c r="BZ42" s="24"/>
      <c r="CA42" s="19"/>
      <c r="CB42" s="24"/>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5"/>
      <c r="DD42" s="25"/>
      <c r="DE42" s="25"/>
      <c r="DF42" s="25"/>
      <c r="DG42" s="25"/>
    </row>
    <row r="43" spans="2:111">
      <c r="B43" s="3"/>
      <c r="D43" s="39" t="str">
        <f t="shared" si="31"/>
        <v>-/-</v>
      </c>
      <c r="F43" s="3"/>
      <c r="H43" s="19"/>
      <c r="J43" s="3"/>
      <c r="K43" s="3"/>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S43" s="19"/>
      <c r="AU43" s="25"/>
      <c r="AV43" s="25"/>
      <c r="AW43" s="25"/>
      <c r="AX43" s="25"/>
      <c r="AY43" s="25"/>
      <c r="AZ43" s="25"/>
      <c r="BA43" s="25"/>
      <c r="BB43" s="25"/>
      <c r="BC43" s="25"/>
      <c r="BD43" s="25"/>
      <c r="BE43" s="25"/>
      <c r="BF43" s="25"/>
      <c r="BG43" s="25"/>
      <c r="BH43" s="25"/>
      <c r="BI43" s="25"/>
      <c r="BJ43" s="25"/>
      <c r="BK43" s="25"/>
      <c r="BL43" s="25"/>
      <c r="BM43" s="25"/>
      <c r="BN43" s="25"/>
      <c r="BO43" s="25"/>
      <c r="BP43" s="25"/>
      <c r="BQ43" s="25"/>
      <c r="BR43" s="25"/>
      <c r="BS43" s="25"/>
      <c r="BT43" s="25"/>
      <c r="BU43" s="25"/>
      <c r="BV43" s="25"/>
      <c r="BW43" s="25"/>
      <c r="BX43" s="25"/>
      <c r="BY43" s="25"/>
      <c r="BZ43" s="24"/>
      <c r="CA43" s="19"/>
      <c r="CB43" s="24"/>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5"/>
      <c r="DD43" s="25"/>
      <c r="DE43" s="25"/>
      <c r="DF43" s="25"/>
      <c r="DG43" s="25"/>
    </row>
    <row r="44" spans="2:111">
      <c r="B44" s="3"/>
      <c r="D44" s="39" t="str">
        <f t="shared" si="31"/>
        <v>-/-</v>
      </c>
      <c r="F44" s="3"/>
      <c r="H44" s="19"/>
      <c r="J44" s="3"/>
      <c r="K44" s="3"/>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S44" s="19"/>
      <c r="AU44" s="25"/>
      <c r="AV44" s="25"/>
      <c r="AW44" s="25"/>
      <c r="AX44" s="25"/>
      <c r="AY44" s="25"/>
      <c r="AZ44" s="25"/>
      <c r="BA44" s="25"/>
      <c r="BB44" s="25"/>
      <c r="BC44" s="25"/>
      <c r="BD44" s="25"/>
      <c r="BE44" s="25"/>
      <c r="BF44" s="25"/>
      <c r="BG44" s="25"/>
      <c r="BH44" s="25"/>
      <c r="BI44" s="25"/>
      <c r="BJ44" s="25"/>
      <c r="BK44" s="25"/>
      <c r="BL44" s="25"/>
      <c r="BM44" s="25"/>
      <c r="BN44" s="25"/>
      <c r="BO44" s="25"/>
      <c r="BP44" s="25"/>
      <c r="BQ44" s="25"/>
      <c r="BR44" s="25"/>
      <c r="BS44" s="25"/>
      <c r="BT44" s="25"/>
      <c r="BU44" s="25"/>
      <c r="BV44" s="25"/>
      <c r="BW44" s="25"/>
      <c r="BX44" s="25"/>
      <c r="BY44" s="25"/>
      <c r="BZ44" s="24"/>
      <c r="CA44" s="19"/>
      <c r="CB44" s="24"/>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5"/>
      <c r="DD44" s="25"/>
      <c r="DE44" s="25"/>
      <c r="DF44" s="25"/>
      <c r="DG44" s="25"/>
    </row>
    <row r="45" spans="2:111">
      <c r="B45" s="3"/>
      <c r="D45" s="39" t="str">
        <f t="shared" si="31"/>
        <v>-/-</v>
      </c>
      <c r="F45" s="3"/>
      <c r="H45" s="19"/>
      <c r="J45" s="3"/>
      <c r="K45" s="3"/>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S45" s="19"/>
      <c r="AU45" s="25"/>
      <c r="AV45" s="25"/>
      <c r="AW45" s="25"/>
      <c r="AX45" s="25"/>
      <c r="AY45" s="25"/>
      <c r="AZ45" s="25"/>
      <c r="BA45" s="25"/>
      <c r="BB45" s="25"/>
      <c r="BC45" s="25"/>
      <c r="BD45" s="25"/>
      <c r="BE45" s="25"/>
      <c r="BF45" s="25"/>
      <c r="BG45" s="25"/>
      <c r="BH45" s="25"/>
      <c r="BI45" s="25"/>
      <c r="BJ45" s="25"/>
      <c r="BK45" s="25"/>
      <c r="BL45" s="25"/>
      <c r="BM45" s="25"/>
      <c r="BN45" s="25"/>
      <c r="BO45" s="25"/>
      <c r="BP45" s="25"/>
      <c r="BQ45" s="25"/>
      <c r="BR45" s="25"/>
      <c r="BS45" s="25"/>
      <c r="BT45" s="25"/>
      <c r="BU45" s="25"/>
      <c r="BV45" s="25"/>
      <c r="BW45" s="25"/>
      <c r="BX45" s="25"/>
      <c r="BY45" s="25"/>
      <c r="BZ45" s="24"/>
      <c r="CA45" s="19"/>
      <c r="CB45" s="24"/>
      <c r="CC45" s="25"/>
      <c r="CD45" s="25"/>
      <c r="CE45" s="25"/>
      <c r="CF45" s="25"/>
      <c r="CG45" s="25"/>
      <c r="CH45" s="25"/>
      <c r="CI45" s="25"/>
      <c r="CJ45" s="25"/>
      <c r="CK45" s="25"/>
      <c r="CL45" s="25"/>
      <c r="CM45" s="25"/>
      <c r="CN45" s="25"/>
      <c r="CO45" s="25"/>
      <c r="CP45" s="25"/>
      <c r="CQ45" s="25"/>
      <c r="CR45" s="25"/>
      <c r="CS45" s="25"/>
      <c r="CT45" s="25"/>
      <c r="CU45" s="25"/>
      <c r="CV45" s="25"/>
      <c r="CW45" s="25"/>
      <c r="CX45" s="25"/>
      <c r="CY45" s="25"/>
      <c r="CZ45" s="25"/>
      <c r="DA45" s="25"/>
      <c r="DB45" s="25"/>
      <c r="DC45" s="25"/>
      <c r="DD45" s="25"/>
      <c r="DE45" s="25"/>
      <c r="DF45" s="25"/>
      <c r="DG45" s="25"/>
    </row>
    <row r="46" spans="2:111">
      <c r="B46" s="3"/>
      <c r="D46" s="39" t="str">
        <f t="shared" si="31"/>
        <v>-/-</v>
      </c>
      <c r="F46" s="3"/>
      <c r="H46" s="19"/>
      <c r="J46" s="3"/>
      <c r="K46" s="3"/>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S46" s="19"/>
      <c r="AU46" s="25"/>
      <c r="AV46" s="25"/>
      <c r="AW46" s="25"/>
      <c r="AX46" s="25"/>
      <c r="AY46" s="25"/>
      <c r="AZ46" s="25"/>
      <c r="BA46" s="25"/>
      <c r="BB46" s="25"/>
      <c r="BC46" s="25"/>
      <c r="BD46" s="25"/>
      <c r="BE46" s="25"/>
      <c r="BF46" s="25"/>
      <c r="BG46" s="25"/>
      <c r="BH46" s="25"/>
      <c r="BI46" s="25"/>
      <c r="BJ46" s="25"/>
      <c r="BK46" s="25"/>
      <c r="BL46" s="25"/>
      <c r="BM46" s="25"/>
      <c r="BN46" s="25"/>
      <c r="BO46" s="25"/>
      <c r="BP46" s="25"/>
      <c r="BQ46" s="25"/>
      <c r="BR46" s="25"/>
      <c r="BS46" s="25"/>
      <c r="BT46" s="25"/>
      <c r="BU46" s="25"/>
      <c r="BV46" s="25"/>
      <c r="BW46" s="25"/>
      <c r="BX46" s="25"/>
      <c r="BY46" s="25"/>
      <c r="BZ46" s="24"/>
      <c r="CA46" s="19"/>
      <c r="CB46" s="24"/>
      <c r="CC46" s="25"/>
      <c r="CD46" s="25"/>
      <c r="CE46" s="25"/>
      <c r="CF46" s="25"/>
      <c r="CG46" s="25"/>
      <c r="CH46" s="25"/>
      <c r="CI46" s="25"/>
      <c r="CJ46" s="25"/>
      <c r="CK46" s="25"/>
      <c r="CL46" s="25"/>
      <c r="CM46" s="25"/>
      <c r="CN46" s="25"/>
      <c r="CO46" s="25"/>
      <c r="CP46" s="25"/>
      <c r="CQ46" s="25"/>
      <c r="CR46" s="25"/>
      <c r="CS46" s="25"/>
      <c r="CT46" s="25"/>
      <c r="CU46" s="25"/>
      <c r="CV46" s="25"/>
      <c r="CW46" s="25"/>
      <c r="CX46" s="25"/>
      <c r="CY46" s="25"/>
      <c r="CZ46" s="25"/>
      <c r="DA46" s="25"/>
      <c r="DB46" s="25"/>
      <c r="DC46" s="25"/>
      <c r="DD46" s="25"/>
      <c r="DE46" s="25"/>
      <c r="DF46" s="25"/>
      <c r="DG46" s="25"/>
    </row>
    <row r="47" spans="2:111">
      <c r="B47" s="3"/>
      <c r="D47" s="39" t="str">
        <f t="shared" si="31"/>
        <v>-/-</v>
      </c>
      <c r="F47" s="3"/>
      <c r="H47" s="19"/>
      <c r="J47" s="3"/>
      <c r="K47" s="3"/>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S47" s="19"/>
      <c r="AU47" s="25"/>
      <c r="AV47" s="25"/>
      <c r="AW47" s="25"/>
      <c r="AX47" s="25"/>
      <c r="AY47" s="25"/>
      <c r="AZ47" s="25"/>
      <c r="BA47" s="25"/>
      <c r="BB47" s="25"/>
      <c r="BC47" s="25"/>
      <c r="BD47" s="25"/>
      <c r="BE47" s="25"/>
      <c r="BF47" s="25"/>
      <c r="BG47" s="25"/>
      <c r="BH47" s="25"/>
      <c r="BI47" s="25"/>
      <c r="BJ47" s="25"/>
      <c r="BK47" s="25"/>
      <c r="BL47" s="25"/>
      <c r="BM47" s="25"/>
      <c r="BN47" s="25"/>
      <c r="BO47" s="25"/>
      <c r="BP47" s="25"/>
      <c r="BQ47" s="25"/>
      <c r="BR47" s="25"/>
      <c r="BS47" s="25"/>
      <c r="BT47" s="25"/>
      <c r="BU47" s="25"/>
      <c r="BV47" s="25"/>
      <c r="BW47" s="25"/>
      <c r="BX47" s="25"/>
      <c r="BY47" s="25"/>
      <c r="BZ47" s="24"/>
      <c r="CA47" s="19"/>
      <c r="CB47" s="24"/>
      <c r="CC47" s="25"/>
      <c r="CD47" s="25"/>
      <c r="CE47" s="25"/>
      <c r="CF47" s="25"/>
      <c r="CG47" s="25"/>
      <c r="CH47" s="25"/>
      <c r="CI47" s="25"/>
      <c r="CJ47" s="25"/>
      <c r="CK47" s="25"/>
      <c r="CL47" s="25"/>
      <c r="CM47" s="25"/>
      <c r="CN47" s="25"/>
      <c r="CO47" s="25"/>
      <c r="CP47" s="25"/>
      <c r="CQ47" s="25"/>
      <c r="CR47" s="25"/>
      <c r="CS47" s="25"/>
      <c r="CT47" s="25"/>
      <c r="CU47" s="25"/>
      <c r="CV47" s="25"/>
      <c r="CW47" s="25"/>
      <c r="CX47" s="25"/>
      <c r="CY47" s="25"/>
      <c r="CZ47" s="25"/>
      <c r="DA47" s="25"/>
      <c r="DB47" s="25"/>
      <c r="DC47" s="25"/>
      <c r="DD47" s="25"/>
      <c r="DE47" s="25"/>
      <c r="DF47" s="25"/>
      <c r="DG47" s="25"/>
    </row>
    <row r="48" spans="2:111">
      <c r="B48" s="3"/>
      <c r="D48" s="39" t="str">
        <f t="shared" si="31"/>
        <v>-/-</v>
      </c>
      <c r="F48" s="3"/>
      <c r="H48" s="19"/>
      <c r="J48" s="3"/>
      <c r="K48" s="3"/>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S48" s="19"/>
      <c r="AU48" s="25"/>
      <c r="AV48" s="25"/>
      <c r="AW48" s="25"/>
      <c r="AX48" s="25"/>
      <c r="AY48" s="25"/>
      <c r="AZ48" s="25"/>
      <c r="BA48" s="25"/>
      <c r="BB48" s="25"/>
      <c r="BC48" s="25"/>
      <c r="BD48" s="25"/>
      <c r="BE48" s="25"/>
      <c r="BF48" s="25"/>
      <c r="BG48" s="25"/>
      <c r="BH48" s="25"/>
      <c r="BI48" s="25"/>
      <c r="BJ48" s="25"/>
      <c r="BK48" s="25"/>
      <c r="BL48" s="25"/>
      <c r="BM48" s="25"/>
      <c r="BN48" s="25"/>
      <c r="BO48" s="25"/>
      <c r="BP48" s="25"/>
      <c r="BQ48" s="25"/>
      <c r="BR48" s="25"/>
      <c r="BS48" s="25"/>
      <c r="BT48" s="25"/>
      <c r="BU48" s="25"/>
      <c r="BV48" s="25"/>
      <c r="BW48" s="25"/>
      <c r="BX48" s="25"/>
      <c r="BY48" s="25"/>
      <c r="BZ48" s="24"/>
      <c r="CA48" s="19"/>
      <c r="CB48" s="24"/>
      <c r="CC48" s="25"/>
      <c r="CD48" s="25"/>
      <c r="CE48" s="25"/>
      <c r="CF48" s="25"/>
      <c r="CG48" s="25"/>
      <c r="CH48" s="25"/>
      <c r="CI48" s="25"/>
      <c r="CJ48" s="25"/>
      <c r="CK48" s="25"/>
      <c r="CL48" s="25"/>
      <c r="CM48" s="25"/>
      <c r="CN48" s="25"/>
      <c r="CO48" s="25"/>
      <c r="CP48" s="25"/>
      <c r="CQ48" s="25"/>
      <c r="CR48" s="25"/>
      <c r="CS48" s="25"/>
      <c r="CT48" s="25"/>
      <c r="CU48" s="25"/>
      <c r="CV48" s="25"/>
      <c r="CW48" s="25"/>
      <c r="CX48" s="25"/>
      <c r="CY48" s="25"/>
      <c r="CZ48" s="25"/>
      <c r="DA48" s="25"/>
      <c r="DB48" s="25"/>
      <c r="DC48" s="25"/>
      <c r="DD48" s="25"/>
      <c r="DE48" s="25"/>
      <c r="DF48" s="25"/>
      <c r="DG48" s="25"/>
    </row>
    <row r="49" spans="2:111">
      <c r="B49" s="3"/>
      <c r="D49" s="39" t="str">
        <f t="shared" si="31"/>
        <v>-/-</v>
      </c>
      <c r="F49" s="3"/>
      <c r="H49" s="19"/>
      <c r="J49" s="3"/>
      <c r="K49" s="3"/>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S49" s="19"/>
      <c r="AU49" s="25"/>
      <c r="AV49" s="25"/>
      <c r="AW49" s="25"/>
      <c r="AX49" s="25"/>
      <c r="AY49" s="25"/>
      <c r="AZ49" s="25"/>
      <c r="BA49" s="25"/>
      <c r="BB49" s="25"/>
      <c r="BC49" s="25"/>
      <c r="BD49" s="25"/>
      <c r="BE49" s="25"/>
      <c r="BF49" s="25"/>
      <c r="BG49" s="25"/>
      <c r="BH49" s="25"/>
      <c r="BI49" s="25"/>
      <c r="BJ49" s="25"/>
      <c r="BK49" s="25"/>
      <c r="BL49" s="25"/>
      <c r="BM49" s="25"/>
      <c r="BN49" s="25"/>
      <c r="BO49" s="25"/>
      <c r="BP49" s="25"/>
      <c r="BQ49" s="25"/>
      <c r="BR49" s="25"/>
      <c r="BS49" s="25"/>
      <c r="BT49" s="25"/>
      <c r="BU49" s="25"/>
      <c r="BV49" s="25"/>
      <c r="BW49" s="25"/>
      <c r="BX49" s="25"/>
      <c r="BY49" s="25"/>
      <c r="BZ49" s="24"/>
      <c r="CA49" s="19"/>
      <c r="CB49" s="24"/>
      <c r="CC49" s="25"/>
      <c r="CD49" s="25"/>
      <c r="CE49" s="25"/>
      <c r="CF49" s="25"/>
      <c r="CG49" s="25"/>
      <c r="CH49" s="25"/>
      <c r="CI49" s="25"/>
      <c r="CJ49" s="25"/>
      <c r="CK49" s="25"/>
      <c r="CL49" s="25"/>
      <c r="CM49" s="25"/>
      <c r="CN49" s="25"/>
      <c r="CO49" s="25"/>
      <c r="CP49" s="25"/>
      <c r="CQ49" s="25"/>
      <c r="CR49" s="25"/>
      <c r="CS49" s="25"/>
      <c r="CT49" s="25"/>
      <c r="CU49" s="25"/>
      <c r="CV49" s="25"/>
      <c r="CW49" s="25"/>
      <c r="CX49" s="25"/>
      <c r="CY49" s="25"/>
      <c r="CZ49" s="25"/>
      <c r="DA49" s="25"/>
      <c r="DB49" s="25"/>
      <c r="DC49" s="25"/>
      <c r="DD49" s="25"/>
      <c r="DE49" s="25"/>
      <c r="DF49" s="25"/>
      <c r="DG49" s="25"/>
    </row>
    <row r="50" spans="2:111">
      <c r="B50" s="3"/>
      <c r="D50" s="39" t="str">
        <f t="shared" si="31"/>
        <v>-/-</v>
      </c>
      <c r="F50" s="3"/>
      <c r="H50" s="19"/>
      <c r="J50" s="3"/>
      <c r="K50" s="3"/>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S50" s="19"/>
      <c r="AU50" s="25"/>
      <c r="AV50" s="25"/>
      <c r="AW50" s="25"/>
      <c r="AX50" s="25"/>
      <c r="AY50" s="25"/>
      <c r="AZ50" s="25"/>
      <c r="BA50" s="25"/>
      <c r="BB50" s="25"/>
      <c r="BC50" s="25"/>
      <c r="BD50" s="25"/>
      <c r="BE50" s="25"/>
      <c r="BF50" s="25"/>
      <c r="BG50" s="25"/>
      <c r="BH50" s="25"/>
      <c r="BI50" s="25"/>
      <c r="BJ50" s="25"/>
      <c r="BK50" s="25"/>
      <c r="BL50" s="25"/>
      <c r="BM50" s="25"/>
      <c r="BN50" s="25"/>
      <c r="BO50" s="25"/>
      <c r="BP50" s="25"/>
      <c r="BQ50" s="25"/>
      <c r="BR50" s="25"/>
      <c r="BS50" s="25"/>
      <c r="BT50" s="25"/>
      <c r="BU50" s="25"/>
      <c r="BV50" s="25"/>
      <c r="BW50" s="25"/>
      <c r="BX50" s="25"/>
      <c r="BY50" s="25"/>
      <c r="BZ50" s="24"/>
      <c r="CA50" s="19"/>
      <c r="CB50" s="24"/>
      <c r="CC50" s="25"/>
      <c r="CD50" s="25"/>
      <c r="CE50" s="25"/>
      <c r="CF50" s="25"/>
      <c r="CG50" s="25"/>
      <c r="CH50" s="25"/>
      <c r="CI50" s="25"/>
      <c r="CJ50" s="25"/>
      <c r="CK50" s="25"/>
      <c r="CL50" s="25"/>
      <c r="CM50" s="25"/>
      <c r="CN50" s="25"/>
      <c r="CO50" s="25"/>
      <c r="CP50" s="25"/>
      <c r="CQ50" s="25"/>
      <c r="CR50" s="25"/>
      <c r="CS50" s="25"/>
      <c r="CT50" s="25"/>
      <c r="CU50" s="25"/>
      <c r="CV50" s="25"/>
      <c r="CW50" s="25"/>
      <c r="CX50" s="25"/>
      <c r="CY50" s="25"/>
      <c r="CZ50" s="25"/>
      <c r="DA50" s="25"/>
      <c r="DB50" s="25"/>
      <c r="DC50" s="25"/>
      <c r="DD50" s="25"/>
      <c r="DE50" s="25"/>
      <c r="DF50" s="25"/>
      <c r="DG50" s="25"/>
    </row>
    <row r="51" spans="2:111">
      <c r="B51" s="3"/>
      <c r="D51" s="39" t="str">
        <f t="shared" si="31"/>
        <v>-/-</v>
      </c>
      <c r="F51" s="3"/>
      <c r="H51" s="19"/>
      <c r="J51" s="3"/>
      <c r="K51" s="3"/>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S51" s="19"/>
      <c r="AU51" s="25"/>
      <c r="AV51" s="25"/>
      <c r="AW51" s="25"/>
      <c r="AX51" s="25"/>
      <c r="AY51" s="25"/>
      <c r="AZ51" s="25"/>
      <c r="BA51" s="25"/>
      <c r="BB51" s="25"/>
      <c r="BC51" s="25"/>
      <c r="BD51" s="25"/>
      <c r="BE51" s="25"/>
      <c r="BF51" s="25"/>
      <c r="BG51" s="25"/>
      <c r="BH51" s="25"/>
      <c r="BI51" s="25"/>
      <c r="BJ51" s="25"/>
      <c r="BK51" s="25"/>
      <c r="BL51" s="25"/>
      <c r="BM51" s="25"/>
      <c r="BN51" s="25"/>
      <c r="BO51" s="25"/>
      <c r="BP51" s="25"/>
      <c r="BQ51" s="25"/>
      <c r="BR51" s="25"/>
      <c r="BS51" s="25"/>
      <c r="BT51" s="25"/>
      <c r="BU51" s="25"/>
      <c r="BV51" s="25"/>
      <c r="BW51" s="25"/>
      <c r="BX51" s="25"/>
      <c r="BY51" s="25"/>
      <c r="BZ51" s="24"/>
      <c r="CA51" s="19"/>
      <c r="CB51" s="24"/>
      <c r="CC51" s="25"/>
      <c r="CD51" s="25"/>
      <c r="CE51" s="25"/>
      <c r="CF51" s="25"/>
      <c r="CG51" s="25"/>
      <c r="CH51" s="25"/>
      <c r="CI51" s="25"/>
      <c r="CJ51" s="25"/>
      <c r="CK51" s="25"/>
      <c r="CL51" s="25"/>
      <c r="CM51" s="25"/>
      <c r="CN51" s="25"/>
      <c r="CO51" s="25"/>
      <c r="CP51" s="25"/>
      <c r="CQ51" s="25"/>
      <c r="CR51" s="25"/>
      <c r="CS51" s="25"/>
      <c r="CT51" s="25"/>
      <c r="CU51" s="25"/>
      <c r="CV51" s="25"/>
      <c r="CW51" s="25"/>
      <c r="CX51" s="25"/>
      <c r="CY51" s="25"/>
      <c r="CZ51" s="25"/>
      <c r="DA51" s="25"/>
      <c r="DB51" s="25"/>
      <c r="DC51" s="25"/>
      <c r="DD51" s="25"/>
      <c r="DE51" s="25"/>
      <c r="DF51" s="25"/>
      <c r="DG51" s="25"/>
    </row>
    <row r="52" spans="2:111">
      <c r="B52" s="3"/>
      <c r="D52" s="39" t="str">
        <f t="shared" si="31"/>
        <v>-/-</v>
      </c>
      <c r="F52" s="3"/>
      <c r="H52" s="19"/>
      <c r="J52" s="3"/>
      <c r="K52" s="3"/>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S52" s="19"/>
      <c r="AU52" s="25"/>
      <c r="AV52" s="25"/>
      <c r="AW52" s="25"/>
      <c r="AX52" s="25"/>
      <c r="AY52" s="25"/>
      <c r="AZ52" s="25"/>
      <c r="BA52" s="25"/>
      <c r="BB52" s="25"/>
      <c r="BC52" s="25"/>
      <c r="BD52" s="25"/>
      <c r="BE52" s="25"/>
      <c r="BF52" s="25"/>
      <c r="BG52" s="25"/>
      <c r="BH52" s="25"/>
      <c r="BI52" s="25"/>
      <c r="BJ52" s="25"/>
      <c r="BK52" s="25"/>
      <c r="BL52" s="25"/>
      <c r="BM52" s="25"/>
      <c r="BN52" s="25"/>
      <c r="BO52" s="25"/>
      <c r="BP52" s="25"/>
      <c r="BQ52" s="25"/>
      <c r="BR52" s="25"/>
      <c r="BS52" s="25"/>
      <c r="BT52" s="25"/>
      <c r="BU52" s="25"/>
      <c r="BV52" s="25"/>
      <c r="BW52" s="25"/>
      <c r="BX52" s="25"/>
      <c r="BY52" s="25"/>
      <c r="BZ52" s="24"/>
      <c r="CA52" s="19"/>
      <c r="CB52" s="24"/>
      <c r="CC52" s="25"/>
      <c r="CD52" s="25"/>
      <c r="CE52" s="25"/>
      <c r="CF52" s="25"/>
      <c r="CG52" s="25"/>
      <c r="CH52" s="25"/>
      <c r="CI52" s="25"/>
      <c r="CJ52" s="25"/>
      <c r="CK52" s="25"/>
      <c r="CL52" s="25"/>
      <c r="CM52" s="25"/>
      <c r="CN52" s="25"/>
      <c r="CO52" s="25"/>
      <c r="CP52" s="25"/>
      <c r="CQ52" s="25"/>
      <c r="CR52" s="25"/>
      <c r="CS52" s="25"/>
      <c r="CT52" s="25"/>
      <c r="CU52" s="25"/>
      <c r="CV52" s="25"/>
      <c r="CW52" s="25"/>
      <c r="CX52" s="25"/>
      <c r="CY52" s="25"/>
      <c r="CZ52" s="25"/>
      <c r="DA52" s="25"/>
      <c r="DB52" s="25"/>
      <c r="DC52" s="25"/>
      <c r="DD52" s="25"/>
      <c r="DE52" s="25"/>
      <c r="DF52" s="25"/>
      <c r="DG52" s="25"/>
    </row>
    <row r="53" spans="2:111">
      <c r="B53" s="3"/>
      <c r="D53" s="39" t="str">
        <f t="shared" si="31"/>
        <v>-/-</v>
      </c>
      <c r="F53" s="3"/>
      <c r="H53" s="19"/>
      <c r="J53" s="3"/>
      <c r="K53" s="3"/>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S53" s="19"/>
      <c r="AU53" s="25"/>
      <c r="AV53" s="25"/>
      <c r="AW53" s="25"/>
      <c r="AX53" s="25"/>
      <c r="AY53" s="25"/>
      <c r="AZ53" s="25"/>
      <c r="BA53" s="25"/>
      <c r="BB53" s="25"/>
      <c r="BC53" s="25"/>
      <c r="BD53" s="25"/>
      <c r="BE53" s="25"/>
      <c r="BF53" s="25"/>
      <c r="BG53" s="25"/>
      <c r="BH53" s="25"/>
      <c r="BI53" s="25"/>
      <c r="BJ53" s="25"/>
      <c r="BK53" s="25"/>
      <c r="BL53" s="25"/>
      <c r="BM53" s="25"/>
      <c r="BN53" s="25"/>
      <c r="BO53" s="25"/>
      <c r="BP53" s="25"/>
      <c r="BQ53" s="25"/>
      <c r="BR53" s="25"/>
      <c r="BS53" s="25"/>
      <c r="BT53" s="25"/>
      <c r="BU53" s="25"/>
      <c r="BV53" s="25"/>
      <c r="BW53" s="25"/>
      <c r="BX53" s="25"/>
      <c r="BY53" s="25"/>
      <c r="BZ53" s="24"/>
      <c r="CA53" s="19"/>
      <c r="CB53" s="24"/>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5"/>
      <c r="DD53" s="25"/>
      <c r="DE53" s="25"/>
      <c r="DF53" s="25"/>
      <c r="DG53" s="25"/>
    </row>
    <row r="54" spans="2:111">
      <c r="B54" s="3"/>
      <c r="D54" s="39" t="str">
        <f t="shared" si="31"/>
        <v>-/-</v>
      </c>
      <c r="F54" s="3"/>
      <c r="H54" s="19"/>
      <c r="J54" s="3"/>
      <c r="K54" s="3"/>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S54" s="19"/>
      <c r="AU54" s="25"/>
      <c r="AV54" s="25"/>
      <c r="AW54" s="25"/>
      <c r="AX54" s="25"/>
      <c r="AY54" s="25"/>
      <c r="AZ54" s="25"/>
      <c r="BA54" s="25"/>
      <c r="BB54" s="25"/>
      <c r="BC54" s="25"/>
      <c r="BD54" s="25"/>
      <c r="BE54" s="25"/>
      <c r="BF54" s="25"/>
      <c r="BG54" s="25"/>
      <c r="BH54" s="25"/>
      <c r="BI54" s="25"/>
      <c r="BJ54" s="25"/>
      <c r="BK54" s="25"/>
      <c r="BL54" s="25"/>
      <c r="BM54" s="25"/>
      <c r="BN54" s="25"/>
      <c r="BO54" s="25"/>
      <c r="BP54" s="25"/>
      <c r="BQ54" s="25"/>
      <c r="BR54" s="25"/>
      <c r="BS54" s="25"/>
      <c r="BT54" s="25"/>
      <c r="BU54" s="25"/>
      <c r="BV54" s="25"/>
      <c r="BW54" s="25"/>
      <c r="BX54" s="25"/>
      <c r="BY54" s="25"/>
      <c r="BZ54" s="24"/>
      <c r="CA54" s="19"/>
      <c r="CB54" s="24"/>
      <c r="CC54" s="25"/>
      <c r="CD54" s="25"/>
      <c r="CE54" s="25"/>
      <c r="CF54" s="25"/>
      <c r="CG54" s="25"/>
      <c r="CH54" s="25"/>
      <c r="CI54" s="25"/>
      <c r="CJ54" s="25"/>
      <c r="CK54" s="25"/>
      <c r="CL54" s="25"/>
      <c r="CM54" s="25"/>
      <c r="CN54" s="25"/>
      <c r="CO54" s="25"/>
      <c r="CP54" s="25"/>
      <c r="CQ54" s="25"/>
      <c r="CR54" s="25"/>
      <c r="CS54" s="25"/>
      <c r="CT54" s="25"/>
      <c r="CU54" s="25"/>
      <c r="CV54" s="25"/>
      <c r="CW54" s="25"/>
      <c r="CX54" s="25"/>
      <c r="CY54" s="25"/>
      <c r="CZ54" s="25"/>
      <c r="DA54" s="25"/>
      <c r="DB54" s="25"/>
      <c r="DC54" s="25"/>
      <c r="DD54" s="25"/>
      <c r="DE54" s="25"/>
      <c r="DF54" s="25"/>
      <c r="DG54" s="25"/>
    </row>
    <row r="55" spans="2:111">
      <c r="B55" s="3"/>
      <c r="D55" s="39" t="str">
        <f t="shared" si="31"/>
        <v>-/-</v>
      </c>
      <c r="F55" s="3"/>
      <c r="H55" s="19"/>
      <c r="J55" s="3"/>
      <c r="K55" s="3"/>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S55" s="19"/>
      <c r="AU55" s="25"/>
      <c r="AV55" s="25"/>
      <c r="AW55" s="25"/>
      <c r="AX55" s="25"/>
      <c r="AY55" s="25"/>
      <c r="AZ55" s="25"/>
      <c r="BA55" s="25"/>
      <c r="BB55" s="25"/>
      <c r="BC55" s="25"/>
      <c r="BD55" s="25"/>
      <c r="BE55" s="25"/>
      <c r="BF55" s="25"/>
      <c r="BG55" s="25"/>
      <c r="BH55" s="25"/>
      <c r="BI55" s="25"/>
      <c r="BJ55" s="25"/>
      <c r="BK55" s="25"/>
      <c r="BL55" s="25"/>
      <c r="BM55" s="25"/>
      <c r="BN55" s="25"/>
      <c r="BO55" s="25"/>
      <c r="BP55" s="25"/>
      <c r="BQ55" s="25"/>
      <c r="BR55" s="25"/>
      <c r="BS55" s="25"/>
      <c r="BT55" s="25"/>
      <c r="BU55" s="25"/>
      <c r="BV55" s="25"/>
      <c r="BW55" s="25"/>
      <c r="BX55" s="25"/>
      <c r="BY55" s="25"/>
      <c r="BZ55" s="24"/>
      <c r="CA55" s="19"/>
      <c r="CB55" s="24"/>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5"/>
      <c r="DD55" s="25"/>
      <c r="DE55" s="25"/>
      <c r="DF55" s="25"/>
      <c r="DG55" s="25"/>
    </row>
    <row r="56" spans="2:111">
      <c r="B56" s="3"/>
      <c r="D56" s="39" t="str">
        <f t="shared" si="31"/>
        <v>-/-</v>
      </c>
      <c r="F56" s="3"/>
      <c r="H56" s="19"/>
      <c r="J56" s="3"/>
      <c r="K56" s="3"/>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S56" s="19"/>
      <c r="AU56" s="25"/>
      <c r="AV56" s="25"/>
      <c r="AW56" s="25"/>
      <c r="AX56" s="25"/>
      <c r="AY56" s="25"/>
      <c r="AZ56" s="25"/>
      <c r="BA56" s="25"/>
      <c r="BB56" s="25"/>
      <c r="BC56" s="25"/>
      <c r="BD56" s="25"/>
      <c r="BE56" s="25"/>
      <c r="BF56" s="25"/>
      <c r="BG56" s="25"/>
      <c r="BH56" s="25"/>
      <c r="BI56" s="25"/>
      <c r="BJ56" s="25"/>
      <c r="BK56" s="25"/>
      <c r="BL56" s="25"/>
      <c r="BM56" s="25"/>
      <c r="BN56" s="25"/>
      <c r="BO56" s="25"/>
      <c r="BP56" s="25"/>
      <c r="BQ56" s="25"/>
      <c r="BR56" s="25"/>
      <c r="BS56" s="25"/>
      <c r="BT56" s="25"/>
      <c r="BU56" s="25"/>
      <c r="BV56" s="25"/>
      <c r="BW56" s="25"/>
      <c r="BX56" s="25"/>
      <c r="BY56" s="25"/>
      <c r="BZ56" s="24"/>
      <c r="CA56" s="19"/>
      <c r="CB56" s="24"/>
      <c r="CC56" s="25"/>
      <c r="CD56" s="25"/>
      <c r="CE56" s="25"/>
      <c r="CF56" s="25"/>
      <c r="CG56" s="25"/>
      <c r="CH56" s="25"/>
      <c r="CI56" s="25"/>
      <c r="CJ56" s="25"/>
      <c r="CK56" s="25"/>
      <c r="CL56" s="25"/>
      <c r="CM56" s="25"/>
      <c r="CN56" s="25"/>
      <c r="CO56" s="25"/>
      <c r="CP56" s="25"/>
      <c r="CQ56" s="25"/>
      <c r="CR56" s="25"/>
      <c r="CS56" s="25"/>
      <c r="CT56" s="25"/>
      <c r="CU56" s="25"/>
      <c r="CV56" s="25"/>
      <c r="CW56" s="25"/>
      <c r="CX56" s="25"/>
      <c r="CY56" s="25"/>
      <c r="CZ56" s="25"/>
      <c r="DA56" s="25"/>
      <c r="DB56" s="25"/>
      <c r="DC56" s="25"/>
      <c r="DD56" s="25"/>
      <c r="DE56" s="25"/>
      <c r="DF56" s="25"/>
      <c r="DG56" s="25"/>
    </row>
    <row r="57" spans="2:111">
      <c r="B57" s="3"/>
      <c r="D57" s="39" t="str">
        <f t="shared" si="31"/>
        <v>-/-</v>
      </c>
      <c r="F57" s="3"/>
      <c r="H57" s="19"/>
      <c r="J57" s="3"/>
      <c r="K57" s="3"/>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S57" s="19"/>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25"/>
      <c r="BU57" s="25"/>
      <c r="BV57" s="25"/>
      <c r="BW57" s="25"/>
      <c r="BX57" s="25"/>
      <c r="BY57" s="25"/>
      <c r="BZ57" s="24"/>
      <c r="CA57" s="19"/>
      <c r="CB57" s="24"/>
      <c r="CC57" s="25"/>
      <c r="CD57" s="25"/>
      <c r="CE57" s="25"/>
      <c r="CF57" s="25"/>
      <c r="CG57" s="25"/>
      <c r="CH57" s="25"/>
      <c r="CI57" s="25"/>
      <c r="CJ57" s="25"/>
      <c r="CK57" s="25"/>
      <c r="CL57" s="25"/>
      <c r="CM57" s="25"/>
      <c r="CN57" s="25"/>
      <c r="CO57" s="25"/>
      <c r="CP57" s="25"/>
      <c r="CQ57" s="25"/>
      <c r="CR57" s="25"/>
      <c r="CS57" s="25"/>
      <c r="CT57" s="25"/>
      <c r="CU57" s="25"/>
      <c r="CV57" s="25"/>
      <c r="CW57" s="25"/>
      <c r="CX57" s="25"/>
      <c r="CY57" s="25"/>
      <c r="CZ57" s="25"/>
      <c r="DA57" s="25"/>
      <c r="DB57" s="25"/>
      <c r="DC57" s="25"/>
      <c r="DD57" s="25"/>
      <c r="DE57" s="25"/>
      <c r="DF57" s="25"/>
      <c r="DG57" s="25"/>
    </row>
    <row r="58" spans="2:111">
      <c r="B58" s="3"/>
      <c r="D58" s="39" t="str">
        <f t="shared" si="31"/>
        <v>-/-</v>
      </c>
      <c r="F58" s="3"/>
      <c r="H58" s="19"/>
      <c r="J58" s="3"/>
      <c r="K58" s="3"/>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S58" s="19"/>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25"/>
      <c r="BU58" s="25"/>
      <c r="BV58" s="25"/>
      <c r="BW58" s="25"/>
      <c r="BX58" s="25"/>
      <c r="BY58" s="25"/>
      <c r="BZ58" s="24"/>
      <c r="CA58" s="19"/>
      <c r="CB58" s="24"/>
      <c r="CC58" s="25"/>
      <c r="CD58" s="25"/>
      <c r="CE58" s="25"/>
      <c r="CF58" s="25"/>
      <c r="CG58" s="25"/>
      <c r="CH58" s="25"/>
      <c r="CI58" s="25"/>
      <c r="CJ58" s="25"/>
      <c r="CK58" s="25"/>
      <c r="CL58" s="25"/>
      <c r="CM58" s="25"/>
      <c r="CN58" s="25"/>
      <c r="CO58" s="25"/>
      <c r="CP58" s="25"/>
      <c r="CQ58" s="25"/>
      <c r="CR58" s="25"/>
      <c r="CS58" s="25"/>
      <c r="CT58" s="25"/>
      <c r="CU58" s="25"/>
      <c r="CV58" s="25"/>
      <c r="CW58" s="25"/>
      <c r="CX58" s="25"/>
      <c r="CY58" s="25"/>
      <c r="CZ58" s="25"/>
      <c r="DA58" s="25"/>
      <c r="DB58" s="25"/>
      <c r="DC58" s="25"/>
      <c r="DD58" s="25"/>
      <c r="DE58" s="25"/>
      <c r="DF58" s="25"/>
      <c r="DG58" s="25"/>
    </row>
    <row r="59" spans="2:111">
      <c r="B59" s="3"/>
      <c r="D59" s="39" t="str">
        <f t="shared" si="31"/>
        <v>-/-</v>
      </c>
      <c r="F59" s="3"/>
      <c r="H59" s="19"/>
      <c r="J59" s="3"/>
      <c r="K59" s="3"/>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S59" s="19"/>
      <c r="AU59" s="25"/>
      <c r="AV59" s="25"/>
      <c r="AW59" s="25"/>
      <c r="AX59" s="25"/>
      <c r="AY59" s="25"/>
      <c r="AZ59" s="25"/>
      <c r="BA59" s="25"/>
      <c r="BB59" s="25"/>
      <c r="BC59" s="25"/>
      <c r="BD59" s="25"/>
      <c r="BE59" s="25"/>
      <c r="BF59" s="25"/>
      <c r="BG59" s="25"/>
      <c r="BH59" s="25"/>
      <c r="BI59" s="25"/>
      <c r="BJ59" s="25"/>
      <c r="BK59" s="25"/>
      <c r="BL59" s="25"/>
      <c r="BM59" s="25"/>
      <c r="BN59" s="25"/>
      <c r="BO59" s="25"/>
      <c r="BP59" s="25"/>
      <c r="BQ59" s="25"/>
      <c r="BR59" s="25"/>
      <c r="BS59" s="25"/>
      <c r="BT59" s="25"/>
      <c r="BU59" s="25"/>
      <c r="BV59" s="25"/>
      <c r="BW59" s="25"/>
      <c r="BX59" s="25"/>
      <c r="BY59" s="25"/>
      <c r="BZ59" s="24"/>
      <c r="CA59" s="19"/>
      <c r="CB59" s="24"/>
      <c r="CC59" s="25"/>
      <c r="CD59" s="25"/>
      <c r="CE59" s="25"/>
      <c r="CF59" s="25"/>
      <c r="CG59" s="25"/>
      <c r="CH59" s="25"/>
      <c r="CI59" s="25"/>
      <c r="CJ59" s="25"/>
      <c r="CK59" s="25"/>
      <c r="CL59" s="25"/>
      <c r="CM59" s="25"/>
      <c r="CN59" s="25"/>
      <c r="CO59" s="25"/>
      <c r="CP59" s="25"/>
      <c r="CQ59" s="25"/>
      <c r="CR59" s="25"/>
      <c r="CS59" s="25"/>
      <c r="CT59" s="25"/>
      <c r="CU59" s="25"/>
      <c r="CV59" s="25"/>
      <c r="CW59" s="25"/>
      <c r="CX59" s="25"/>
      <c r="CY59" s="25"/>
      <c r="CZ59" s="25"/>
      <c r="DA59" s="25"/>
      <c r="DB59" s="25"/>
      <c r="DC59" s="25"/>
      <c r="DD59" s="25"/>
      <c r="DE59" s="25"/>
      <c r="DF59" s="25"/>
      <c r="DG59" s="25"/>
    </row>
    <row r="60" spans="2:111">
      <c r="B60" s="3"/>
      <c r="D60" s="39" t="str">
        <f t="shared" si="31"/>
        <v>-/-</v>
      </c>
      <c r="F60" s="3"/>
      <c r="H60" s="19"/>
      <c r="J60" s="3"/>
      <c r="K60" s="3"/>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S60" s="19"/>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25"/>
      <c r="BU60" s="25"/>
      <c r="BV60" s="25"/>
      <c r="BW60" s="25"/>
      <c r="BX60" s="25"/>
      <c r="BY60" s="25"/>
      <c r="BZ60" s="24"/>
      <c r="CA60" s="19"/>
      <c r="CB60" s="24"/>
      <c r="CC60" s="25"/>
      <c r="CD60" s="25"/>
      <c r="CE60" s="25"/>
      <c r="CF60" s="25"/>
      <c r="CG60" s="25"/>
      <c r="CH60" s="25"/>
      <c r="CI60" s="25"/>
      <c r="CJ60" s="25"/>
      <c r="CK60" s="25"/>
      <c r="CL60" s="25"/>
      <c r="CM60" s="25"/>
      <c r="CN60" s="25"/>
      <c r="CO60" s="25"/>
      <c r="CP60" s="25"/>
      <c r="CQ60" s="25"/>
      <c r="CR60" s="25"/>
      <c r="CS60" s="25"/>
      <c r="CT60" s="25"/>
      <c r="CU60" s="25"/>
      <c r="CV60" s="25"/>
      <c r="CW60" s="25"/>
      <c r="CX60" s="25"/>
      <c r="CY60" s="25"/>
      <c r="CZ60" s="25"/>
      <c r="DA60" s="25"/>
      <c r="DB60" s="25"/>
      <c r="DC60" s="25"/>
      <c r="DD60" s="25"/>
      <c r="DE60" s="25"/>
      <c r="DF60" s="25"/>
      <c r="DG60" s="25"/>
    </row>
  </sheetData>
  <conditionalFormatting sqref="D11:D60">
    <cfRule type="cellIs" dxfId="60" priority="19" operator="equal">
      <formula>FALSE</formula>
    </cfRule>
  </conditionalFormatting>
  <conditionalFormatting sqref="B11">
    <cfRule type="duplicateValues" dxfId="59" priority="1"/>
  </conditionalFormatting>
  <dataValidations count="2">
    <dataValidation type="list" allowBlank="1" showInputMessage="1" showErrorMessage="1" sqref="CA11:CA60 AS11:AS60" xr:uid="{7B8B1322-17A2-9947-ABFD-97F2FFA7C048}">
      <formula1>"TRUE,FALSE"</formula1>
    </dataValidation>
    <dataValidation type="list" allowBlank="1" showInputMessage="1" showErrorMessage="1" sqref="H11:H60" xr:uid="{3703547C-C046-2A41-A947-855CD2209570}">
      <formula1>OFFSET(lists_zones,,,COUNTA(lists_zones))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686" id="{2CD41DB5-6CAF-1244-BD3D-B18795A7DB6F}">
            <xm:f>ISNUMBER(MATCH(F11,'RESOLVE Case Settings'!$C$19:$C$42,0))</xm:f>
            <x14:dxf>
              <font>
                <color rgb="FF006100"/>
              </font>
              <fill>
                <patternFill>
                  <bgColor rgb="FFC6EFCE"/>
                </patternFill>
              </fill>
            </x14:dxf>
          </x14:cfRule>
          <xm:sqref>F11:F60</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EAD77-88CE-452D-87CB-2BAAAACADD7B}">
  <sheetPr codeName="Sheet9">
    <tabColor theme="7" tint="-0.249977111117893"/>
  </sheetPr>
  <dimension ref="A1:AY81"/>
  <sheetViews>
    <sheetView showGridLines="0" zoomScale="85" zoomScaleNormal="85" workbookViewId="0">
      <selection activeCell="D8" sqref="D8"/>
    </sheetView>
  </sheetViews>
  <sheetFormatPr baseColWidth="10" defaultColWidth="9" defaultRowHeight="12" outlineLevelRow="2"/>
  <cols>
    <col min="1" max="2" width="3" customWidth="1"/>
    <col min="3" max="3" width="37.3984375" bestFit="1" customWidth="1"/>
    <col min="4" max="4" width="25" bestFit="1" customWidth="1"/>
    <col min="5" max="5" width="3" customWidth="1"/>
    <col min="6" max="6" width="26.59765625" bestFit="1" customWidth="1"/>
    <col min="7" max="7" width="3" customWidth="1"/>
    <col min="8" max="8" width="13.59765625" customWidth="1"/>
    <col min="9" max="9" width="3" customWidth="1"/>
    <col min="10" max="11" width="21.3984375" bestFit="1" customWidth="1"/>
    <col min="12" max="12" width="24" bestFit="1" customWidth="1"/>
    <col min="13" max="13" width="3" customWidth="1"/>
    <col min="14" max="14" width="16" customWidth="1"/>
    <col min="15" max="15" width="11.3984375" bestFit="1" customWidth="1"/>
    <col min="16" max="46" width="16" customWidth="1"/>
  </cols>
  <sheetData>
    <row r="1" spans="1:51" s="5" customFormat="1" ht="29" thickBot="1">
      <c r="A1" s="5" t="s">
        <v>279</v>
      </c>
    </row>
    <row r="2" spans="1:51">
      <c r="C2" s="17"/>
    </row>
    <row r="3" spans="1:51">
      <c r="C3" s="18"/>
    </row>
    <row r="4" spans="1:51">
      <c r="C4" s="17"/>
    </row>
    <row r="6" spans="1:51" ht="19" thickBot="1">
      <c r="B6" s="9" t="s">
        <v>280</v>
      </c>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row>
    <row r="9" spans="1:51" ht="42">
      <c r="J9" s="11" t="s">
        <v>281</v>
      </c>
      <c r="K9" s="11" t="s">
        <v>282</v>
      </c>
      <c r="L9" s="11" t="s">
        <v>283</v>
      </c>
      <c r="N9" s="11" t="s">
        <v>284</v>
      </c>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row>
    <row r="10" spans="1:51" s="27" customFormat="1" hidden="1" outlineLevel="1">
      <c r="C10" s="27" t="s">
        <v>241</v>
      </c>
      <c r="H10"/>
      <c r="J10" s="27" t="s">
        <v>285</v>
      </c>
      <c r="K10" s="27" t="s">
        <v>286</v>
      </c>
      <c r="L10" s="27" t="s">
        <v>287</v>
      </c>
      <c r="N10" s="27" t="s">
        <v>288</v>
      </c>
      <c r="O10" s="27" t="s">
        <v>288</v>
      </c>
      <c r="P10" s="27" t="s">
        <v>288</v>
      </c>
      <c r="Q10" s="27" t="s">
        <v>288</v>
      </c>
      <c r="R10" s="27" t="s">
        <v>288</v>
      </c>
      <c r="S10" s="27" t="s">
        <v>288</v>
      </c>
      <c r="T10" s="27" t="s">
        <v>288</v>
      </c>
      <c r="U10" s="27" t="s">
        <v>288</v>
      </c>
      <c r="V10" s="27" t="s">
        <v>288</v>
      </c>
      <c r="W10" s="27" t="s">
        <v>288</v>
      </c>
      <c r="X10" s="27" t="s">
        <v>288</v>
      </c>
      <c r="Y10" s="27" t="s">
        <v>288</v>
      </c>
      <c r="Z10" s="27" t="s">
        <v>288</v>
      </c>
      <c r="AA10" s="27" t="s">
        <v>288</v>
      </c>
      <c r="AB10" s="27" t="s">
        <v>288</v>
      </c>
      <c r="AC10" s="27" t="s">
        <v>288</v>
      </c>
      <c r="AD10" s="27" t="s">
        <v>288</v>
      </c>
      <c r="AE10" s="27" t="s">
        <v>288</v>
      </c>
      <c r="AF10" s="27" t="s">
        <v>288</v>
      </c>
      <c r="AG10" s="27" t="s">
        <v>288</v>
      </c>
      <c r="AH10" s="27" t="s">
        <v>288</v>
      </c>
      <c r="AI10" s="27" t="s">
        <v>288</v>
      </c>
      <c r="AJ10" s="27" t="s">
        <v>288</v>
      </c>
      <c r="AK10" s="27" t="s">
        <v>288</v>
      </c>
      <c r="AL10" s="27" t="s">
        <v>288</v>
      </c>
      <c r="AM10" s="27" t="s">
        <v>288</v>
      </c>
      <c r="AN10" s="27" t="s">
        <v>288</v>
      </c>
      <c r="AO10" s="27" t="s">
        <v>288</v>
      </c>
      <c r="AP10" s="27" t="s">
        <v>288</v>
      </c>
      <c r="AQ10" s="27" t="s">
        <v>288</v>
      </c>
      <c r="AR10" s="27" t="s">
        <v>288</v>
      </c>
      <c r="AS10"/>
      <c r="AT10"/>
      <c r="AU10"/>
      <c r="AV10"/>
      <c r="AW10"/>
      <c r="AX10"/>
      <c r="AY10"/>
    </row>
    <row r="11" spans="1:51" ht="42" collapsed="1">
      <c r="C11" s="6" t="s">
        <v>279</v>
      </c>
      <c r="F11" s="11" t="str">
        <f>"Included in Current System ("&amp;system_name&amp;")"</f>
        <v>Included in Current System (ISONE_toy_system)</v>
      </c>
      <c r="H11" s="11" t="s">
        <v>251</v>
      </c>
      <c r="J11" s="26" t="s">
        <v>277</v>
      </c>
      <c r="K11" s="26" t="s">
        <v>277</v>
      </c>
      <c r="L11" s="26" t="s">
        <v>277</v>
      </c>
      <c r="N11" s="59">
        <f>start_year</f>
        <v>43831</v>
      </c>
      <c r="O11" s="59">
        <f>EDATE(N11,12)</f>
        <v>44197</v>
      </c>
      <c r="P11" s="59">
        <f t="shared" ref="P11:AR11" si="0">EDATE(O11,12)</f>
        <v>44562</v>
      </c>
      <c r="Q11" s="59">
        <f t="shared" si="0"/>
        <v>44927</v>
      </c>
      <c r="R11" s="59">
        <f t="shared" si="0"/>
        <v>45292</v>
      </c>
      <c r="S11" s="59">
        <f t="shared" si="0"/>
        <v>45658</v>
      </c>
      <c r="T11" s="59">
        <f t="shared" si="0"/>
        <v>46023</v>
      </c>
      <c r="U11" s="59">
        <f t="shared" si="0"/>
        <v>46388</v>
      </c>
      <c r="V11" s="59">
        <f t="shared" si="0"/>
        <v>46753</v>
      </c>
      <c r="W11" s="59">
        <f t="shared" si="0"/>
        <v>47119</v>
      </c>
      <c r="X11" s="59">
        <f t="shared" si="0"/>
        <v>47484</v>
      </c>
      <c r="Y11" s="59">
        <f t="shared" si="0"/>
        <v>47849</v>
      </c>
      <c r="Z11" s="59">
        <f t="shared" si="0"/>
        <v>48214</v>
      </c>
      <c r="AA11" s="59">
        <f t="shared" si="0"/>
        <v>48580</v>
      </c>
      <c r="AB11" s="59">
        <f t="shared" si="0"/>
        <v>48945</v>
      </c>
      <c r="AC11" s="59">
        <f t="shared" si="0"/>
        <v>49310</v>
      </c>
      <c r="AD11" s="59">
        <f t="shared" si="0"/>
        <v>49675</v>
      </c>
      <c r="AE11" s="59">
        <f t="shared" si="0"/>
        <v>50041</v>
      </c>
      <c r="AF11" s="59">
        <f t="shared" si="0"/>
        <v>50406</v>
      </c>
      <c r="AG11" s="59">
        <f t="shared" si="0"/>
        <v>50771</v>
      </c>
      <c r="AH11" s="59">
        <f t="shared" si="0"/>
        <v>51136</v>
      </c>
      <c r="AI11" s="59">
        <f t="shared" si="0"/>
        <v>51502</v>
      </c>
      <c r="AJ11" s="59">
        <f t="shared" si="0"/>
        <v>51867</v>
      </c>
      <c r="AK11" s="59">
        <f t="shared" si="0"/>
        <v>52232</v>
      </c>
      <c r="AL11" s="59">
        <f t="shared" si="0"/>
        <v>52597</v>
      </c>
      <c r="AM11" s="59">
        <f t="shared" si="0"/>
        <v>52963</v>
      </c>
      <c r="AN11" s="59">
        <f t="shared" si="0"/>
        <v>53328</v>
      </c>
      <c r="AO11" s="59">
        <f t="shared" si="0"/>
        <v>53693</v>
      </c>
      <c r="AP11" s="59">
        <f t="shared" si="0"/>
        <v>54058</v>
      </c>
      <c r="AQ11" s="59">
        <f t="shared" si="0"/>
        <v>54424</v>
      </c>
      <c r="AR11" s="59">
        <f t="shared" si="0"/>
        <v>54789</v>
      </c>
    </row>
    <row r="12" spans="1:51">
      <c r="C12" s="3" t="s">
        <v>242</v>
      </c>
      <c r="F12" s="39" t="b">
        <f t="shared" ref="F12:F17" si="1">IF(ISBLANK($C12),"-/-",COUNTIFS(component_names,$C12,component_types,$C$10)&gt;0)</f>
        <v>1</v>
      </c>
      <c r="H12" s="3"/>
      <c r="J12" s="19" t="s">
        <v>289</v>
      </c>
      <c r="K12" s="19" t="b">
        <v>1</v>
      </c>
      <c r="L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row>
    <row r="13" spans="1:51">
      <c r="C13" s="3"/>
      <c r="F13" s="39" t="str">
        <f t="shared" si="1"/>
        <v>-/-</v>
      </c>
      <c r="H13" s="3"/>
      <c r="J13" s="19"/>
      <c r="K13" s="19"/>
      <c r="L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row>
    <row r="14" spans="1:51">
      <c r="C14" s="3"/>
      <c r="F14" s="39" t="str">
        <f t="shared" si="1"/>
        <v>-/-</v>
      </c>
      <c r="H14" s="3"/>
      <c r="J14" s="19"/>
      <c r="K14" s="19"/>
      <c r="L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row>
    <row r="15" spans="1:51">
      <c r="C15" s="3"/>
      <c r="F15" s="39" t="str">
        <f t="shared" si="1"/>
        <v>-/-</v>
      </c>
      <c r="H15" s="3"/>
      <c r="J15" s="19"/>
      <c r="K15" s="19"/>
      <c r="L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row>
    <row r="16" spans="1:51">
      <c r="C16" s="3"/>
      <c r="F16" s="39" t="str">
        <f t="shared" si="1"/>
        <v>-/-</v>
      </c>
      <c r="H16" s="3"/>
      <c r="J16" s="19"/>
      <c r="K16" s="19"/>
      <c r="L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row>
    <row r="17" spans="2:46">
      <c r="C17" s="3"/>
      <c r="F17" s="39" t="str">
        <f t="shared" si="1"/>
        <v>-/-</v>
      </c>
      <c r="H17" s="3"/>
      <c r="J17" s="19"/>
      <c r="K17" s="19"/>
      <c r="L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row>
    <row r="24" spans="2:46" ht="19" thickBot="1">
      <c r="B24" s="9" t="s">
        <v>290</v>
      </c>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row>
    <row r="27" spans="2:46" ht="18" thickBot="1">
      <c r="C27" s="20" t="s">
        <v>291</v>
      </c>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row>
    <row r="29" spans="2:46" ht="28">
      <c r="H29" s="16"/>
      <c r="J29" s="11" t="s">
        <v>292</v>
      </c>
    </row>
    <row r="30" spans="2:46" outlineLevel="1">
      <c r="C30" s="27" t="s">
        <v>241</v>
      </c>
      <c r="D30" s="27" t="s">
        <v>203</v>
      </c>
      <c r="H30" s="27"/>
      <c r="J30" s="27" t="s">
        <v>293</v>
      </c>
    </row>
    <row r="31" spans="2:46" ht="14">
      <c r="C31" s="6"/>
      <c r="D31" s="6"/>
      <c r="H31" s="11" t="s">
        <v>251</v>
      </c>
      <c r="J31" s="59">
        <f>start_year</f>
        <v>43831</v>
      </c>
    </row>
    <row r="32" spans="2:46">
      <c r="C32" s="19" t="s">
        <v>242</v>
      </c>
      <c r="D32" s="19" t="s">
        <v>110</v>
      </c>
      <c r="H32" s="3"/>
      <c r="J32" s="37">
        <v>0.03</v>
      </c>
    </row>
    <row r="33" spans="2:46">
      <c r="C33" s="19"/>
      <c r="D33" s="19"/>
      <c r="H33" s="3"/>
      <c r="J33" s="37"/>
    </row>
    <row r="34" spans="2:46">
      <c r="C34" s="19"/>
      <c r="D34" s="19"/>
      <c r="H34" s="3"/>
      <c r="J34" s="37"/>
    </row>
    <row r="35" spans="2:46">
      <c r="C35" s="19"/>
      <c r="D35" s="19"/>
      <c r="H35" s="3"/>
      <c r="J35" s="37"/>
    </row>
    <row r="37" spans="2:46" ht="19" thickBot="1">
      <c r="B37" s="9" t="s">
        <v>294</v>
      </c>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row>
    <row r="39" spans="2:46" ht="18" thickBot="1">
      <c r="C39" s="20" t="s">
        <v>291</v>
      </c>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row>
    <row r="41" spans="2:46" ht="14">
      <c r="H41" s="16"/>
      <c r="J41" s="11" t="s">
        <v>295</v>
      </c>
    </row>
    <row r="42" spans="2:46" hidden="1" outlineLevel="1">
      <c r="C42" s="27" t="s">
        <v>296</v>
      </c>
      <c r="D42" s="27" t="s">
        <v>241</v>
      </c>
      <c r="H42" s="27"/>
      <c r="J42" s="27" t="s">
        <v>297</v>
      </c>
    </row>
    <row r="43" spans="2:46" ht="14" collapsed="1">
      <c r="C43" s="6" t="s">
        <v>296</v>
      </c>
      <c r="D43" s="6" t="s">
        <v>241</v>
      </c>
      <c r="H43" s="11" t="s">
        <v>251</v>
      </c>
      <c r="J43" s="26" t="s">
        <v>277</v>
      </c>
    </row>
    <row r="44" spans="2:46">
      <c r="C44" s="19"/>
      <c r="D44" s="19"/>
      <c r="H44" s="3"/>
      <c r="J44" s="37"/>
    </row>
    <row r="45" spans="2:46">
      <c r="C45" s="19"/>
      <c r="D45" s="19"/>
      <c r="H45" s="3"/>
      <c r="J45" s="37"/>
    </row>
    <row r="46" spans="2:46">
      <c r="C46" s="19"/>
      <c r="D46" s="19"/>
      <c r="H46" s="3"/>
      <c r="J46" s="37"/>
    </row>
    <row r="47" spans="2:46">
      <c r="C47" s="19"/>
      <c r="D47" s="19"/>
      <c r="H47" s="3"/>
      <c r="J47" s="37"/>
    </row>
    <row r="48" spans="2:46">
      <c r="C48" s="19"/>
      <c r="D48" s="19"/>
      <c r="H48" s="3"/>
      <c r="J48" s="37"/>
    </row>
    <row r="49" spans="3:51">
      <c r="C49" s="19"/>
      <c r="D49" s="19"/>
      <c r="H49" s="3"/>
      <c r="J49" s="37"/>
    </row>
    <row r="51" spans="3:51" ht="18" hidden="1" outlineLevel="1" thickBot="1">
      <c r="C51" s="20" t="s">
        <v>298</v>
      </c>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c r="AI51" s="20"/>
      <c r="AJ51" s="20"/>
      <c r="AK51" s="20"/>
      <c r="AL51" s="20"/>
      <c r="AM51" s="20"/>
      <c r="AN51" s="20"/>
      <c r="AO51" s="20"/>
      <c r="AP51" s="20"/>
      <c r="AQ51" s="20"/>
      <c r="AR51" s="20"/>
      <c r="AS51" s="20"/>
      <c r="AT51" s="20"/>
    </row>
    <row r="52" spans="3:51" hidden="1" outlineLevel="1"/>
    <row r="53" spans="3:51" ht="14" hidden="1" outlineLevel="1">
      <c r="H53" s="16"/>
      <c r="J53" s="11" t="s">
        <v>299</v>
      </c>
      <c r="K53" s="11" t="s">
        <v>300</v>
      </c>
      <c r="P53" s="6" t="s">
        <v>301</v>
      </c>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row>
    <row r="54" spans="3:51" hidden="1" outlineLevel="2">
      <c r="C54" s="27"/>
      <c r="D54" s="27"/>
      <c r="H54" s="27"/>
      <c r="J54" s="27" t="s">
        <v>297</v>
      </c>
      <c r="K54" s="27" t="s">
        <v>297</v>
      </c>
      <c r="P54" s="27" t="s">
        <v>273</v>
      </c>
      <c r="Q54" s="27" t="s">
        <v>273</v>
      </c>
      <c r="R54" s="27" t="s">
        <v>273</v>
      </c>
      <c r="S54" s="27" t="s">
        <v>273</v>
      </c>
      <c r="T54" s="27" t="s">
        <v>273</v>
      </c>
      <c r="U54" s="27" t="s">
        <v>273</v>
      </c>
      <c r="V54" s="27" t="s">
        <v>273</v>
      </c>
      <c r="W54" s="27" t="s">
        <v>273</v>
      </c>
      <c r="X54" s="27" t="s">
        <v>273</v>
      </c>
      <c r="Y54" s="27" t="s">
        <v>273</v>
      </c>
      <c r="Z54" s="27" t="s">
        <v>273</v>
      </c>
      <c r="AA54" s="27" t="s">
        <v>273</v>
      </c>
      <c r="AB54" s="27" t="s">
        <v>273</v>
      </c>
      <c r="AC54" s="27" t="s">
        <v>273</v>
      </c>
      <c r="AD54" s="27" t="s">
        <v>273</v>
      </c>
      <c r="AE54" s="27" t="s">
        <v>273</v>
      </c>
      <c r="AF54" s="27" t="s">
        <v>273</v>
      </c>
      <c r="AG54" s="27" t="s">
        <v>273</v>
      </c>
      <c r="AH54" s="27" t="s">
        <v>273</v>
      </c>
      <c r="AI54" s="27" t="s">
        <v>273</v>
      </c>
      <c r="AJ54" s="27" t="s">
        <v>273</v>
      </c>
      <c r="AK54" s="27" t="s">
        <v>273</v>
      </c>
      <c r="AL54" s="27" t="s">
        <v>273</v>
      </c>
      <c r="AM54" s="27" t="s">
        <v>273</v>
      </c>
      <c r="AN54" s="27" t="s">
        <v>273</v>
      </c>
      <c r="AO54" s="27" t="s">
        <v>273</v>
      </c>
      <c r="AP54" s="27" t="s">
        <v>273</v>
      </c>
      <c r="AQ54" s="27" t="s">
        <v>273</v>
      </c>
      <c r="AR54" s="27" t="s">
        <v>273</v>
      </c>
      <c r="AS54" s="27" t="s">
        <v>273</v>
      </c>
      <c r="AT54" s="27" t="s">
        <v>273</v>
      </c>
    </row>
    <row r="55" spans="3:51" ht="14" hidden="1" outlineLevel="1" collapsed="1">
      <c r="C55" s="6" t="s">
        <v>296</v>
      </c>
      <c r="D55" s="6" t="s">
        <v>241</v>
      </c>
      <c r="H55" s="11" t="s">
        <v>251</v>
      </c>
      <c r="J55" s="26" t="s">
        <v>277</v>
      </c>
      <c r="K55" s="48" t="s">
        <v>277</v>
      </c>
      <c r="P55" s="59">
        <f>start_year</f>
        <v>43831</v>
      </c>
      <c r="Q55" s="59">
        <f>EDATE(P55,12)</f>
        <v>44197</v>
      </c>
      <c r="R55" s="59">
        <f t="shared" ref="R55:AT55" si="2">EDATE(Q55,12)</f>
        <v>44562</v>
      </c>
      <c r="S55" s="59">
        <f t="shared" si="2"/>
        <v>44927</v>
      </c>
      <c r="T55" s="59">
        <f t="shared" si="2"/>
        <v>45292</v>
      </c>
      <c r="U55" s="59">
        <f t="shared" si="2"/>
        <v>45658</v>
      </c>
      <c r="V55" s="59">
        <f t="shared" si="2"/>
        <v>46023</v>
      </c>
      <c r="W55" s="59">
        <f t="shared" si="2"/>
        <v>46388</v>
      </c>
      <c r="X55" s="59">
        <f t="shared" si="2"/>
        <v>46753</v>
      </c>
      <c r="Y55" s="59">
        <f t="shared" si="2"/>
        <v>47119</v>
      </c>
      <c r="Z55" s="59">
        <f t="shared" si="2"/>
        <v>47484</v>
      </c>
      <c r="AA55" s="59">
        <f t="shared" si="2"/>
        <v>47849</v>
      </c>
      <c r="AB55" s="59">
        <f t="shared" si="2"/>
        <v>48214</v>
      </c>
      <c r="AC55" s="59">
        <f t="shared" si="2"/>
        <v>48580</v>
      </c>
      <c r="AD55" s="59">
        <f t="shared" si="2"/>
        <v>48945</v>
      </c>
      <c r="AE55" s="59">
        <f t="shared" si="2"/>
        <v>49310</v>
      </c>
      <c r="AF55" s="59">
        <f t="shared" si="2"/>
        <v>49675</v>
      </c>
      <c r="AG55" s="59">
        <f t="shared" si="2"/>
        <v>50041</v>
      </c>
      <c r="AH55" s="59">
        <f t="shared" si="2"/>
        <v>50406</v>
      </c>
      <c r="AI55" s="59">
        <f t="shared" si="2"/>
        <v>50771</v>
      </c>
      <c r="AJ55" s="59">
        <f t="shared" si="2"/>
        <v>51136</v>
      </c>
      <c r="AK55" s="59">
        <f t="shared" si="2"/>
        <v>51502</v>
      </c>
      <c r="AL55" s="59">
        <f t="shared" si="2"/>
        <v>51867</v>
      </c>
      <c r="AM55" s="59">
        <f t="shared" si="2"/>
        <v>52232</v>
      </c>
      <c r="AN55" s="59">
        <f t="shared" si="2"/>
        <v>52597</v>
      </c>
      <c r="AO55" s="59">
        <f t="shared" si="2"/>
        <v>52963</v>
      </c>
      <c r="AP55" s="59">
        <f t="shared" si="2"/>
        <v>53328</v>
      </c>
      <c r="AQ55" s="59">
        <f t="shared" si="2"/>
        <v>53693</v>
      </c>
      <c r="AR55" s="59">
        <f t="shared" si="2"/>
        <v>54058</v>
      </c>
      <c r="AS55" s="59">
        <f t="shared" si="2"/>
        <v>54424</v>
      </c>
      <c r="AT55" s="59">
        <f t="shared" si="2"/>
        <v>54789</v>
      </c>
      <c r="AU55" s="27"/>
      <c r="AV55" s="27"/>
      <c r="AW55" s="27"/>
      <c r="AX55" s="27"/>
      <c r="AY55" s="27"/>
    </row>
    <row r="56" spans="3:51" hidden="1" outlineLevel="1">
      <c r="C56" s="19"/>
      <c r="D56" s="19"/>
      <c r="H56" s="3"/>
      <c r="J56" s="88"/>
      <c r="K56" s="37"/>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row>
    <row r="57" spans="3:51" hidden="1" outlineLevel="1">
      <c r="C57" s="19"/>
      <c r="D57" s="19"/>
      <c r="H57" s="3"/>
      <c r="J57" s="88"/>
      <c r="K57" s="37"/>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row>
    <row r="58" spans="3:51" hidden="1" outlineLevel="1">
      <c r="C58" s="19"/>
      <c r="D58" s="19"/>
      <c r="H58" s="3"/>
      <c r="J58" s="88"/>
      <c r="K58" s="37"/>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row>
    <row r="59" spans="3:51" hidden="1" outlineLevel="1">
      <c r="C59" s="19"/>
      <c r="D59" s="19"/>
      <c r="H59" s="3"/>
      <c r="J59" s="88"/>
      <c r="K59" s="37"/>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row>
    <row r="60" spans="3:51" hidden="1" outlineLevel="1">
      <c r="C60" s="19"/>
      <c r="D60" s="19"/>
      <c r="H60" s="3"/>
      <c r="J60" s="88"/>
      <c r="K60" s="37"/>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row>
    <row r="61" spans="3:51" hidden="1" outlineLevel="1">
      <c r="C61" s="19"/>
      <c r="D61" s="19"/>
      <c r="H61" s="3"/>
      <c r="J61" s="88"/>
      <c r="K61" s="37"/>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row>
    <row r="62" spans="3:51" hidden="1" outlineLevel="1">
      <c r="C62" s="19"/>
      <c r="D62" s="19"/>
      <c r="H62" s="3"/>
      <c r="J62" s="88"/>
      <c r="K62" s="37"/>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row>
    <row r="63" spans="3:51" hidden="1" outlineLevel="1">
      <c r="C63" s="19"/>
      <c r="D63" s="19"/>
      <c r="H63" s="3"/>
      <c r="J63" s="88"/>
      <c r="K63" s="37"/>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row>
    <row r="64" spans="3:51" hidden="1" outlineLevel="1">
      <c r="C64" s="19"/>
      <c r="D64" s="19"/>
      <c r="H64" s="3"/>
      <c r="J64" s="88"/>
      <c r="K64" s="37"/>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row>
    <row r="65" spans="3:46" hidden="1" outlineLevel="1">
      <c r="C65" s="19"/>
      <c r="D65" s="19"/>
      <c r="H65" s="3"/>
      <c r="J65" s="88"/>
      <c r="K65" s="37"/>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row>
    <row r="66" spans="3:46" hidden="1" outlineLevel="1">
      <c r="C66" s="19"/>
      <c r="D66" s="19"/>
      <c r="H66" s="3"/>
      <c r="J66" s="88"/>
      <c r="K66" s="37"/>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row>
    <row r="67" spans="3:46" hidden="1" outlineLevel="1">
      <c r="C67" s="19"/>
      <c r="D67" s="19"/>
      <c r="H67" s="3"/>
      <c r="J67" s="88"/>
      <c r="K67" s="37"/>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row>
    <row r="68" spans="3:46" hidden="1" outlineLevel="1">
      <c r="C68" s="19"/>
      <c r="D68" s="19"/>
      <c r="H68" s="3"/>
      <c r="J68" s="88"/>
      <c r="K68" s="37"/>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row>
    <row r="69" spans="3:46" hidden="1" outlineLevel="1">
      <c r="C69" s="19"/>
      <c r="D69" s="19"/>
      <c r="H69" s="3"/>
      <c r="J69" s="88"/>
      <c r="K69" s="37"/>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row>
    <row r="70" spans="3:46" hidden="1" outlineLevel="1">
      <c r="C70" s="19"/>
      <c r="D70" s="19"/>
      <c r="H70" s="3"/>
      <c r="J70" s="88"/>
      <c r="K70" s="37"/>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row>
    <row r="71" spans="3:46" hidden="1" outlineLevel="1">
      <c r="C71" s="19"/>
      <c r="D71" s="19"/>
      <c r="H71" s="3"/>
      <c r="J71" s="88"/>
      <c r="K71" s="37"/>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row>
    <row r="72" spans="3:46" hidden="1" outlineLevel="1">
      <c r="C72" s="19"/>
      <c r="D72" s="19"/>
      <c r="H72" s="3"/>
      <c r="J72" s="88"/>
      <c r="K72" s="37"/>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row>
    <row r="73" spans="3:46" hidden="1" outlineLevel="1">
      <c r="C73" s="19"/>
      <c r="D73" s="19"/>
      <c r="H73" s="3"/>
      <c r="J73" s="88"/>
      <c r="K73" s="37"/>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row>
    <row r="74" spans="3:46" hidden="1" outlineLevel="1">
      <c r="C74" s="19"/>
      <c r="D74" s="19"/>
      <c r="H74" s="3"/>
      <c r="J74" s="88"/>
      <c r="K74" s="37"/>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row>
    <row r="75" spans="3:46" hidden="1" outlineLevel="1">
      <c r="C75" s="19"/>
      <c r="D75" s="19"/>
      <c r="H75" s="3"/>
      <c r="J75" s="88"/>
      <c r="K75" s="37"/>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row>
    <row r="76" spans="3:46" hidden="1" outlineLevel="1">
      <c r="C76" s="19"/>
      <c r="D76" s="19"/>
      <c r="H76" s="3"/>
      <c r="J76" s="88"/>
      <c r="K76" s="37"/>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row>
    <row r="77" spans="3:46" hidden="1" outlineLevel="1">
      <c r="C77" s="19"/>
      <c r="D77" s="19"/>
      <c r="H77" s="3"/>
      <c r="J77" s="88"/>
      <c r="K77" s="37"/>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row>
    <row r="78" spans="3:46" hidden="1" outlineLevel="1">
      <c r="C78" s="19"/>
      <c r="D78" s="19"/>
      <c r="H78" s="3"/>
      <c r="J78" s="88"/>
      <c r="K78" s="37"/>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row>
    <row r="79" spans="3:46" hidden="1" outlineLevel="1">
      <c r="C79" s="19"/>
      <c r="D79" s="19"/>
      <c r="H79" s="3"/>
      <c r="J79" s="88"/>
      <c r="K79" s="37"/>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row>
    <row r="80" spans="3:46" hidden="1" outlineLevel="1">
      <c r="C80" s="19"/>
      <c r="D80" s="19"/>
      <c r="H80" s="3"/>
      <c r="J80" s="88"/>
      <c r="K80" s="37"/>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row>
    <row r="81" collapsed="1"/>
  </sheetData>
  <conditionalFormatting sqref="F12:F17">
    <cfRule type="cellIs" dxfId="57" priority="3" operator="equal">
      <formula>FALSE</formula>
    </cfRule>
  </conditionalFormatting>
  <dataValidations count="6">
    <dataValidation type="list" allowBlank="1" showInputMessage="1" showErrorMessage="1" sqref="J12:J17" xr:uid="{3CEFBE5B-AF6D-6E49-8688-7221EC184008}">
      <formula1>"up,down"</formula1>
    </dataValidation>
    <dataValidation type="list" allowBlank="1" showInputMessage="1" showErrorMessage="1" sqref="K12:K17" xr:uid="{0C1EEFBE-41BA-B346-8214-4456A5716EC1}">
      <formula1>"TRUE,FALSE"</formula1>
    </dataValidation>
    <dataValidation type="list" allowBlank="1" showInputMessage="1" showErrorMessage="1" sqref="D56:D80 D36 C32:C35 D44:D49" xr:uid="{CD4A99F9-793E-6646-BF85-2E1BBD5D95E9}">
      <formula1>OFFSET(lists_reserves,0,0,COUNTA(lists_reserves))</formula1>
    </dataValidation>
    <dataValidation type="list" allowBlank="1" showInputMessage="1" showErrorMessage="1" sqref="C56:C80 C36 C44:C49" xr:uid="{E0E6F00F-4801-D843-96BF-1A15488F7E46}">
      <formula1>OFFSET(lists_resources,0,0,COUNTA(lists_resources))</formula1>
    </dataValidation>
    <dataValidation type="list" allowBlank="1" showInputMessage="1" showErrorMessage="1" sqref="D32:D35" xr:uid="{66B3D65A-1FC0-6241-AD0F-8140BA6DBD54}">
      <formula1>OFFSET(lists_zones,,,COUNTA(lists_zones))</formula1>
    </dataValidation>
    <dataValidation type="list" allowBlank="1" showInputMessage="1" showErrorMessage="1" sqref="J56:J80" xr:uid="{E8A95354-31FF-2E47-8F03-BD7125F30B55}">
      <formula1>"operational capacity,hourly profile"</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686" id="{F9FFDE50-3C80-C842-A2AC-48F31AACABC9}">
            <xm:f>ISNUMBER(MATCH(H12,'RESOLVE Case Settings'!$C$19:$C$42,0))</xm:f>
            <x14:dxf>
              <font>
                <color rgb="FF006100"/>
              </font>
              <fill>
                <patternFill>
                  <bgColor rgb="FFC6EFCE"/>
                </patternFill>
              </fill>
            </x14:dxf>
          </x14:cfRule>
          <xm:sqref>H12:H17 H44:H49 H56:H80 H32:H36</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40DB2-2943-AC41-B38F-4A5AC7D3E561}">
  <sheetPr codeName="Sheet3">
    <tabColor rgb="FF00B050"/>
  </sheetPr>
  <dimension ref="A1:I9"/>
  <sheetViews>
    <sheetView showGridLines="0" workbookViewId="0">
      <selection activeCell="H19" sqref="H19"/>
    </sheetView>
  </sheetViews>
  <sheetFormatPr baseColWidth="10" defaultColWidth="11" defaultRowHeight="12"/>
  <cols>
    <col min="2" max="2" width="12.796875" bestFit="1" customWidth="1"/>
  </cols>
  <sheetData>
    <row r="1" spans="1:9" s="5" customFormat="1" ht="29" thickBot="1">
      <c r="A1" s="5" t="s">
        <v>302</v>
      </c>
    </row>
    <row r="5" spans="1:9">
      <c r="B5" s="15" t="s">
        <v>303</v>
      </c>
    </row>
    <row r="7" spans="1:9">
      <c r="B7" s="8" t="s">
        <v>304</v>
      </c>
      <c r="C7" s="145"/>
      <c r="D7" s="145"/>
      <c r="E7" s="145"/>
      <c r="F7" s="145"/>
      <c r="G7" s="145"/>
      <c r="H7" s="145"/>
      <c r="I7" s="145"/>
    </row>
    <row r="8" spans="1:9">
      <c r="B8" s="8" t="s">
        <v>305</v>
      </c>
      <c r="C8" s="145"/>
      <c r="D8" s="145"/>
      <c r="E8" s="145"/>
      <c r="F8" s="145"/>
      <c r="G8" s="145"/>
      <c r="H8" s="145"/>
      <c r="I8" s="145"/>
    </row>
    <row r="9" spans="1:9">
      <c r="B9" s="8" t="s">
        <v>306</v>
      </c>
      <c r="C9" s="145"/>
      <c r="D9" s="145"/>
      <c r="E9" s="145"/>
      <c r="F9" s="145"/>
      <c r="G9" s="145"/>
      <c r="H9" s="145"/>
      <c r="I9" s="145"/>
    </row>
  </sheetData>
  <mergeCells count="3">
    <mergeCell ref="C7:I7"/>
    <mergeCell ref="C8:I8"/>
    <mergeCell ref="C9:I9"/>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F7AAA-9B81-EE43-9D8A-2B8060C79C8F}">
  <sheetPr codeName="Sheet10">
    <tabColor theme="7" tint="0.79998168889431442"/>
  </sheetPr>
  <dimension ref="A1:BT83"/>
  <sheetViews>
    <sheetView showGridLines="0" zoomScale="70" zoomScaleNormal="70" workbookViewId="0">
      <selection activeCell="T16" sqref="T16"/>
    </sheetView>
  </sheetViews>
  <sheetFormatPr baseColWidth="10" defaultColWidth="11" defaultRowHeight="12" outlineLevelRow="2" outlineLevelCol="1"/>
  <cols>
    <col min="1" max="2" width="3" customWidth="1"/>
    <col min="3" max="3" width="34.59765625" bestFit="1" customWidth="1"/>
    <col min="4" max="4" width="34.59765625" customWidth="1"/>
    <col min="5" max="5" width="3" customWidth="1"/>
    <col min="6" max="6" width="26.59765625" bestFit="1" customWidth="1"/>
    <col min="7" max="7" width="3" customWidth="1"/>
    <col min="8" max="8" width="33" bestFit="1" customWidth="1"/>
    <col min="9" max="9" width="3" customWidth="1"/>
    <col min="10" max="10" width="16" customWidth="1"/>
    <col min="11" max="12" width="16" hidden="1" customWidth="1" outlineLevel="1"/>
    <col min="13" max="13" width="16" customWidth="1" collapsed="1"/>
    <col min="14" max="14" width="16" customWidth="1"/>
    <col min="15" max="15" width="16" customWidth="1" collapsed="1"/>
    <col min="16" max="16" width="16" customWidth="1"/>
    <col min="17" max="17" width="16" hidden="1" customWidth="1" outlineLevel="1"/>
    <col min="18" max="18" width="16" customWidth="1" collapsed="1"/>
    <col min="19" max="19" width="16" hidden="1" customWidth="1" outlineLevel="1"/>
    <col min="20" max="20" width="16" customWidth="1" collapsed="1"/>
    <col min="21" max="21" width="16" hidden="1" customWidth="1" outlineLevel="1"/>
    <col min="22" max="22" width="16" customWidth="1" collapsed="1"/>
    <col min="23" max="23" width="16" customWidth="1"/>
    <col min="24" max="24" width="16" hidden="1" customWidth="1" outlineLevel="1"/>
    <col min="25" max="25" width="16" customWidth="1" collapsed="1"/>
    <col min="26" max="28" width="16" hidden="1" customWidth="1" outlineLevel="1"/>
    <col min="29" max="30" width="16" customWidth="1" collapsed="1"/>
    <col min="31" max="34" width="16" hidden="1" customWidth="1" outlineLevel="1"/>
    <col min="35" max="35" width="16" customWidth="1" collapsed="1"/>
    <col min="36" max="39" width="16" hidden="1" customWidth="1" outlineLevel="1"/>
    <col min="40" max="40" width="16" customWidth="1" collapsed="1"/>
    <col min="41" max="41" width="3" customWidth="1"/>
    <col min="42" max="42" width="16" customWidth="1"/>
    <col min="43" max="44" width="16" hidden="1" customWidth="1" outlineLevel="1"/>
    <col min="45" max="45" width="16" customWidth="1" collapsed="1"/>
    <col min="46" max="48" width="16" customWidth="1"/>
    <col min="49" max="49" width="16" hidden="1" customWidth="1" outlineLevel="1"/>
    <col min="50" max="50" width="16" customWidth="1" collapsed="1"/>
    <col min="51" max="51" width="16" hidden="1" customWidth="1" outlineLevel="1"/>
    <col min="52" max="52" width="16" customWidth="1" collapsed="1"/>
    <col min="53" max="53" width="16" hidden="1" customWidth="1" outlineLevel="1"/>
    <col min="54" max="54" width="16" customWidth="1" collapsed="1"/>
    <col min="55" max="55" width="16" customWidth="1"/>
    <col min="56" max="56" width="16" hidden="1" customWidth="1" outlineLevel="1"/>
    <col min="57" max="57" width="16" customWidth="1" collapsed="1"/>
    <col min="58" max="60" width="16" hidden="1" customWidth="1" outlineLevel="1"/>
    <col min="61" max="61" width="16" customWidth="1" collapsed="1"/>
    <col min="62" max="62" width="16" customWidth="1"/>
    <col min="63" max="66" width="16" hidden="1" customWidth="1" outlineLevel="1"/>
    <col min="67" max="67" width="16" customWidth="1" collapsed="1"/>
    <col min="68" max="71" width="16" hidden="1" customWidth="1" outlineLevel="1"/>
    <col min="72" max="72" width="16" customWidth="1" collapsed="1"/>
  </cols>
  <sheetData>
    <row r="1" spans="1:72" s="5" customFormat="1" ht="29" thickBot="1">
      <c r="A1" s="5" t="s">
        <v>307</v>
      </c>
    </row>
    <row r="5" spans="1:72" ht="19" thickBot="1">
      <c r="B5" s="9" t="s">
        <v>308</v>
      </c>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row>
    <row r="8" spans="1:72" ht="13">
      <c r="E8" s="16"/>
      <c r="G8" s="16"/>
      <c r="J8" s="6" t="s">
        <v>309</v>
      </c>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P8" s="84" t="s">
        <v>310</v>
      </c>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row>
    <row r="9" spans="1:72" s="27" customFormat="1" hidden="1" outlineLevel="1">
      <c r="C9" s="27" t="s">
        <v>311</v>
      </c>
      <c r="H9"/>
      <c r="J9" s="27" t="s">
        <v>312</v>
      </c>
      <c r="K9" s="27" t="s">
        <v>312</v>
      </c>
      <c r="L9" s="27" t="s">
        <v>312</v>
      </c>
      <c r="M9" s="27" t="s">
        <v>312</v>
      </c>
      <c r="N9" s="27" t="s">
        <v>312</v>
      </c>
      <c r="O9" s="27" t="s">
        <v>312</v>
      </c>
      <c r="P9" s="27" t="s">
        <v>312</v>
      </c>
      <c r="Q9" s="27" t="s">
        <v>312</v>
      </c>
      <c r="R9" s="27" t="s">
        <v>312</v>
      </c>
      <c r="S9" s="27" t="s">
        <v>312</v>
      </c>
      <c r="T9" s="27" t="s">
        <v>312</v>
      </c>
      <c r="U9" s="27" t="s">
        <v>312</v>
      </c>
      <c r="V9" s="27" t="s">
        <v>312</v>
      </c>
      <c r="W9" s="27" t="s">
        <v>312</v>
      </c>
      <c r="X9" s="27" t="s">
        <v>312</v>
      </c>
      <c r="Y9" s="27" t="s">
        <v>312</v>
      </c>
      <c r="Z9" s="27" t="s">
        <v>312</v>
      </c>
      <c r="AA9" s="27" t="s">
        <v>312</v>
      </c>
      <c r="AB9" s="27" t="s">
        <v>312</v>
      </c>
      <c r="AC9" s="27" t="s">
        <v>312</v>
      </c>
      <c r="AD9" s="27" t="s">
        <v>312</v>
      </c>
      <c r="AE9" s="27" t="s">
        <v>312</v>
      </c>
      <c r="AF9" s="27" t="s">
        <v>312</v>
      </c>
      <c r="AG9" s="27" t="s">
        <v>312</v>
      </c>
      <c r="AH9" s="27" t="s">
        <v>312</v>
      </c>
      <c r="AI9" s="27" t="s">
        <v>312</v>
      </c>
      <c r="AJ9" s="27" t="s">
        <v>312</v>
      </c>
      <c r="AK9" s="27" t="s">
        <v>312</v>
      </c>
      <c r="AL9" s="27" t="s">
        <v>312</v>
      </c>
      <c r="AM9" s="27" t="s">
        <v>312</v>
      </c>
      <c r="AN9" s="27" t="s">
        <v>312</v>
      </c>
      <c r="AP9" s="27" t="s">
        <v>313</v>
      </c>
      <c r="AQ9" s="27" t="s">
        <v>313</v>
      </c>
      <c r="AR9" s="27" t="s">
        <v>313</v>
      </c>
      <c r="AS9" s="27" t="s">
        <v>313</v>
      </c>
      <c r="AT9" s="27" t="s">
        <v>313</v>
      </c>
      <c r="AU9" s="27" t="s">
        <v>313</v>
      </c>
      <c r="AV9" s="27" t="s">
        <v>313</v>
      </c>
      <c r="AW9" s="27" t="s">
        <v>313</v>
      </c>
      <c r="AX9" s="27" t="s">
        <v>313</v>
      </c>
      <c r="AY9" s="27" t="s">
        <v>313</v>
      </c>
      <c r="AZ9" s="27" t="s">
        <v>313</v>
      </c>
      <c r="BA9" s="27" t="s">
        <v>313</v>
      </c>
      <c r="BB9" s="27" t="s">
        <v>313</v>
      </c>
      <c r="BC9" s="27" t="s">
        <v>313</v>
      </c>
      <c r="BD9" s="27" t="s">
        <v>313</v>
      </c>
      <c r="BE9" s="27" t="s">
        <v>313</v>
      </c>
      <c r="BF9" s="27" t="s">
        <v>313</v>
      </c>
      <c r="BG9" s="27" t="s">
        <v>313</v>
      </c>
      <c r="BH9" s="27" t="s">
        <v>313</v>
      </c>
      <c r="BI9" s="27" t="s">
        <v>313</v>
      </c>
      <c r="BJ9" s="27" t="s">
        <v>313</v>
      </c>
      <c r="BK9" s="27" t="s">
        <v>313</v>
      </c>
      <c r="BL9" s="27" t="s">
        <v>313</v>
      </c>
      <c r="BM9" s="27" t="s">
        <v>313</v>
      </c>
      <c r="BN9" s="27" t="s">
        <v>313</v>
      </c>
      <c r="BO9" s="27" t="s">
        <v>313</v>
      </c>
      <c r="BP9" s="27" t="s">
        <v>313</v>
      </c>
      <c r="BQ9" s="27" t="s">
        <v>313</v>
      </c>
      <c r="BR9" s="27" t="s">
        <v>313</v>
      </c>
      <c r="BS9" s="27" t="s">
        <v>313</v>
      </c>
      <c r="BT9" s="27" t="s">
        <v>313</v>
      </c>
    </row>
    <row r="10" spans="1:72" ht="42" collapsed="1">
      <c r="C10" s="6" t="s">
        <v>314</v>
      </c>
      <c r="E10" s="16"/>
      <c r="F10" s="11" t="str">
        <f>"Included in Current System ("&amp;system_name&amp;")"</f>
        <v>Included in Current System (ISONE_toy_system)</v>
      </c>
      <c r="G10" s="16"/>
      <c r="H10" s="11" t="s">
        <v>251</v>
      </c>
      <c r="J10" s="59">
        <f>start_year</f>
        <v>43831</v>
      </c>
      <c r="K10" s="59">
        <f>EDATE(J10,12)</f>
        <v>44197</v>
      </c>
      <c r="L10" s="59">
        <f t="shared" ref="L10:AN10" si="0">EDATE(K10,12)</f>
        <v>44562</v>
      </c>
      <c r="M10" s="59">
        <f t="shared" si="0"/>
        <v>44927</v>
      </c>
      <c r="N10" s="59">
        <f t="shared" si="0"/>
        <v>45292</v>
      </c>
      <c r="O10" s="59">
        <f t="shared" si="0"/>
        <v>45658</v>
      </c>
      <c r="P10" s="59">
        <f t="shared" si="0"/>
        <v>46023</v>
      </c>
      <c r="Q10" s="59">
        <f t="shared" si="0"/>
        <v>46388</v>
      </c>
      <c r="R10" s="59">
        <f t="shared" si="0"/>
        <v>46753</v>
      </c>
      <c r="S10" s="59">
        <f t="shared" si="0"/>
        <v>47119</v>
      </c>
      <c r="T10" s="59">
        <f t="shared" si="0"/>
        <v>47484</v>
      </c>
      <c r="U10" s="59">
        <f t="shared" si="0"/>
        <v>47849</v>
      </c>
      <c r="V10" s="59">
        <f t="shared" si="0"/>
        <v>48214</v>
      </c>
      <c r="W10" s="59">
        <f t="shared" si="0"/>
        <v>48580</v>
      </c>
      <c r="X10" s="59">
        <f t="shared" si="0"/>
        <v>48945</v>
      </c>
      <c r="Y10" s="59">
        <f t="shared" si="0"/>
        <v>49310</v>
      </c>
      <c r="Z10" s="59">
        <f t="shared" si="0"/>
        <v>49675</v>
      </c>
      <c r="AA10" s="59">
        <f t="shared" si="0"/>
        <v>50041</v>
      </c>
      <c r="AB10" s="59">
        <f t="shared" si="0"/>
        <v>50406</v>
      </c>
      <c r="AC10" s="59">
        <f t="shared" si="0"/>
        <v>50771</v>
      </c>
      <c r="AD10" s="59">
        <f t="shared" si="0"/>
        <v>51136</v>
      </c>
      <c r="AE10" s="59">
        <f t="shared" si="0"/>
        <v>51502</v>
      </c>
      <c r="AF10" s="59">
        <f t="shared" si="0"/>
        <v>51867</v>
      </c>
      <c r="AG10" s="59">
        <f t="shared" si="0"/>
        <v>52232</v>
      </c>
      <c r="AH10" s="59">
        <f t="shared" si="0"/>
        <v>52597</v>
      </c>
      <c r="AI10" s="59">
        <f t="shared" si="0"/>
        <v>52963</v>
      </c>
      <c r="AJ10" s="59">
        <f t="shared" si="0"/>
        <v>53328</v>
      </c>
      <c r="AK10" s="59">
        <f t="shared" si="0"/>
        <v>53693</v>
      </c>
      <c r="AL10" s="59">
        <f t="shared" si="0"/>
        <v>54058</v>
      </c>
      <c r="AM10" s="59">
        <f t="shared" si="0"/>
        <v>54424</v>
      </c>
      <c r="AN10" s="59">
        <f t="shared" si="0"/>
        <v>54789</v>
      </c>
      <c r="AP10" s="59">
        <f>start_year</f>
        <v>43831</v>
      </c>
      <c r="AQ10" s="59">
        <f>EDATE(AP10,12)</f>
        <v>44197</v>
      </c>
      <c r="AR10" s="59">
        <f t="shared" ref="AR10:BT10" si="1">EDATE(AQ10,12)</f>
        <v>44562</v>
      </c>
      <c r="AS10" s="59">
        <f t="shared" si="1"/>
        <v>44927</v>
      </c>
      <c r="AT10" s="59">
        <f t="shared" si="1"/>
        <v>45292</v>
      </c>
      <c r="AU10" s="59">
        <f t="shared" si="1"/>
        <v>45658</v>
      </c>
      <c r="AV10" s="59">
        <f t="shared" si="1"/>
        <v>46023</v>
      </c>
      <c r="AW10" s="59">
        <f t="shared" si="1"/>
        <v>46388</v>
      </c>
      <c r="AX10" s="59">
        <f t="shared" si="1"/>
        <v>46753</v>
      </c>
      <c r="AY10" s="59">
        <f t="shared" si="1"/>
        <v>47119</v>
      </c>
      <c r="AZ10" s="59">
        <f t="shared" si="1"/>
        <v>47484</v>
      </c>
      <c r="BA10" s="59">
        <f t="shared" si="1"/>
        <v>47849</v>
      </c>
      <c r="BB10" s="59">
        <f t="shared" si="1"/>
        <v>48214</v>
      </c>
      <c r="BC10" s="59">
        <f t="shared" si="1"/>
        <v>48580</v>
      </c>
      <c r="BD10" s="59">
        <f t="shared" si="1"/>
        <v>48945</v>
      </c>
      <c r="BE10" s="59">
        <f t="shared" si="1"/>
        <v>49310</v>
      </c>
      <c r="BF10" s="59">
        <f t="shared" si="1"/>
        <v>49675</v>
      </c>
      <c r="BG10" s="59">
        <f t="shared" si="1"/>
        <v>50041</v>
      </c>
      <c r="BH10" s="59">
        <f t="shared" si="1"/>
        <v>50406</v>
      </c>
      <c r="BI10" s="59">
        <f t="shared" si="1"/>
        <v>50771</v>
      </c>
      <c r="BJ10" s="59">
        <f t="shared" si="1"/>
        <v>51136</v>
      </c>
      <c r="BK10" s="59">
        <f t="shared" si="1"/>
        <v>51502</v>
      </c>
      <c r="BL10" s="59">
        <f t="shared" si="1"/>
        <v>51867</v>
      </c>
      <c r="BM10" s="59">
        <f t="shared" si="1"/>
        <v>52232</v>
      </c>
      <c r="BN10" s="59">
        <f t="shared" si="1"/>
        <v>52597</v>
      </c>
      <c r="BO10" s="59">
        <f t="shared" si="1"/>
        <v>52963</v>
      </c>
      <c r="BP10" s="59">
        <f t="shared" si="1"/>
        <v>53328</v>
      </c>
      <c r="BQ10" s="59">
        <f t="shared" si="1"/>
        <v>53693</v>
      </c>
      <c r="BR10" s="59">
        <f t="shared" si="1"/>
        <v>54058</v>
      </c>
      <c r="BS10" s="59">
        <f t="shared" si="1"/>
        <v>54424</v>
      </c>
      <c r="BT10" s="59">
        <f t="shared" si="1"/>
        <v>54789</v>
      </c>
    </row>
    <row r="11" spans="1:72">
      <c r="C11" s="3"/>
      <c r="F11" s="39" t="str">
        <f>IF(ISBLANK($C11),"-/-",COUNTIFS(component_names,$C11,component_types,$C$9)&gt;0)</f>
        <v>-/-</v>
      </c>
      <c r="H11" s="3"/>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c r="BR11" s="25"/>
      <c r="BS11" s="25"/>
      <c r="BT11" s="25"/>
    </row>
    <row r="12" spans="1:72">
      <c r="C12" s="3"/>
      <c r="F12" s="39" t="str">
        <f t="shared" ref="F12:F16" si="2">IF(ISBLANK($C12),"-/-",COUNTIFS(component_names,$C12,component_types,$C$9)&gt;0)</f>
        <v>-/-</v>
      </c>
      <c r="H12" s="3"/>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P12" s="25"/>
      <c r="AQ12" s="25"/>
      <c r="AR12" s="25"/>
      <c r="AS12" s="25"/>
      <c r="AT12" s="25"/>
      <c r="AU12" s="25"/>
      <c r="AV12" s="25"/>
      <c r="AW12" s="25"/>
      <c r="AX12" s="25"/>
      <c r="AY12" s="25"/>
      <c r="AZ12" s="25"/>
      <c r="BA12" s="25"/>
      <c r="BB12" s="25"/>
      <c r="BC12" s="25"/>
      <c r="BD12" s="25"/>
      <c r="BE12" s="25"/>
      <c r="BF12" s="25"/>
      <c r="BG12" s="25"/>
      <c r="BH12" s="25"/>
      <c r="BI12" s="25"/>
      <c r="BJ12" s="25"/>
      <c r="BK12" s="25"/>
      <c r="BL12" s="25"/>
      <c r="BM12" s="25"/>
      <c r="BN12" s="25"/>
      <c r="BO12" s="25"/>
      <c r="BP12" s="25"/>
      <c r="BQ12" s="25"/>
      <c r="BR12" s="25"/>
      <c r="BS12" s="25"/>
      <c r="BT12" s="25"/>
    </row>
    <row r="13" spans="1:72">
      <c r="C13" s="3"/>
      <c r="F13" s="39" t="str">
        <f t="shared" si="2"/>
        <v>-/-</v>
      </c>
      <c r="H13" s="3"/>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P13" s="25"/>
      <c r="AQ13" s="25"/>
      <c r="AR13" s="25"/>
      <c r="AS13" s="25"/>
      <c r="AT13" s="25"/>
      <c r="AU13" s="25"/>
      <c r="AV13" s="25"/>
      <c r="AW13" s="25"/>
      <c r="AX13" s="25"/>
      <c r="AY13" s="25"/>
      <c r="AZ13" s="25"/>
      <c r="BA13" s="25"/>
      <c r="BB13" s="25"/>
      <c r="BC13" s="25"/>
      <c r="BD13" s="25"/>
      <c r="BE13" s="25"/>
      <c r="BF13" s="25"/>
      <c r="BG13" s="25"/>
      <c r="BH13" s="25"/>
      <c r="BI13" s="25"/>
      <c r="BJ13" s="25"/>
      <c r="BK13" s="25"/>
      <c r="BL13" s="25"/>
      <c r="BM13" s="25"/>
      <c r="BN13" s="25"/>
      <c r="BO13" s="25"/>
      <c r="BP13" s="25"/>
      <c r="BQ13" s="25"/>
      <c r="BR13" s="25"/>
      <c r="BS13" s="25"/>
      <c r="BT13" s="25"/>
    </row>
    <row r="14" spans="1:72">
      <c r="C14" s="3"/>
      <c r="F14" s="39" t="str">
        <f t="shared" si="2"/>
        <v>-/-</v>
      </c>
      <c r="H14" s="3"/>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row>
    <row r="15" spans="1:72">
      <c r="C15" s="3"/>
      <c r="F15" s="39" t="str">
        <f t="shared" si="2"/>
        <v>-/-</v>
      </c>
      <c r="H15" s="3"/>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c r="BR15" s="25"/>
      <c r="BS15" s="25"/>
      <c r="BT15" s="25"/>
    </row>
    <row r="16" spans="1:72">
      <c r="C16" s="3"/>
      <c r="F16" s="39" t="str">
        <f t="shared" si="2"/>
        <v>-/-</v>
      </c>
      <c r="H16" s="3"/>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row>
    <row r="17" spans="2:72">
      <c r="BO17" s="32"/>
    </row>
    <row r="19" spans="2:72" ht="19" thickBot="1">
      <c r="B19" s="9" t="s">
        <v>315</v>
      </c>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row>
    <row r="21" spans="2:72" ht="13">
      <c r="J21" s="6" t="s">
        <v>316</v>
      </c>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row>
    <row r="22" spans="2:72" s="27" customFormat="1" hidden="1" outlineLevel="1">
      <c r="C22" s="27" t="s">
        <v>317</v>
      </c>
      <c r="D22" s="27" t="s">
        <v>318</v>
      </c>
      <c r="F22"/>
      <c r="J22" s="27" t="s">
        <v>319</v>
      </c>
      <c r="K22" s="27" t="s">
        <v>319</v>
      </c>
      <c r="L22" s="27" t="s">
        <v>319</v>
      </c>
      <c r="M22" s="27" t="s">
        <v>319</v>
      </c>
      <c r="N22" s="27" t="s">
        <v>319</v>
      </c>
      <c r="O22" s="27" t="s">
        <v>319</v>
      </c>
      <c r="P22" s="27" t="s">
        <v>319</v>
      </c>
      <c r="Q22" s="27" t="s">
        <v>319</v>
      </c>
      <c r="R22" s="27" t="s">
        <v>319</v>
      </c>
      <c r="S22" s="27" t="s">
        <v>319</v>
      </c>
      <c r="T22" s="27" t="s">
        <v>319</v>
      </c>
      <c r="U22" s="27" t="s">
        <v>319</v>
      </c>
      <c r="V22" s="27" t="s">
        <v>319</v>
      </c>
      <c r="W22" s="27" t="s">
        <v>319</v>
      </c>
      <c r="X22" s="27" t="s">
        <v>319</v>
      </c>
      <c r="Y22" s="27" t="s">
        <v>319</v>
      </c>
      <c r="Z22" s="27" t="s">
        <v>319</v>
      </c>
      <c r="AA22" s="27" t="s">
        <v>319</v>
      </c>
      <c r="AB22" s="27" t="s">
        <v>319</v>
      </c>
      <c r="AC22" s="27" t="s">
        <v>319</v>
      </c>
      <c r="AD22" s="27" t="s">
        <v>319</v>
      </c>
      <c r="AE22" s="27" t="s">
        <v>319</v>
      </c>
      <c r="AF22" s="27" t="s">
        <v>319</v>
      </c>
      <c r="AG22" s="27" t="s">
        <v>319</v>
      </c>
      <c r="AH22" s="27" t="s">
        <v>319</v>
      </c>
      <c r="AI22" s="27" t="s">
        <v>319</v>
      </c>
      <c r="AJ22" s="27" t="s">
        <v>319</v>
      </c>
      <c r="AK22" s="27" t="s">
        <v>319</v>
      </c>
      <c r="AL22" s="27" t="s">
        <v>319</v>
      </c>
      <c r="AM22" s="27" t="s">
        <v>319</v>
      </c>
      <c r="AN22" s="27" t="s">
        <v>319</v>
      </c>
    </row>
    <row r="23" spans="2:72" ht="14" collapsed="1">
      <c r="C23" s="6" t="s">
        <v>255</v>
      </c>
      <c r="D23" s="6" t="s">
        <v>318</v>
      </c>
      <c r="H23" s="11" t="s">
        <v>251</v>
      </c>
      <c r="I23" s="16"/>
      <c r="J23" s="59">
        <f>start_year</f>
        <v>43831</v>
      </c>
      <c r="K23" s="59">
        <f>EDATE(J23,12)</f>
        <v>44197</v>
      </c>
      <c r="L23" s="59">
        <f t="shared" ref="L23:AN23" si="3">EDATE(K23,12)</f>
        <v>44562</v>
      </c>
      <c r="M23" s="59">
        <f t="shared" si="3"/>
        <v>44927</v>
      </c>
      <c r="N23" s="59">
        <f t="shared" si="3"/>
        <v>45292</v>
      </c>
      <c r="O23" s="59">
        <f t="shared" si="3"/>
        <v>45658</v>
      </c>
      <c r="P23" s="59">
        <f t="shared" si="3"/>
        <v>46023</v>
      </c>
      <c r="Q23" s="59">
        <f t="shared" si="3"/>
        <v>46388</v>
      </c>
      <c r="R23" s="59">
        <f t="shared" si="3"/>
        <v>46753</v>
      </c>
      <c r="S23" s="59">
        <f t="shared" si="3"/>
        <v>47119</v>
      </c>
      <c r="T23" s="59">
        <f t="shared" si="3"/>
        <v>47484</v>
      </c>
      <c r="U23" s="59">
        <f t="shared" si="3"/>
        <v>47849</v>
      </c>
      <c r="V23" s="59">
        <f t="shared" si="3"/>
        <v>48214</v>
      </c>
      <c r="W23" s="59">
        <f t="shared" si="3"/>
        <v>48580</v>
      </c>
      <c r="X23" s="59">
        <f t="shared" si="3"/>
        <v>48945</v>
      </c>
      <c r="Y23" s="59">
        <f t="shared" si="3"/>
        <v>49310</v>
      </c>
      <c r="Z23" s="59">
        <f t="shared" si="3"/>
        <v>49675</v>
      </c>
      <c r="AA23" s="59">
        <f t="shared" si="3"/>
        <v>50041</v>
      </c>
      <c r="AB23" s="59">
        <f t="shared" si="3"/>
        <v>50406</v>
      </c>
      <c r="AC23" s="59">
        <f t="shared" si="3"/>
        <v>50771</v>
      </c>
      <c r="AD23" s="59">
        <f t="shared" si="3"/>
        <v>51136</v>
      </c>
      <c r="AE23" s="59">
        <f t="shared" si="3"/>
        <v>51502</v>
      </c>
      <c r="AF23" s="59">
        <f t="shared" si="3"/>
        <v>51867</v>
      </c>
      <c r="AG23" s="59">
        <f t="shared" si="3"/>
        <v>52232</v>
      </c>
      <c r="AH23" s="59">
        <f t="shared" si="3"/>
        <v>52597</v>
      </c>
      <c r="AI23" s="59">
        <f t="shared" si="3"/>
        <v>52963</v>
      </c>
      <c r="AJ23" s="59">
        <f t="shared" si="3"/>
        <v>53328</v>
      </c>
      <c r="AK23" s="59">
        <f t="shared" si="3"/>
        <v>53693</v>
      </c>
      <c r="AL23" s="59">
        <f t="shared" si="3"/>
        <v>54058</v>
      </c>
      <c r="AM23" s="59">
        <f t="shared" si="3"/>
        <v>54424</v>
      </c>
      <c r="AN23" s="59">
        <f t="shared" si="3"/>
        <v>54789</v>
      </c>
    </row>
    <row r="24" spans="2:72">
      <c r="C24" s="19"/>
      <c r="D24" s="19" t="s">
        <v>320</v>
      </c>
      <c r="H24" s="3"/>
      <c r="I24" s="16"/>
      <c r="J24" s="42"/>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row>
    <row r="25" spans="2:72">
      <c r="C25" s="19"/>
      <c r="D25" s="19" t="s">
        <v>320</v>
      </c>
      <c r="H25" s="3"/>
      <c r="I25" s="16"/>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42"/>
      <c r="AK25" s="42"/>
      <c r="AL25" s="42"/>
      <c r="AM25" s="42"/>
      <c r="AN25" s="42"/>
    </row>
    <row r="26" spans="2:72">
      <c r="C26" s="19"/>
      <c r="D26" s="19" t="s">
        <v>320</v>
      </c>
      <c r="H26" s="3"/>
      <c r="I26" s="16"/>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row>
    <row r="27" spans="2:72" ht="27" customHeight="1">
      <c r="AP27" s="32"/>
      <c r="AQ27" s="32"/>
      <c r="AR27" s="32"/>
    </row>
    <row r="28" spans="2:72" ht="13" hidden="1" outlineLevel="1">
      <c r="J28" s="6" t="s">
        <v>321</v>
      </c>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row>
    <row r="29" spans="2:72" s="27" customFormat="1" hidden="1" outlineLevel="2">
      <c r="C29" s="27" t="s">
        <v>296</v>
      </c>
      <c r="D29" s="27" t="s">
        <v>318</v>
      </c>
      <c r="F29"/>
      <c r="J29" s="27" t="s">
        <v>319</v>
      </c>
      <c r="K29" s="27" t="s">
        <v>319</v>
      </c>
      <c r="L29" s="27" t="s">
        <v>319</v>
      </c>
      <c r="M29" s="27" t="s">
        <v>319</v>
      </c>
      <c r="N29" s="27" t="s">
        <v>319</v>
      </c>
      <c r="O29" s="27" t="s">
        <v>319</v>
      </c>
      <c r="P29" s="27" t="s">
        <v>319</v>
      </c>
      <c r="Q29" s="27" t="s">
        <v>319</v>
      </c>
      <c r="R29" s="27" t="s">
        <v>319</v>
      </c>
      <c r="S29" s="27" t="s">
        <v>319</v>
      </c>
      <c r="T29" s="27" t="s">
        <v>319</v>
      </c>
      <c r="U29" s="27" t="s">
        <v>319</v>
      </c>
      <c r="V29" s="27" t="s">
        <v>319</v>
      </c>
      <c r="W29" s="27" t="s">
        <v>319</v>
      </c>
      <c r="X29" s="27" t="s">
        <v>319</v>
      </c>
      <c r="Y29" s="27" t="s">
        <v>319</v>
      </c>
      <c r="Z29" s="27" t="s">
        <v>319</v>
      </c>
      <c r="AA29" s="27" t="s">
        <v>319</v>
      </c>
      <c r="AB29" s="27" t="s">
        <v>319</v>
      </c>
      <c r="AC29" s="27" t="s">
        <v>319</v>
      </c>
      <c r="AD29" s="27" t="s">
        <v>319</v>
      </c>
      <c r="AE29" s="27" t="s">
        <v>319</v>
      </c>
      <c r="AF29" s="27" t="s">
        <v>319</v>
      </c>
      <c r="AG29" s="27" t="s">
        <v>319</v>
      </c>
      <c r="AH29" s="27" t="s">
        <v>319</v>
      </c>
      <c r="AI29" s="27" t="s">
        <v>319</v>
      </c>
      <c r="AJ29" s="27" t="s">
        <v>319</v>
      </c>
      <c r="AK29" s="27" t="s">
        <v>319</v>
      </c>
      <c r="AL29" s="27" t="s">
        <v>319</v>
      </c>
      <c r="AM29" s="27" t="s">
        <v>319</v>
      </c>
      <c r="AN29" s="27" t="s">
        <v>319</v>
      </c>
    </row>
    <row r="30" spans="2:72" ht="14" hidden="1" outlineLevel="1">
      <c r="C30" s="6" t="s">
        <v>296</v>
      </c>
      <c r="D30" s="6" t="s">
        <v>318</v>
      </c>
      <c r="H30" s="11" t="s">
        <v>251</v>
      </c>
      <c r="I30" s="16"/>
      <c r="J30" s="59">
        <f>start_year</f>
        <v>43831</v>
      </c>
      <c r="K30" s="59">
        <f>EDATE(J30,12)</f>
        <v>44197</v>
      </c>
      <c r="L30" s="59">
        <f t="shared" ref="L30" si="4">EDATE(K30,12)</f>
        <v>44562</v>
      </c>
      <c r="M30" s="59">
        <f t="shared" ref="M30" si="5">EDATE(L30,12)</f>
        <v>44927</v>
      </c>
      <c r="N30" s="59">
        <f t="shared" ref="N30" si="6">EDATE(M30,12)</f>
        <v>45292</v>
      </c>
      <c r="O30" s="59">
        <f t="shared" ref="O30" si="7">EDATE(N30,12)</f>
        <v>45658</v>
      </c>
      <c r="P30" s="59">
        <f t="shared" ref="P30" si="8">EDATE(O30,12)</f>
        <v>46023</v>
      </c>
      <c r="Q30" s="59">
        <f t="shared" ref="Q30" si="9">EDATE(P30,12)</f>
        <v>46388</v>
      </c>
      <c r="R30" s="59">
        <f t="shared" ref="R30" si="10">EDATE(Q30,12)</f>
        <v>46753</v>
      </c>
      <c r="S30" s="59">
        <f t="shared" ref="S30" si="11">EDATE(R30,12)</f>
        <v>47119</v>
      </c>
      <c r="T30" s="59">
        <f t="shared" ref="T30" si="12">EDATE(S30,12)</f>
        <v>47484</v>
      </c>
      <c r="U30" s="59">
        <f t="shared" ref="U30" si="13">EDATE(T30,12)</f>
        <v>47849</v>
      </c>
      <c r="V30" s="59">
        <f t="shared" ref="V30" si="14">EDATE(U30,12)</f>
        <v>48214</v>
      </c>
      <c r="W30" s="59">
        <f t="shared" ref="W30" si="15">EDATE(V30,12)</f>
        <v>48580</v>
      </c>
      <c r="X30" s="59">
        <f t="shared" ref="X30" si="16">EDATE(W30,12)</f>
        <v>48945</v>
      </c>
      <c r="Y30" s="59">
        <f t="shared" ref="Y30" si="17">EDATE(X30,12)</f>
        <v>49310</v>
      </c>
      <c r="Z30" s="59">
        <f t="shared" ref="Z30" si="18">EDATE(Y30,12)</f>
        <v>49675</v>
      </c>
      <c r="AA30" s="59">
        <f t="shared" ref="AA30" si="19">EDATE(Z30,12)</f>
        <v>50041</v>
      </c>
      <c r="AB30" s="59">
        <f t="shared" ref="AB30" si="20">EDATE(AA30,12)</f>
        <v>50406</v>
      </c>
      <c r="AC30" s="59">
        <f t="shared" ref="AC30" si="21">EDATE(AB30,12)</f>
        <v>50771</v>
      </c>
      <c r="AD30" s="59">
        <f t="shared" ref="AD30" si="22">EDATE(AC30,12)</f>
        <v>51136</v>
      </c>
      <c r="AE30" s="59">
        <f t="shared" ref="AE30" si="23">EDATE(AD30,12)</f>
        <v>51502</v>
      </c>
      <c r="AF30" s="59">
        <f t="shared" ref="AF30" si="24">EDATE(AE30,12)</f>
        <v>51867</v>
      </c>
      <c r="AG30" s="59">
        <f t="shared" ref="AG30" si="25">EDATE(AF30,12)</f>
        <v>52232</v>
      </c>
      <c r="AH30" s="59">
        <f t="shared" ref="AH30" si="26">EDATE(AG30,12)</f>
        <v>52597</v>
      </c>
      <c r="AI30" s="59">
        <f t="shared" ref="AI30" si="27">EDATE(AH30,12)</f>
        <v>52963</v>
      </c>
      <c r="AJ30" s="59">
        <f t="shared" ref="AJ30" si="28">EDATE(AI30,12)</f>
        <v>53328</v>
      </c>
      <c r="AK30" s="59">
        <f t="shared" ref="AK30" si="29">EDATE(AJ30,12)</f>
        <v>53693</v>
      </c>
      <c r="AL30" s="59">
        <f t="shared" ref="AL30" si="30">EDATE(AK30,12)</f>
        <v>54058</v>
      </c>
      <c r="AM30" s="59">
        <f t="shared" ref="AM30" si="31">EDATE(AL30,12)</f>
        <v>54424</v>
      </c>
      <c r="AN30" s="59">
        <f t="shared" ref="AN30" si="32">EDATE(AM30,12)</f>
        <v>54789</v>
      </c>
    </row>
    <row r="31" spans="2:72" hidden="1" outlineLevel="1">
      <c r="C31" s="19"/>
      <c r="D31" s="19"/>
      <c r="H31" s="3"/>
      <c r="I31" s="16"/>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row>
    <row r="32" spans="2:72" hidden="1" outlineLevel="1">
      <c r="C32" s="19"/>
      <c r="D32" s="19"/>
      <c r="H32" s="3"/>
      <c r="I32" s="16"/>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row>
    <row r="33" spans="3:40" hidden="1" outlineLevel="1">
      <c r="C33" s="19"/>
      <c r="D33" s="19"/>
      <c r="H33" s="3"/>
      <c r="I33" s="16"/>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42"/>
      <c r="AK33" s="42"/>
      <c r="AL33" s="42"/>
      <c r="AM33" s="42"/>
      <c r="AN33" s="42"/>
    </row>
    <row r="34" spans="3:40" hidden="1" outlineLevel="1">
      <c r="C34" s="19"/>
      <c r="D34" s="19"/>
      <c r="H34" s="3"/>
      <c r="I34" s="16"/>
      <c r="J34" s="42"/>
      <c r="K34" s="42"/>
      <c r="L34" s="42"/>
      <c r="M34" s="42"/>
      <c r="N34" s="42"/>
      <c r="O34" s="42"/>
      <c r="P34" s="42"/>
      <c r="Q34" s="42"/>
      <c r="R34" s="42"/>
      <c r="S34" s="42"/>
      <c r="T34" s="42"/>
      <c r="U34" s="42"/>
      <c r="V34" s="42"/>
      <c r="W34" s="42"/>
      <c r="X34" s="42"/>
      <c r="Y34" s="42"/>
      <c r="Z34" s="42"/>
      <c r="AA34" s="42"/>
      <c r="AB34" s="42"/>
      <c r="AC34" s="42"/>
      <c r="AD34" s="42"/>
      <c r="AE34" s="42"/>
      <c r="AF34" s="42"/>
      <c r="AG34" s="42"/>
      <c r="AH34" s="42"/>
      <c r="AI34" s="42"/>
      <c r="AJ34" s="42"/>
      <c r="AK34" s="42"/>
      <c r="AL34" s="42"/>
      <c r="AM34" s="42"/>
      <c r="AN34" s="42"/>
    </row>
    <row r="35" spans="3:40" hidden="1" outlineLevel="1">
      <c r="C35" s="19"/>
      <c r="D35" s="19"/>
      <c r="H35" s="3"/>
      <c r="I35" s="16"/>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42"/>
      <c r="AK35" s="42"/>
      <c r="AL35" s="42"/>
      <c r="AM35" s="42"/>
      <c r="AN35" s="42"/>
    </row>
    <row r="36" spans="3:40" hidden="1" outlineLevel="1">
      <c r="C36" s="19"/>
      <c r="D36" s="19"/>
      <c r="H36" s="3"/>
      <c r="I36" s="16"/>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row>
    <row r="37" spans="3:40" hidden="1" outlineLevel="1">
      <c r="C37" s="19"/>
      <c r="D37" s="19"/>
      <c r="H37" s="3"/>
      <c r="I37" s="16"/>
      <c r="J37" s="42"/>
      <c r="K37" s="42"/>
      <c r="L37" s="42"/>
      <c r="M37" s="42"/>
      <c r="N37" s="42"/>
      <c r="O37" s="42"/>
      <c r="P37" s="42"/>
      <c r="Q37" s="42"/>
      <c r="R37" s="42"/>
      <c r="S37" s="42"/>
      <c r="T37" s="42"/>
      <c r="U37" s="42"/>
      <c r="V37" s="42"/>
      <c r="W37" s="42"/>
      <c r="X37" s="42"/>
      <c r="Y37" s="42"/>
      <c r="Z37" s="42"/>
      <c r="AA37" s="42"/>
      <c r="AB37" s="42"/>
      <c r="AC37" s="42"/>
      <c r="AD37" s="42"/>
      <c r="AE37" s="42"/>
      <c r="AF37" s="42"/>
      <c r="AG37" s="42"/>
      <c r="AH37" s="42"/>
      <c r="AI37" s="42"/>
      <c r="AJ37" s="42"/>
      <c r="AK37" s="42"/>
      <c r="AL37" s="42"/>
      <c r="AM37" s="42"/>
      <c r="AN37" s="42"/>
    </row>
    <row r="38" spans="3:40" hidden="1" outlineLevel="1">
      <c r="C38" s="19"/>
      <c r="D38" s="19"/>
      <c r="H38" s="3"/>
      <c r="I38" s="16"/>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row>
    <row r="39" spans="3:40" hidden="1" outlineLevel="1">
      <c r="C39" s="19"/>
      <c r="D39" s="19"/>
      <c r="H39" s="3"/>
      <c r="I39" s="16"/>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row>
    <row r="40" spans="3:40" hidden="1" outlineLevel="1">
      <c r="C40" s="19"/>
      <c r="D40" s="19"/>
      <c r="H40" s="3"/>
      <c r="I40" s="16"/>
      <c r="J40" s="42"/>
      <c r="K40" s="42"/>
      <c r="L40" s="42"/>
      <c r="M40" s="42"/>
      <c r="N40" s="42"/>
      <c r="O40" s="42"/>
      <c r="P40" s="42"/>
      <c r="Q40" s="42"/>
      <c r="R40" s="42"/>
      <c r="S40" s="42"/>
      <c r="T40" s="42"/>
      <c r="U40" s="42"/>
      <c r="V40" s="42"/>
      <c r="W40" s="42"/>
      <c r="X40" s="42"/>
      <c r="Y40" s="42"/>
      <c r="Z40" s="42"/>
      <c r="AA40" s="42"/>
      <c r="AB40" s="42"/>
      <c r="AC40" s="42"/>
      <c r="AD40" s="42"/>
      <c r="AE40" s="42"/>
      <c r="AF40" s="42"/>
      <c r="AG40" s="42"/>
      <c r="AH40" s="42"/>
      <c r="AI40" s="42"/>
      <c r="AJ40" s="42"/>
      <c r="AK40" s="42"/>
      <c r="AL40" s="42"/>
      <c r="AM40" s="42"/>
      <c r="AN40" s="42"/>
    </row>
    <row r="41" spans="3:40" hidden="1" outlineLevel="1">
      <c r="C41" s="19"/>
      <c r="D41" s="19"/>
      <c r="H41" s="3"/>
      <c r="I41" s="16"/>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row>
    <row r="42" spans="3:40" hidden="1" outlineLevel="1">
      <c r="C42" s="19"/>
      <c r="D42" s="19"/>
      <c r="H42" s="3"/>
      <c r="I42" s="16"/>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42"/>
      <c r="AK42" s="42"/>
      <c r="AL42" s="42"/>
      <c r="AM42" s="42"/>
      <c r="AN42" s="42"/>
    </row>
    <row r="43" spans="3:40" hidden="1" outlineLevel="1">
      <c r="C43" s="19"/>
      <c r="D43" s="19"/>
      <c r="H43" s="3"/>
      <c r="I43" s="16"/>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42"/>
      <c r="AK43" s="42"/>
      <c r="AL43" s="42"/>
      <c r="AM43" s="42"/>
      <c r="AN43" s="42"/>
    </row>
    <row r="44" spans="3:40" hidden="1" outlineLevel="1">
      <c r="C44" s="19"/>
      <c r="D44" s="19"/>
      <c r="H44" s="3"/>
      <c r="I44" s="16"/>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42"/>
      <c r="AJ44" s="42"/>
      <c r="AK44" s="42"/>
      <c r="AL44" s="42"/>
      <c r="AM44" s="42"/>
      <c r="AN44" s="42"/>
    </row>
    <row r="45" spans="3:40" hidden="1" outlineLevel="1">
      <c r="C45" s="19"/>
      <c r="D45" s="19"/>
      <c r="H45" s="3"/>
      <c r="I45" s="16"/>
      <c r="J45" s="42"/>
      <c r="K45" s="42"/>
      <c r="L45" s="42"/>
      <c r="M45" s="42"/>
      <c r="N45" s="42"/>
      <c r="O45" s="42"/>
      <c r="P45" s="42"/>
      <c r="Q45" s="42"/>
      <c r="R45" s="42"/>
      <c r="S45" s="42"/>
      <c r="T45" s="42"/>
      <c r="U45" s="42"/>
      <c r="V45" s="42"/>
      <c r="W45" s="42"/>
      <c r="X45" s="42"/>
      <c r="Y45" s="42"/>
      <c r="Z45" s="42"/>
      <c r="AA45" s="42"/>
      <c r="AB45" s="42"/>
      <c r="AC45" s="42"/>
      <c r="AD45" s="42"/>
      <c r="AE45" s="42"/>
      <c r="AF45" s="42"/>
      <c r="AG45" s="42"/>
      <c r="AH45" s="42"/>
      <c r="AI45" s="42"/>
      <c r="AJ45" s="42"/>
      <c r="AK45" s="42"/>
      <c r="AL45" s="42"/>
      <c r="AM45" s="42"/>
      <c r="AN45" s="42"/>
    </row>
    <row r="46" spans="3:40" hidden="1" outlineLevel="1">
      <c r="C46" s="19"/>
      <c r="D46" s="19"/>
      <c r="H46" s="3"/>
      <c r="I46" s="16"/>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42"/>
      <c r="AK46" s="42"/>
      <c r="AL46" s="42"/>
      <c r="AM46" s="42"/>
      <c r="AN46" s="42"/>
    </row>
    <row r="47" spans="3:40" hidden="1" outlineLevel="1">
      <c r="C47" s="19"/>
      <c r="D47" s="19"/>
      <c r="H47" s="3"/>
      <c r="I47" s="16"/>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42"/>
      <c r="AK47" s="42"/>
      <c r="AL47" s="42"/>
      <c r="AM47" s="42"/>
      <c r="AN47" s="42"/>
    </row>
    <row r="48" spans="3:40" hidden="1" outlineLevel="1">
      <c r="C48" s="19"/>
      <c r="D48" s="19"/>
      <c r="H48" s="3"/>
      <c r="I48" s="16"/>
      <c r="J48" s="42"/>
      <c r="K48" s="42"/>
      <c r="L48" s="42"/>
      <c r="M48" s="42"/>
      <c r="N48" s="42"/>
      <c r="O48" s="42"/>
      <c r="P48" s="42"/>
      <c r="Q48" s="42"/>
      <c r="R48" s="42"/>
      <c r="S48" s="42"/>
      <c r="T48" s="42"/>
      <c r="U48" s="42"/>
      <c r="V48" s="42"/>
      <c r="W48" s="42"/>
      <c r="X48" s="42"/>
      <c r="Y48" s="42"/>
      <c r="Z48" s="42"/>
      <c r="AA48" s="42"/>
      <c r="AB48" s="42"/>
      <c r="AC48" s="42"/>
      <c r="AD48" s="42"/>
      <c r="AE48" s="42"/>
      <c r="AF48" s="42"/>
      <c r="AG48" s="42"/>
      <c r="AH48" s="42"/>
      <c r="AI48" s="42"/>
      <c r="AJ48" s="42"/>
      <c r="AK48" s="42"/>
      <c r="AL48" s="42"/>
      <c r="AM48" s="42"/>
      <c r="AN48" s="42"/>
    </row>
    <row r="49" spans="3:72" hidden="1" outlineLevel="1">
      <c r="C49" s="19"/>
      <c r="D49" s="19"/>
      <c r="H49" s="3"/>
      <c r="I49" s="16"/>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42"/>
      <c r="AK49" s="42"/>
      <c r="AL49" s="42"/>
      <c r="AM49" s="42"/>
      <c r="AN49" s="42"/>
    </row>
    <row r="50" spans="3:72" hidden="1" outlineLevel="1">
      <c r="C50" s="19"/>
      <c r="D50" s="19"/>
      <c r="H50" s="3"/>
      <c r="I50" s="16"/>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row>
    <row r="51" spans="3:72" hidden="1" outlineLevel="1">
      <c r="C51" s="19"/>
      <c r="D51" s="19"/>
      <c r="H51" s="3"/>
      <c r="I51" s="16"/>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row>
    <row r="52" spans="3:72" hidden="1" outlineLevel="1">
      <c r="C52" s="19"/>
      <c r="D52" s="19"/>
      <c r="H52" s="3"/>
      <c r="I52" s="16"/>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row>
    <row r="53" spans="3:72" hidden="1" outlineLevel="1">
      <c r="C53" s="19"/>
      <c r="D53" s="19"/>
      <c r="H53" s="3"/>
      <c r="I53" s="16"/>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row>
    <row r="54" spans="3:72" hidden="1" outlineLevel="1">
      <c r="C54" s="19"/>
      <c r="D54" s="19"/>
      <c r="H54" s="3"/>
      <c r="I54" s="16"/>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row>
    <row r="55" spans="3:72" hidden="1" outlineLevel="1">
      <c r="C55" s="19"/>
      <c r="D55" s="19"/>
      <c r="H55" s="3"/>
      <c r="I55" s="16"/>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row>
    <row r="56" spans="3:72" ht="13.5" hidden="1" customHeight="1" outlineLevel="1">
      <c r="AP56" s="32"/>
      <c r="AQ56" s="32"/>
      <c r="AR56" s="32"/>
    </row>
    <row r="57" spans="3:72" ht="13" collapsed="1">
      <c r="J57" s="6" t="s">
        <v>322</v>
      </c>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P57" s="6" t="s">
        <v>323</v>
      </c>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row>
    <row r="58" spans="3:72" s="27" customFormat="1" hidden="1" outlineLevel="1">
      <c r="C58" s="27" t="s">
        <v>324</v>
      </c>
      <c r="D58" s="27" t="s">
        <v>318</v>
      </c>
      <c r="F58"/>
      <c r="J58" s="27" t="s">
        <v>325</v>
      </c>
      <c r="K58" s="27" t="s">
        <v>325</v>
      </c>
      <c r="L58" s="27" t="s">
        <v>325</v>
      </c>
      <c r="M58" s="27" t="s">
        <v>325</v>
      </c>
      <c r="N58" s="27" t="s">
        <v>325</v>
      </c>
      <c r="O58" s="27" t="s">
        <v>325</v>
      </c>
      <c r="P58" s="27" t="s">
        <v>325</v>
      </c>
      <c r="Q58" s="27" t="s">
        <v>325</v>
      </c>
      <c r="R58" s="27" t="s">
        <v>325</v>
      </c>
      <c r="S58" s="27" t="s">
        <v>325</v>
      </c>
      <c r="T58" s="27" t="s">
        <v>325</v>
      </c>
      <c r="U58" s="27" t="s">
        <v>325</v>
      </c>
      <c r="V58" s="27" t="s">
        <v>325</v>
      </c>
      <c r="W58" s="27" t="s">
        <v>325</v>
      </c>
      <c r="X58" s="27" t="s">
        <v>325</v>
      </c>
      <c r="Y58" s="27" t="s">
        <v>325</v>
      </c>
      <c r="Z58" s="27" t="s">
        <v>325</v>
      </c>
      <c r="AA58" s="27" t="s">
        <v>325</v>
      </c>
      <c r="AB58" s="27" t="s">
        <v>325</v>
      </c>
      <c r="AC58" s="27" t="s">
        <v>325</v>
      </c>
      <c r="AD58" s="27" t="s">
        <v>325</v>
      </c>
      <c r="AE58" s="27" t="s">
        <v>325</v>
      </c>
      <c r="AF58" s="27" t="s">
        <v>325</v>
      </c>
      <c r="AG58" s="27" t="s">
        <v>325</v>
      </c>
      <c r="AH58" s="27" t="s">
        <v>325</v>
      </c>
      <c r="AI58" s="27" t="s">
        <v>325</v>
      </c>
      <c r="AJ58" s="27" t="s">
        <v>325</v>
      </c>
      <c r="AK58" s="27" t="s">
        <v>325</v>
      </c>
      <c r="AL58" s="27" t="s">
        <v>325</v>
      </c>
      <c r="AM58" s="27" t="s">
        <v>325</v>
      </c>
      <c r="AN58" s="27" t="s">
        <v>325</v>
      </c>
      <c r="AP58" s="27" t="s">
        <v>326</v>
      </c>
      <c r="AQ58" s="27" t="s">
        <v>326</v>
      </c>
      <c r="AR58" s="27" t="s">
        <v>326</v>
      </c>
      <c r="AS58" s="27" t="s">
        <v>326</v>
      </c>
      <c r="AT58" s="27" t="s">
        <v>326</v>
      </c>
      <c r="AU58" s="27" t="s">
        <v>326</v>
      </c>
      <c r="AV58" s="27" t="s">
        <v>326</v>
      </c>
      <c r="AW58" s="27" t="s">
        <v>326</v>
      </c>
      <c r="AX58" s="27" t="s">
        <v>326</v>
      </c>
      <c r="AY58" s="27" t="s">
        <v>326</v>
      </c>
      <c r="AZ58" s="27" t="s">
        <v>326</v>
      </c>
      <c r="BA58" s="27" t="s">
        <v>326</v>
      </c>
      <c r="BB58" s="27" t="s">
        <v>326</v>
      </c>
      <c r="BC58" s="27" t="s">
        <v>326</v>
      </c>
      <c r="BD58" s="27" t="s">
        <v>326</v>
      </c>
      <c r="BE58" s="27" t="s">
        <v>326</v>
      </c>
      <c r="BF58" s="27" t="s">
        <v>326</v>
      </c>
      <c r="BG58" s="27" t="s">
        <v>326</v>
      </c>
      <c r="BH58" s="27" t="s">
        <v>326</v>
      </c>
      <c r="BI58" s="27" t="s">
        <v>326</v>
      </c>
      <c r="BJ58" s="27" t="s">
        <v>326</v>
      </c>
      <c r="BK58" s="27" t="s">
        <v>326</v>
      </c>
      <c r="BL58" s="27" t="s">
        <v>326</v>
      </c>
      <c r="BM58" s="27" t="s">
        <v>326</v>
      </c>
      <c r="BN58" s="27" t="s">
        <v>326</v>
      </c>
      <c r="BO58" s="27" t="s">
        <v>326</v>
      </c>
      <c r="BP58" s="27" t="s">
        <v>326</v>
      </c>
      <c r="BQ58" s="27" t="s">
        <v>326</v>
      </c>
      <c r="BR58" s="27" t="s">
        <v>326</v>
      </c>
      <c r="BS58" s="27" t="s">
        <v>326</v>
      </c>
      <c r="BT58" s="27" t="s">
        <v>326</v>
      </c>
    </row>
    <row r="59" spans="3:72" ht="14" collapsed="1">
      <c r="C59" s="6" t="s">
        <v>327</v>
      </c>
      <c r="D59" s="6" t="s">
        <v>318</v>
      </c>
      <c r="H59" s="11" t="s">
        <v>251</v>
      </c>
      <c r="I59" s="16"/>
      <c r="J59" s="59">
        <f>start_year</f>
        <v>43831</v>
      </c>
      <c r="K59" s="59">
        <f>EDATE(J59,12)</f>
        <v>44197</v>
      </c>
      <c r="L59" s="59">
        <f t="shared" ref="L59:AN59" si="33">EDATE(K59,12)</f>
        <v>44562</v>
      </c>
      <c r="M59" s="59">
        <f t="shared" si="33"/>
        <v>44927</v>
      </c>
      <c r="N59" s="59">
        <f t="shared" si="33"/>
        <v>45292</v>
      </c>
      <c r="O59" s="59">
        <f t="shared" si="33"/>
        <v>45658</v>
      </c>
      <c r="P59" s="59">
        <f t="shared" si="33"/>
        <v>46023</v>
      </c>
      <c r="Q59" s="59">
        <f t="shared" si="33"/>
        <v>46388</v>
      </c>
      <c r="R59" s="59">
        <f t="shared" si="33"/>
        <v>46753</v>
      </c>
      <c r="S59" s="59">
        <f t="shared" si="33"/>
        <v>47119</v>
      </c>
      <c r="T59" s="59">
        <f t="shared" si="33"/>
        <v>47484</v>
      </c>
      <c r="U59" s="59">
        <f t="shared" si="33"/>
        <v>47849</v>
      </c>
      <c r="V59" s="59">
        <f t="shared" si="33"/>
        <v>48214</v>
      </c>
      <c r="W59" s="59">
        <f t="shared" si="33"/>
        <v>48580</v>
      </c>
      <c r="X59" s="59">
        <f t="shared" si="33"/>
        <v>48945</v>
      </c>
      <c r="Y59" s="59">
        <f t="shared" si="33"/>
        <v>49310</v>
      </c>
      <c r="Z59" s="59">
        <f t="shared" si="33"/>
        <v>49675</v>
      </c>
      <c r="AA59" s="59">
        <f t="shared" si="33"/>
        <v>50041</v>
      </c>
      <c r="AB59" s="59">
        <f t="shared" si="33"/>
        <v>50406</v>
      </c>
      <c r="AC59" s="59">
        <f t="shared" si="33"/>
        <v>50771</v>
      </c>
      <c r="AD59" s="59">
        <f t="shared" si="33"/>
        <v>51136</v>
      </c>
      <c r="AE59" s="59">
        <f t="shared" si="33"/>
        <v>51502</v>
      </c>
      <c r="AF59" s="59">
        <f t="shared" si="33"/>
        <v>51867</v>
      </c>
      <c r="AG59" s="59">
        <f t="shared" si="33"/>
        <v>52232</v>
      </c>
      <c r="AH59" s="59">
        <f t="shared" si="33"/>
        <v>52597</v>
      </c>
      <c r="AI59" s="59">
        <f t="shared" si="33"/>
        <v>52963</v>
      </c>
      <c r="AJ59" s="59">
        <f t="shared" si="33"/>
        <v>53328</v>
      </c>
      <c r="AK59" s="59">
        <f t="shared" si="33"/>
        <v>53693</v>
      </c>
      <c r="AL59" s="59">
        <f t="shared" si="33"/>
        <v>54058</v>
      </c>
      <c r="AM59" s="59">
        <f t="shared" si="33"/>
        <v>54424</v>
      </c>
      <c r="AN59" s="59">
        <f t="shared" si="33"/>
        <v>54789</v>
      </c>
      <c r="AP59" s="59">
        <f>start_year</f>
        <v>43831</v>
      </c>
      <c r="AQ59" s="59">
        <f>EDATE(AP59,12)</f>
        <v>44197</v>
      </c>
      <c r="AR59" s="59">
        <f t="shared" ref="AR59:BT59" si="34">EDATE(AQ59,12)</f>
        <v>44562</v>
      </c>
      <c r="AS59" s="59">
        <f t="shared" si="34"/>
        <v>44927</v>
      </c>
      <c r="AT59" s="59">
        <f t="shared" si="34"/>
        <v>45292</v>
      </c>
      <c r="AU59" s="59">
        <f t="shared" si="34"/>
        <v>45658</v>
      </c>
      <c r="AV59" s="59">
        <f t="shared" si="34"/>
        <v>46023</v>
      </c>
      <c r="AW59" s="59">
        <f t="shared" si="34"/>
        <v>46388</v>
      </c>
      <c r="AX59" s="59">
        <f t="shared" si="34"/>
        <v>46753</v>
      </c>
      <c r="AY59" s="59">
        <f t="shared" si="34"/>
        <v>47119</v>
      </c>
      <c r="AZ59" s="59">
        <f t="shared" si="34"/>
        <v>47484</v>
      </c>
      <c r="BA59" s="59">
        <f t="shared" si="34"/>
        <v>47849</v>
      </c>
      <c r="BB59" s="59">
        <f t="shared" si="34"/>
        <v>48214</v>
      </c>
      <c r="BC59" s="59">
        <f t="shared" si="34"/>
        <v>48580</v>
      </c>
      <c r="BD59" s="59">
        <f t="shared" si="34"/>
        <v>48945</v>
      </c>
      <c r="BE59" s="59">
        <f t="shared" si="34"/>
        <v>49310</v>
      </c>
      <c r="BF59" s="59">
        <f t="shared" si="34"/>
        <v>49675</v>
      </c>
      <c r="BG59" s="59">
        <f t="shared" si="34"/>
        <v>50041</v>
      </c>
      <c r="BH59" s="59">
        <f t="shared" si="34"/>
        <v>50406</v>
      </c>
      <c r="BI59" s="59">
        <f t="shared" si="34"/>
        <v>50771</v>
      </c>
      <c r="BJ59" s="59">
        <f t="shared" si="34"/>
        <v>51136</v>
      </c>
      <c r="BK59" s="59">
        <f t="shared" si="34"/>
        <v>51502</v>
      </c>
      <c r="BL59" s="59">
        <f t="shared" si="34"/>
        <v>51867</v>
      </c>
      <c r="BM59" s="59">
        <f t="shared" si="34"/>
        <v>52232</v>
      </c>
      <c r="BN59" s="59">
        <f t="shared" si="34"/>
        <v>52597</v>
      </c>
      <c r="BO59" s="59">
        <f t="shared" si="34"/>
        <v>52963</v>
      </c>
      <c r="BP59" s="59">
        <f t="shared" si="34"/>
        <v>53328</v>
      </c>
      <c r="BQ59" s="59">
        <f t="shared" si="34"/>
        <v>53693</v>
      </c>
      <c r="BR59" s="59">
        <f t="shared" si="34"/>
        <v>54058</v>
      </c>
      <c r="BS59" s="59">
        <f t="shared" si="34"/>
        <v>54424</v>
      </c>
      <c r="BT59" s="59">
        <f t="shared" si="34"/>
        <v>54789</v>
      </c>
    </row>
    <row r="60" spans="3:72">
      <c r="C60" s="19"/>
      <c r="D60" s="19" t="s">
        <v>320</v>
      </c>
      <c r="H60" s="3"/>
      <c r="I60" s="16"/>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P60" s="42"/>
      <c r="AQ60" s="42"/>
      <c r="AR60" s="42"/>
      <c r="AS60" s="42"/>
      <c r="AT60" s="42"/>
      <c r="AU60" s="42"/>
      <c r="AV60" s="42"/>
      <c r="AW60" s="42"/>
      <c r="AX60" s="42"/>
      <c r="AY60" s="42"/>
      <c r="AZ60" s="42"/>
      <c r="BA60" s="42"/>
      <c r="BB60" s="42"/>
      <c r="BC60" s="42"/>
      <c r="BD60" s="42"/>
      <c r="BE60" s="42"/>
      <c r="BF60" s="42"/>
      <c r="BG60" s="42"/>
      <c r="BH60" s="42"/>
      <c r="BI60" s="42"/>
      <c r="BJ60" s="42"/>
      <c r="BK60" s="42"/>
      <c r="BL60" s="42"/>
      <c r="BM60" s="42"/>
      <c r="BN60" s="42"/>
      <c r="BO60" s="42"/>
      <c r="BP60" s="42"/>
      <c r="BQ60" s="42"/>
      <c r="BR60" s="42"/>
      <c r="BS60" s="42"/>
      <c r="BT60" s="42"/>
    </row>
    <row r="61" spans="3:72">
      <c r="C61" s="19"/>
      <c r="D61" s="19" t="s">
        <v>320</v>
      </c>
      <c r="H61" s="3"/>
      <c r="I61" s="16"/>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P61" s="42"/>
      <c r="AQ61" s="42"/>
      <c r="AR61" s="42"/>
      <c r="AS61" s="42"/>
      <c r="AT61" s="42"/>
      <c r="AU61" s="42"/>
      <c r="AV61" s="42"/>
      <c r="AW61" s="42"/>
      <c r="AX61" s="42"/>
      <c r="AY61" s="42"/>
      <c r="AZ61" s="42"/>
      <c r="BA61" s="42"/>
      <c r="BB61" s="42"/>
      <c r="BC61" s="42"/>
      <c r="BD61" s="42"/>
      <c r="BE61" s="42"/>
      <c r="BF61" s="42"/>
      <c r="BG61" s="42"/>
      <c r="BH61" s="42"/>
      <c r="BI61" s="42"/>
      <c r="BJ61" s="42"/>
      <c r="BK61" s="42"/>
      <c r="BL61" s="42"/>
      <c r="BM61" s="42"/>
      <c r="BN61" s="42"/>
      <c r="BO61" s="42"/>
      <c r="BP61" s="42"/>
      <c r="BQ61" s="42"/>
      <c r="BR61" s="42"/>
      <c r="BS61" s="42"/>
      <c r="BT61" s="42"/>
    </row>
    <row r="62" spans="3:72">
      <c r="C62" s="19"/>
      <c r="D62" s="19" t="s">
        <v>320</v>
      </c>
      <c r="H62" s="3"/>
      <c r="I62" s="16"/>
      <c r="J62" s="42"/>
      <c r="K62" s="42"/>
      <c r="L62" s="42"/>
      <c r="M62" s="42"/>
      <c r="N62" s="42"/>
      <c r="O62" s="42"/>
      <c r="P62" s="42"/>
      <c r="Q62" s="42"/>
      <c r="R62" s="42"/>
      <c r="S62" s="42"/>
      <c r="T62" s="42"/>
      <c r="U62" s="42"/>
      <c r="V62" s="42"/>
      <c r="W62" s="42"/>
      <c r="X62" s="42"/>
      <c r="Y62" s="42"/>
      <c r="Z62" s="42"/>
      <c r="AA62" s="42"/>
      <c r="AB62" s="42"/>
      <c r="AC62" s="42"/>
      <c r="AD62" s="42"/>
      <c r="AE62" s="42"/>
      <c r="AF62" s="42"/>
      <c r="AG62" s="42"/>
      <c r="AH62" s="42"/>
      <c r="AI62" s="42"/>
      <c r="AJ62" s="42"/>
      <c r="AK62" s="42"/>
      <c r="AL62" s="42"/>
      <c r="AM62" s="42"/>
      <c r="AN62" s="42"/>
      <c r="AP62" s="42"/>
      <c r="AQ62" s="42"/>
      <c r="AR62" s="42"/>
      <c r="AS62" s="42"/>
      <c r="AT62" s="42"/>
      <c r="AU62" s="42"/>
      <c r="AV62" s="42"/>
      <c r="AW62" s="42"/>
      <c r="AX62" s="42"/>
      <c r="AY62" s="42"/>
      <c r="AZ62" s="42"/>
      <c r="BA62" s="42"/>
      <c r="BB62" s="42"/>
      <c r="BC62" s="42"/>
      <c r="BD62" s="42"/>
      <c r="BE62" s="42"/>
      <c r="BF62" s="42"/>
      <c r="BG62" s="42"/>
      <c r="BH62" s="42"/>
      <c r="BI62" s="42"/>
      <c r="BJ62" s="42"/>
      <c r="BK62" s="42"/>
      <c r="BL62" s="42"/>
      <c r="BM62" s="42"/>
      <c r="BN62" s="42"/>
      <c r="BO62" s="42"/>
      <c r="BP62" s="42"/>
      <c r="BQ62" s="42"/>
      <c r="BR62" s="42"/>
      <c r="BS62" s="42"/>
      <c r="BT62" s="42"/>
    </row>
    <row r="63" spans="3:72">
      <c r="C63" s="19"/>
      <c r="D63" s="19" t="s">
        <v>320</v>
      </c>
      <c r="H63" s="3"/>
      <c r="I63" s="16"/>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P63" s="42"/>
      <c r="AQ63" s="42"/>
      <c r="AR63" s="42"/>
      <c r="AS63" s="42"/>
      <c r="AT63" s="42"/>
      <c r="AU63" s="42"/>
      <c r="AV63" s="42"/>
      <c r="AW63" s="42"/>
      <c r="AX63" s="42"/>
      <c r="AY63" s="42"/>
      <c r="AZ63" s="42"/>
      <c r="BA63" s="42"/>
      <c r="BB63" s="42"/>
      <c r="BC63" s="42"/>
      <c r="BD63" s="42"/>
      <c r="BE63" s="42"/>
      <c r="BF63" s="42"/>
      <c r="BG63" s="42"/>
      <c r="BH63" s="42"/>
      <c r="BI63" s="42"/>
      <c r="BJ63" s="42"/>
      <c r="BK63" s="42"/>
      <c r="BL63" s="42"/>
      <c r="BM63" s="42"/>
      <c r="BN63" s="42"/>
      <c r="BO63" s="42"/>
      <c r="BP63" s="42"/>
      <c r="BQ63" s="42"/>
      <c r="BR63" s="42"/>
      <c r="BS63" s="42"/>
      <c r="BT63" s="42"/>
    </row>
    <row r="64" spans="3:72">
      <c r="C64" s="19"/>
      <c r="D64" s="19" t="s">
        <v>320</v>
      </c>
      <c r="H64" s="3"/>
      <c r="I64" s="16"/>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P64" s="42"/>
      <c r="AQ64" s="42"/>
      <c r="AR64" s="42"/>
      <c r="AS64" s="42"/>
      <c r="AT64" s="42"/>
      <c r="AU64" s="42"/>
      <c r="AV64" s="42"/>
      <c r="AW64" s="42"/>
      <c r="AX64" s="42"/>
      <c r="AY64" s="42"/>
      <c r="AZ64" s="42"/>
      <c r="BA64" s="42"/>
      <c r="BB64" s="42"/>
      <c r="BC64" s="42"/>
      <c r="BD64" s="42"/>
      <c r="BE64" s="42"/>
      <c r="BF64" s="42"/>
      <c r="BG64" s="42"/>
      <c r="BH64" s="42"/>
      <c r="BI64" s="42"/>
      <c r="BJ64" s="42"/>
      <c r="BK64" s="42"/>
      <c r="BL64" s="42"/>
      <c r="BM64" s="42"/>
      <c r="BN64" s="42"/>
      <c r="BO64" s="42"/>
      <c r="BP64" s="42"/>
      <c r="BQ64" s="42"/>
      <c r="BR64" s="42"/>
      <c r="BS64" s="42"/>
      <c r="BT64" s="42"/>
    </row>
    <row r="65" spans="1:72">
      <c r="C65" s="19"/>
      <c r="D65" s="19" t="s">
        <v>320</v>
      </c>
      <c r="H65" s="3"/>
      <c r="I65" s="16"/>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P65" s="42"/>
      <c r="AQ65" s="42"/>
      <c r="AR65" s="42"/>
      <c r="AS65" s="42"/>
      <c r="AT65" s="42"/>
      <c r="AU65" s="42"/>
      <c r="AV65" s="42"/>
      <c r="AW65" s="42"/>
      <c r="AX65" s="42"/>
      <c r="AY65" s="42"/>
      <c r="AZ65" s="42"/>
      <c r="BA65" s="42"/>
      <c r="BB65" s="42"/>
      <c r="BC65" s="42"/>
      <c r="BD65" s="42"/>
      <c r="BE65" s="42"/>
      <c r="BF65" s="42"/>
      <c r="BG65" s="42"/>
      <c r="BH65" s="42"/>
      <c r="BI65" s="42"/>
      <c r="BJ65" s="42"/>
      <c r="BK65" s="42"/>
      <c r="BL65" s="42"/>
      <c r="BM65" s="42"/>
      <c r="BN65" s="42"/>
      <c r="BO65" s="42"/>
      <c r="BP65" s="42"/>
      <c r="BQ65" s="42"/>
      <c r="BR65" s="42"/>
      <c r="BS65" s="42"/>
      <c r="BT65" s="42"/>
    </row>
    <row r="66" spans="1:72">
      <c r="C66" s="19"/>
      <c r="D66" s="19" t="s">
        <v>320</v>
      </c>
      <c r="H66" s="3"/>
      <c r="I66" s="16"/>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P66" s="42"/>
      <c r="AQ66" s="42"/>
      <c r="AR66" s="42"/>
      <c r="AS66" s="42"/>
      <c r="AT66" s="42"/>
      <c r="AU66" s="42"/>
      <c r="AV66" s="42"/>
      <c r="AW66" s="42"/>
      <c r="AX66" s="42"/>
      <c r="AY66" s="42"/>
      <c r="AZ66" s="42"/>
      <c r="BA66" s="42"/>
      <c r="BB66" s="42"/>
      <c r="BC66" s="42"/>
      <c r="BD66" s="42"/>
      <c r="BE66" s="42"/>
      <c r="BF66" s="42"/>
      <c r="BG66" s="42"/>
      <c r="BH66" s="42"/>
      <c r="BI66" s="42"/>
      <c r="BJ66" s="42"/>
      <c r="BK66" s="42"/>
      <c r="BL66" s="42"/>
      <c r="BM66" s="42"/>
      <c r="BN66" s="42"/>
      <c r="BO66" s="42"/>
      <c r="BP66" s="42"/>
      <c r="BQ66" s="42"/>
      <c r="BR66" s="42"/>
      <c r="BS66" s="42"/>
      <c r="BT66" s="42"/>
    </row>
    <row r="67" spans="1:72">
      <c r="C67" s="19"/>
      <c r="D67" s="19" t="s">
        <v>320</v>
      </c>
      <c r="H67" s="3"/>
      <c r="I67" s="16"/>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P67" s="42"/>
      <c r="AQ67" s="42"/>
      <c r="AR67" s="42"/>
      <c r="AS67" s="42"/>
      <c r="AT67" s="42"/>
      <c r="AU67" s="42"/>
      <c r="AV67" s="42"/>
      <c r="AW67" s="42"/>
      <c r="AX67" s="42"/>
      <c r="AY67" s="42"/>
      <c r="AZ67" s="42"/>
      <c r="BA67" s="42"/>
      <c r="BB67" s="42"/>
      <c r="BC67" s="42"/>
      <c r="BD67" s="42"/>
      <c r="BE67" s="42"/>
      <c r="BF67" s="42"/>
      <c r="BG67" s="42"/>
      <c r="BH67" s="42"/>
      <c r="BI67" s="42"/>
      <c r="BJ67" s="42"/>
      <c r="BK67" s="42"/>
      <c r="BL67" s="42"/>
      <c r="BM67" s="42"/>
      <c r="BN67" s="42"/>
      <c r="BO67" s="42"/>
      <c r="BP67" s="42"/>
      <c r="BQ67" s="42"/>
      <c r="BR67" s="42"/>
      <c r="BS67" s="42"/>
      <c r="BT67" s="42"/>
    </row>
    <row r="68" spans="1:72">
      <c r="C68" s="19"/>
      <c r="D68" s="19" t="s">
        <v>320</v>
      </c>
      <c r="H68" s="3"/>
      <c r="I68" s="16"/>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P68" s="42"/>
      <c r="AQ68" s="42"/>
      <c r="AR68" s="42"/>
      <c r="AS68" s="42"/>
      <c r="AT68" s="42"/>
      <c r="AU68" s="42"/>
      <c r="AV68" s="42"/>
      <c r="AW68" s="42"/>
      <c r="AX68" s="42"/>
      <c r="AY68" s="42"/>
      <c r="AZ68" s="42"/>
      <c r="BA68" s="42"/>
      <c r="BB68" s="42"/>
      <c r="BC68" s="42"/>
      <c r="BD68" s="42"/>
      <c r="BE68" s="42"/>
      <c r="BF68" s="42"/>
      <c r="BG68" s="42"/>
      <c r="BH68" s="42"/>
      <c r="BI68" s="42"/>
      <c r="BJ68" s="42"/>
      <c r="BK68" s="42"/>
      <c r="BL68" s="42"/>
      <c r="BM68" s="42"/>
      <c r="BN68" s="42"/>
      <c r="BO68" s="42"/>
      <c r="BP68" s="42"/>
      <c r="BQ68" s="42"/>
      <c r="BR68" s="42"/>
      <c r="BS68" s="42"/>
      <c r="BT68" s="42"/>
    </row>
    <row r="69" spans="1:72">
      <c r="C69" s="19"/>
      <c r="D69" s="19" t="s">
        <v>320</v>
      </c>
      <c r="H69" s="3"/>
      <c r="I69" s="16"/>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P69" s="42"/>
      <c r="AQ69" s="42"/>
      <c r="AR69" s="42"/>
      <c r="AS69" s="42"/>
      <c r="AT69" s="42"/>
      <c r="AU69" s="42"/>
      <c r="AV69" s="42"/>
      <c r="AW69" s="42"/>
      <c r="AX69" s="42"/>
      <c r="AY69" s="42"/>
      <c r="AZ69" s="42"/>
      <c r="BA69" s="42"/>
      <c r="BB69" s="42"/>
      <c r="BC69" s="42"/>
      <c r="BD69" s="42"/>
      <c r="BE69" s="42"/>
      <c r="BF69" s="42"/>
      <c r="BG69" s="42"/>
      <c r="BH69" s="42"/>
      <c r="BI69" s="42"/>
      <c r="BJ69" s="42"/>
      <c r="BK69" s="42"/>
      <c r="BL69" s="42"/>
      <c r="BM69" s="42"/>
      <c r="BN69" s="42"/>
      <c r="BO69" s="42"/>
      <c r="BP69" s="42"/>
      <c r="BQ69" s="42"/>
      <c r="BR69" s="42"/>
      <c r="BS69" s="42"/>
      <c r="BT69" s="42"/>
    </row>
    <row r="70" spans="1:72">
      <c r="C70" s="19"/>
      <c r="D70" s="19" t="s">
        <v>320</v>
      </c>
      <c r="H70" s="3"/>
      <c r="I70" s="16"/>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P70" s="42"/>
      <c r="AQ70" s="42"/>
      <c r="AR70" s="42"/>
      <c r="AS70" s="42"/>
      <c r="AT70" s="42"/>
      <c r="AU70" s="42"/>
      <c r="AV70" s="42"/>
      <c r="AW70" s="42"/>
      <c r="AX70" s="42"/>
      <c r="AY70" s="42"/>
      <c r="AZ70" s="42"/>
      <c r="BA70" s="42"/>
      <c r="BB70" s="42"/>
      <c r="BC70" s="42"/>
      <c r="BD70" s="42"/>
      <c r="BE70" s="42"/>
      <c r="BF70" s="42"/>
      <c r="BG70" s="42"/>
      <c r="BH70" s="42"/>
      <c r="BI70" s="42"/>
      <c r="BJ70" s="42"/>
      <c r="BK70" s="42"/>
      <c r="BL70" s="42"/>
      <c r="BM70" s="42"/>
      <c r="BN70" s="42"/>
      <c r="BO70" s="42"/>
      <c r="BP70" s="42"/>
      <c r="BQ70" s="42"/>
      <c r="BR70" s="42"/>
      <c r="BS70" s="42"/>
      <c r="BT70" s="42"/>
    </row>
    <row r="71" spans="1:72">
      <c r="C71" s="19"/>
      <c r="D71" s="19" t="s">
        <v>320</v>
      </c>
      <c r="H71" s="3"/>
      <c r="I71" s="16"/>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P71" s="42"/>
      <c r="AQ71" s="42"/>
      <c r="AR71" s="42"/>
      <c r="AS71" s="42"/>
      <c r="AT71" s="42"/>
      <c r="AU71" s="42"/>
      <c r="AV71" s="42"/>
      <c r="AW71" s="42"/>
      <c r="AX71" s="42"/>
      <c r="AY71" s="42"/>
      <c r="AZ71" s="42"/>
      <c r="BA71" s="42"/>
      <c r="BB71" s="42"/>
      <c r="BC71" s="42"/>
      <c r="BD71" s="42"/>
      <c r="BE71" s="42"/>
      <c r="BF71" s="42"/>
      <c r="BG71" s="42"/>
      <c r="BH71" s="42"/>
      <c r="BI71" s="42"/>
      <c r="BJ71" s="42"/>
      <c r="BK71" s="42"/>
      <c r="BL71" s="42"/>
      <c r="BM71" s="42"/>
      <c r="BN71" s="42"/>
      <c r="BO71" s="42"/>
      <c r="BP71" s="42"/>
      <c r="BQ71" s="42"/>
      <c r="BR71" s="42"/>
      <c r="BS71" s="42"/>
      <c r="BT71" s="42"/>
    </row>
    <row r="72" spans="1:72">
      <c r="C72" s="19"/>
      <c r="D72" s="19" t="s">
        <v>320</v>
      </c>
      <c r="H72" s="3"/>
      <c r="I72" s="16"/>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P72" s="42"/>
      <c r="AQ72" s="42"/>
      <c r="AR72" s="42"/>
      <c r="AS72" s="42"/>
      <c r="AT72" s="42"/>
      <c r="AU72" s="42"/>
      <c r="AV72" s="42"/>
      <c r="AW72" s="42"/>
      <c r="AX72" s="42"/>
      <c r="AY72" s="42"/>
      <c r="AZ72" s="42"/>
      <c r="BA72" s="42"/>
      <c r="BB72" s="42"/>
      <c r="BC72" s="42"/>
      <c r="BD72" s="42"/>
      <c r="BE72" s="42"/>
      <c r="BF72" s="42"/>
      <c r="BG72" s="42"/>
      <c r="BH72" s="42"/>
      <c r="BI72" s="42"/>
      <c r="BJ72" s="42"/>
      <c r="BK72" s="42"/>
      <c r="BL72" s="42"/>
      <c r="BM72" s="42"/>
      <c r="BN72" s="42"/>
      <c r="BO72" s="42"/>
      <c r="BP72" s="42"/>
      <c r="BQ72" s="42"/>
      <c r="BR72" s="42"/>
      <c r="BS72" s="42"/>
      <c r="BT72" s="42"/>
    </row>
    <row r="73" spans="1:72">
      <c r="C73" s="19"/>
      <c r="D73" s="19" t="s">
        <v>320</v>
      </c>
      <c r="H73" s="3"/>
      <c r="I73" s="16"/>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P73" s="42"/>
      <c r="AQ73" s="42"/>
      <c r="AR73" s="42"/>
      <c r="AS73" s="42"/>
      <c r="AT73" s="42"/>
      <c r="AU73" s="42"/>
      <c r="AV73" s="42"/>
      <c r="AW73" s="42"/>
      <c r="AX73" s="42"/>
      <c r="AY73" s="42"/>
      <c r="AZ73" s="42"/>
      <c r="BA73" s="42"/>
      <c r="BB73" s="42"/>
      <c r="BC73" s="42"/>
      <c r="BD73" s="42"/>
      <c r="BE73" s="42"/>
      <c r="BF73" s="42"/>
      <c r="BG73" s="42"/>
      <c r="BH73" s="42"/>
      <c r="BI73" s="42"/>
      <c r="BJ73" s="42"/>
      <c r="BK73" s="42"/>
      <c r="BL73" s="42"/>
      <c r="BM73" s="42"/>
      <c r="BN73" s="42"/>
      <c r="BO73" s="42"/>
      <c r="BP73" s="42"/>
      <c r="BQ73" s="42"/>
      <c r="BR73" s="42"/>
      <c r="BS73" s="42"/>
      <c r="BT73" s="42"/>
    </row>
    <row r="74" spans="1:72">
      <c r="C74" s="19"/>
      <c r="D74" s="19"/>
      <c r="H74" s="3"/>
      <c r="I74" s="16"/>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P74" s="42"/>
      <c r="AQ74" s="42"/>
      <c r="AR74" s="42"/>
      <c r="AS74" s="42"/>
      <c r="AT74" s="42"/>
      <c r="AU74" s="42"/>
      <c r="AV74" s="42"/>
      <c r="AW74" s="42"/>
      <c r="AX74" s="42"/>
      <c r="AY74" s="42"/>
      <c r="AZ74" s="42"/>
      <c r="BA74" s="42"/>
      <c r="BB74" s="42"/>
      <c r="BC74" s="42"/>
      <c r="BD74" s="42"/>
      <c r="BE74" s="42"/>
      <c r="BF74" s="42"/>
      <c r="BG74" s="42"/>
      <c r="BH74" s="42"/>
      <c r="BI74" s="42"/>
      <c r="BJ74" s="42"/>
      <c r="BK74" s="42"/>
      <c r="BL74" s="42"/>
      <c r="BM74" s="42"/>
      <c r="BN74" s="42"/>
      <c r="BO74" s="42"/>
      <c r="BP74" s="42"/>
      <c r="BQ74" s="42"/>
      <c r="BR74" s="42"/>
      <c r="BS74" s="42"/>
      <c r="BT74" s="42"/>
    </row>
    <row r="75" spans="1:72">
      <c r="AP75" s="32"/>
      <c r="AQ75" s="32"/>
      <c r="AR75" s="32"/>
    </row>
    <row r="76" spans="1:72">
      <c r="AP76" s="32"/>
      <c r="AQ76" s="32"/>
      <c r="AR76" s="32"/>
    </row>
    <row r="77" spans="1:72">
      <c r="AP77" s="32"/>
      <c r="AQ77" s="32"/>
      <c r="AR77" s="32"/>
    </row>
    <row r="78" spans="1:72">
      <c r="AP78" s="32"/>
      <c r="AQ78" s="32"/>
      <c r="AR78" s="32"/>
    </row>
    <row r="79" spans="1:72">
      <c r="AP79" s="32"/>
      <c r="AQ79" s="32"/>
      <c r="AR79" s="32"/>
    </row>
    <row r="80" spans="1:72" s="9" customFormat="1" ht="19" thickBot="1">
      <c r="A80" s="9" t="s">
        <v>328</v>
      </c>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c r="BT80" s="36"/>
    </row>
    <row r="81" spans="42:7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row>
    <row r="82" spans="42:7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row>
    <row r="83" spans="42:72">
      <c r="AP83" s="32"/>
      <c r="AQ83" s="32"/>
      <c r="AR83" s="32"/>
      <c r="AS83" s="32"/>
      <c r="AT83" s="32"/>
      <c r="AU83" s="32"/>
      <c r="AV83" s="32"/>
      <c r="AW83" s="32"/>
      <c r="AX83" s="32"/>
      <c r="AY83" s="32"/>
      <c r="AZ83" s="32"/>
      <c r="BA83" s="32"/>
      <c r="BB83" s="32"/>
      <c r="BC83" s="32"/>
      <c r="BD83" s="32"/>
      <c r="BE83" s="32"/>
      <c r="BF83" s="32"/>
      <c r="BG83" s="32"/>
      <c r="BH83" s="32"/>
      <c r="BI83" s="32"/>
      <c r="BJ83" s="32"/>
      <c r="BK83" s="32"/>
      <c r="BL83" s="32"/>
      <c r="BM83" s="32"/>
      <c r="BN83" s="32"/>
      <c r="BO83" s="32"/>
      <c r="BP83" s="32"/>
      <c r="BQ83" s="32"/>
      <c r="BR83" s="32"/>
      <c r="BS83" s="32"/>
      <c r="BT83" s="32"/>
    </row>
  </sheetData>
  <conditionalFormatting sqref="F11:F16">
    <cfRule type="cellIs" dxfId="55" priority="5" operator="equal">
      <formula>FALSE</formula>
    </cfRule>
  </conditionalFormatting>
  <dataValidations count="4">
    <dataValidation type="list" allowBlank="1" showInputMessage="1" showErrorMessage="1" sqref="C60:C74" xr:uid="{B7DB0E47-41DC-ED41-AA4B-C5BB4D270CCB}">
      <formula1>OFFSET(lists_transmission_paths,,,COUNTA(lists_transmission_paths))</formula1>
    </dataValidation>
    <dataValidation type="list" allowBlank="1" showInputMessage="1" showErrorMessage="1" sqref="D31:D55 D60:D74 D24:D26" xr:uid="{D1569A4F-9752-544B-A97F-B1F313D5905E}">
      <formula1>OFFSET(AnnualEmissionsPolicy,0,0,COUNTA(AnnualEmissionsPolicy))</formula1>
    </dataValidation>
    <dataValidation type="list" allowBlank="1" showInputMessage="1" showErrorMessage="1" sqref="C31:C55" xr:uid="{15FBA743-3A33-E841-BB36-B8C4C982BF9C}">
      <formula1>OFFSET(lists_resources,0,0,COUNTA(lists_resources))</formula1>
    </dataValidation>
    <dataValidation type="list" allowBlank="1" showInputMessage="1" showErrorMessage="1" sqref="C24:C26" xr:uid="{7859961B-00D3-AD48-9F98-DD339CF98949}">
      <formula1>OFFSET(lists_candidate_fuels,,,COUNTA(lists_candidate_fuels))</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691" id="{3C121224-8584-C647-BB98-92F6FBEE8ED8}">
            <xm:f>ISNUMBER(MATCH(H11,'RESOLVE Case Settings'!$C$19:$C$42,0))</xm:f>
            <x14:dxf>
              <font>
                <color rgb="FF006100"/>
              </font>
              <fill>
                <patternFill>
                  <bgColor rgb="FFC6EFCE"/>
                </patternFill>
              </fill>
            </x14:dxf>
          </x14:cfRule>
          <xm:sqref>H24:H26 H31:H55 H60:H74 H11:H16</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3CF97-8D02-4743-AF8A-169CF7F65F66}">
  <sheetPr codeName="Sheet16">
    <tabColor theme="7" tint="0.79998168889431442"/>
  </sheetPr>
  <dimension ref="A1:BW87"/>
  <sheetViews>
    <sheetView showGridLines="0" topLeftCell="C1" zoomScale="80" zoomScaleNormal="80" workbookViewId="0">
      <selection activeCell="M18" sqref="M18"/>
    </sheetView>
  </sheetViews>
  <sheetFormatPr baseColWidth="10" defaultColWidth="11" defaultRowHeight="12" outlineLevelRow="2" outlineLevelCol="1"/>
  <cols>
    <col min="1" max="2" width="3" customWidth="1"/>
    <col min="3" max="3" width="34.59765625" bestFit="1" customWidth="1"/>
    <col min="4" max="4" width="34.59765625" customWidth="1"/>
    <col min="5" max="5" width="3" customWidth="1"/>
    <col min="6" max="6" width="26.59765625" bestFit="1" customWidth="1"/>
    <col min="7" max="7" width="3" customWidth="1"/>
    <col min="8" max="8" width="28.796875" bestFit="1" customWidth="1"/>
    <col min="9" max="9" width="3" customWidth="1"/>
    <col min="10" max="10" width="16" customWidth="1"/>
    <col min="11" max="12" width="16" hidden="1" customWidth="1" outlineLevel="1"/>
    <col min="13" max="13" width="16" customWidth="1" collapsed="1"/>
    <col min="14" max="16" width="16" customWidth="1"/>
    <col min="17" max="17" width="16" hidden="1" customWidth="1" outlineLevel="1"/>
    <col min="18" max="18" width="16" customWidth="1" collapsed="1"/>
    <col min="19" max="19" width="16" hidden="1" customWidth="1" outlineLevel="1"/>
    <col min="20" max="20" width="16" customWidth="1" collapsed="1"/>
    <col min="21" max="21" width="16" hidden="1" customWidth="1" outlineLevel="1"/>
    <col min="22" max="22" width="16" customWidth="1" collapsed="1"/>
    <col min="23" max="23" width="16" customWidth="1"/>
    <col min="24" max="24" width="16" hidden="1" customWidth="1" outlineLevel="1"/>
    <col min="25" max="25" width="16" customWidth="1" collapsed="1"/>
    <col min="26" max="28" width="16" hidden="1" customWidth="1" outlineLevel="1"/>
    <col min="29" max="29" width="16" customWidth="1" collapsed="1"/>
    <col min="30" max="30" width="16" customWidth="1"/>
    <col min="31" max="34" width="16" hidden="1" customWidth="1" outlineLevel="1"/>
    <col min="35" max="35" width="16" customWidth="1" collapsed="1"/>
    <col min="36" max="39" width="16" hidden="1" customWidth="1" outlineLevel="1"/>
    <col min="40" max="40" width="16" customWidth="1" collapsed="1"/>
    <col min="41" max="41" width="3" customWidth="1"/>
    <col min="42" max="42" width="16" customWidth="1"/>
    <col min="43" max="44" width="16" hidden="1" customWidth="1" outlineLevel="1"/>
    <col min="45" max="45" width="16" customWidth="1" collapsed="1"/>
    <col min="46" max="46" width="16" customWidth="1"/>
    <col min="47" max="47" width="16" customWidth="1" collapsed="1"/>
    <col min="48" max="48" width="16" customWidth="1"/>
    <col min="49" max="49" width="16" hidden="1" customWidth="1" outlineLevel="1"/>
    <col min="50" max="50" width="16" customWidth="1" collapsed="1"/>
    <col min="51" max="51" width="16" hidden="1" customWidth="1" outlineLevel="1"/>
    <col min="52" max="52" width="16" customWidth="1" collapsed="1"/>
    <col min="53" max="53" width="16" hidden="1" customWidth="1" outlineLevel="1"/>
    <col min="54" max="54" width="16" customWidth="1" collapsed="1"/>
    <col min="55" max="55" width="16" customWidth="1"/>
    <col min="56" max="56" width="16" hidden="1" customWidth="1" outlineLevel="1"/>
    <col min="57" max="57" width="16" customWidth="1" collapsed="1"/>
    <col min="58" max="60" width="16" hidden="1" customWidth="1" outlineLevel="1"/>
    <col min="61" max="62" width="16" customWidth="1" collapsed="1"/>
    <col min="63" max="66" width="16" hidden="1" customWidth="1" outlineLevel="1"/>
    <col min="67" max="67" width="16" customWidth="1" collapsed="1"/>
    <col min="68" max="71" width="16" hidden="1" customWidth="1" outlineLevel="1"/>
    <col min="72" max="72" width="16" customWidth="1" collapsed="1"/>
  </cols>
  <sheetData>
    <row r="1" spans="1:75" s="5" customFormat="1" ht="29" thickBot="1">
      <c r="A1" s="5" t="s">
        <v>307</v>
      </c>
    </row>
    <row r="5" spans="1:75" ht="19" thickBot="1">
      <c r="B5" s="9" t="s">
        <v>308</v>
      </c>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row>
    <row r="8" spans="1:75" ht="13">
      <c r="E8" s="16"/>
      <c r="G8" s="16"/>
      <c r="I8" s="16"/>
      <c r="J8" s="6" t="s">
        <v>329</v>
      </c>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row>
    <row r="9" spans="1:75" s="27" customFormat="1" hidden="1" outlineLevel="1">
      <c r="C9" s="27" t="s">
        <v>311</v>
      </c>
      <c r="H9"/>
      <c r="J9" s="27" t="s">
        <v>330</v>
      </c>
      <c r="K9" s="27" t="s">
        <v>330</v>
      </c>
      <c r="L9" s="27" t="s">
        <v>330</v>
      </c>
      <c r="M9" s="27" t="s">
        <v>330</v>
      </c>
      <c r="N9" s="27" t="s">
        <v>330</v>
      </c>
      <c r="O9" s="27" t="s">
        <v>330</v>
      </c>
      <c r="P9" s="27" t="s">
        <v>330</v>
      </c>
      <c r="Q9" s="27" t="s">
        <v>330</v>
      </c>
      <c r="R9" s="27" t="s">
        <v>330</v>
      </c>
      <c r="S9" s="27" t="s">
        <v>330</v>
      </c>
      <c r="T9" s="27" t="s">
        <v>330</v>
      </c>
      <c r="U9" s="27" t="s">
        <v>330</v>
      </c>
      <c r="V9" s="27" t="s">
        <v>330</v>
      </c>
      <c r="W9" s="27" t="s">
        <v>330</v>
      </c>
      <c r="X9" s="27" t="s">
        <v>330</v>
      </c>
      <c r="Y9" s="27" t="s">
        <v>330</v>
      </c>
      <c r="Z9" s="27" t="s">
        <v>330</v>
      </c>
      <c r="AA9" s="27" t="s">
        <v>330</v>
      </c>
      <c r="AB9" s="27" t="s">
        <v>330</v>
      </c>
      <c r="AC9" s="27" t="s">
        <v>330</v>
      </c>
      <c r="AD9" s="27" t="s">
        <v>330</v>
      </c>
      <c r="AE9" s="27" t="s">
        <v>330</v>
      </c>
      <c r="AF9" s="27" t="s">
        <v>330</v>
      </c>
      <c r="AG9" s="27" t="s">
        <v>330</v>
      </c>
      <c r="AH9" s="27" t="s">
        <v>330</v>
      </c>
      <c r="AI9" s="27" t="s">
        <v>330</v>
      </c>
      <c r="AJ9" s="27" t="s">
        <v>330</v>
      </c>
      <c r="AK9" s="27" t="s">
        <v>330</v>
      </c>
      <c r="AL9" s="27" t="s">
        <v>330</v>
      </c>
      <c r="AM9" s="27" t="s">
        <v>330</v>
      </c>
      <c r="AN9" s="27" t="s">
        <v>330</v>
      </c>
      <c r="AP9"/>
      <c r="AQ9"/>
      <c r="AR9"/>
      <c r="AS9"/>
      <c r="AT9"/>
      <c r="AU9"/>
      <c r="AV9"/>
      <c r="AW9"/>
      <c r="AX9"/>
      <c r="AY9"/>
      <c r="AZ9"/>
      <c r="BA9"/>
      <c r="BB9"/>
      <c r="BC9"/>
      <c r="BD9"/>
      <c r="BE9"/>
      <c r="BF9"/>
      <c r="BG9"/>
      <c r="BH9"/>
      <c r="BI9"/>
      <c r="BJ9"/>
      <c r="BK9"/>
      <c r="BL9"/>
      <c r="BM9"/>
      <c r="BN9"/>
      <c r="BO9"/>
      <c r="BP9"/>
      <c r="BQ9"/>
      <c r="BR9"/>
      <c r="BS9"/>
      <c r="BT9"/>
      <c r="BU9"/>
      <c r="BV9"/>
      <c r="BW9"/>
    </row>
    <row r="10" spans="1:75" ht="42" collapsed="1">
      <c r="C10" s="6" t="s">
        <v>314</v>
      </c>
      <c r="E10" s="16"/>
      <c r="F10" s="11" t="str">
        <f>"Included in Current System ("&amp;system_name&amp;")"</f>
        <v>Included in Current System (ISONE_toy_system)</v>
      </c>
      <c r="G10" s="16"/>
      <c r="H10" s="11" t="s">
        <v>251</v>
      </c>
      <c r="I10" s="16"/>
      <c r="J10" s="59">
        <f>start_year</f>
        <v>43831</v>
      </c>
      <c r="K10" s="59">
        <f t="shared" ref="K10:AN10" si="0">EDATE(J10,12)</f>
        <v>44197</v>
      </c>
      <c r="L10" s="59">
        <f t="shared" si="0"/>
        <v>44562</v>
      </c>
      <c r="M10" s="59">
        <f t="shared" si="0"/>
        <v>44927</v>
      </c>
      <c r="N10" s="59">
        <f t="shared" si="0"/>
        <v>45292</v>
      </c>
      <c r="O10" s="59">
        <f t="shared" si="0"/>
        <v>45658</v>
      </c>
      <c r="P10" s="59">
        <f t="shared" si="0"/>
        <v>46023</v>
      </c>
      <c r="Q10" s="59">
        <f t="shared" si="0"/>
        <v>46388</v>
      </c>
      <c r="R10" s="59">
        <f t="shared" si="0"/>
        <v>46753</v>
      </c>
      <c r="S10" s="59">
        <f t="shared" si="0"/>
        <v>47119</v>
      </c>
      <c r="T10" s="59">
        <f t="shared" si="0"/>
        <v>47484</v>
      </c>
      <c r="U10" s="59">
        <f t="shared" si="0"/>
        <v>47849</v>
      </c>
      <c r="V10" s="59">
        <f t="shared" si="0"/>
        <v>48214</v>
      </c>
      <c r="W10" s="59">
        <f t="shared" si="0"/>
        <v>48580</v>
      </c>
      <c r="X10" s="59">
        <f t="shared" si="0"/>
        <v>48945</v>
      </c>
      <c r="Y10" s="59">
        <f t="shared" si="0"/>
        <v>49310</v>
      </c>
      <c r="Z10" s="59">
        <f t="shared" si="0"/>
        <v>49675</v>
      </c>
      <c r="AA10" s="59">
        <f t="shared" si="0"/>
        <v>50041</v>
      </c>
      <c r="AB10" s="59">
        <f t="shared" si="0"/>
        <v>50406</v>
      </c>
      <c r="AC10" s="59">
        <f t="shared" si="0"/>
        <v>50771</v>
      </c>
      <c r="AD10" s="59">
        <f t="shared" si="0"/>
        <v>51136</v>
      </c>
      <c r="AE10" s="59">
        <f t="shared" si="0"/>
        <v>51502</v>
      </c>
      <c r="AF10" s="59">
        <f t="shared" si="0"/>
        <v>51867</v>
      </c>
      <c r="AG10" s="59">
        <f t="shared" si="0"/>
        <v>52232</v>
      </c>
      <c r="AH10" s="59">
        <f t="shared" si="0"/>
        <v>52597</v>
      </c>
      <c r="AI10" s="59">
        <f t="shared" si="0"/>
        <v>52963</v>
      </c>
      <c r="AJ10" s="59">
        <f t="shared" si="0"/>
        <v>53328</v>
      </c>
      <c r="AK10" s="59">
        <f t="shared" si="0"/>
        <v>53693</v>
      </c>
      <c r="AL10" s="59">
        <f t="shared" si="0"/>
        <v>54058</v>
      </c>
      <c r="AM10" s="59">
        <f t="shared" si="0"/>
        <v>54424</v>
      </c>
      <c r="AN10" s="59">
        <f t="shared" si="0"/>
        <v>54789</v>
      </c>
    </row>
    <row r="11" spans="1:75">
      <c r="C11" s="3"/>
      <c r="F11" s="39" t="str">
        <f>IF(ISBLANK($C11),"-/-",COUNTIFS(component_names,$C11,component_types,$C$9)&gt;0)</f>
        <v>-/-</v>
      </c>
      <c r="H11" s="3"/>
      <c r="J11" s="85"/>
      <c r="K11" s="85"/>
      <c r="L11" s="85"/>
      <c r="M11" s="85"/>
      <c r="N11" s="85"/>
      <c r="O11" s="85"/>
      <c r="P11" s="85"/>
      <c r="Q11" s="85"/>
      <c r="R11" s="85"/>
      <c r="S11" s="85"/>
      <c r="T11" s="85"/>
      <c r="U11" s="85"/>
      <c r="V11" s="85"/>
      <c r="W11" s="85"/>
      <c r="X11" s="85"/>
      <c r="Y11" s="85"/>
      <c r="Z11" s="85"/>
      <c r="AA11" s="85"/>
      <c r="AB11" s="85"/>
      <c r="AC11" s="85"/>
      <c r="AD11" s="85"/>
      <c r="AE11" s="85"/>
      <c r="AF11" s="85"/>
      <c r="AG11" s="85"/>
      <c r="AH11" s="85"/>
      <c r="AI11" s="85"/>
      <c r="AJ11" s="85"/>
      <c r="AK11" s="85"/>
      <c r="AL11" s="85"/>
      <c r="AM11" s="85"/>
      <c r="AN11" s="85"/>
    </row>
    <row r="12" spans="1:75">
      <c r="C12" s="3"/>
      <c r="F12" s="39" t="str">
        <f>IF(ISBLANK($C12),"-/-",COUNTIFS(component_names,$C12,component_types,$C$9)&gt;0)</f>
        <v>-/-</v>
      </c>
      <c r="H12" s="3"/>
      <c r="J12" s="85"/>
      <c r="K12" s="85"/>
      <c r="L12" s="85"/>
      <c r="M12" s="85"/>
      <c r="N12" s="85"/>
      <c r="O12" s="85"/>
      <c r="P12" s="85"/>
      <c r="Q12" s="85"/>
      <c r="R12" s="85"/>
      <c r="S12" s="85"/>
      <c r="T12" s="85"/>
      <c r="U12" s="85"/>
      <c r="V12" s="85"/>
      <c r="W12" s="85"/>
      <c r="X12" s="85"/>
      <c r="Y12" s="85"/>
      <c r="Z12" s="85"/>
      <c r="AA12" s="85"/>
      <c r="AB12" s="85"/>
      <c r="AC12" s="85"/>
      <c r="AD12" s="85"/>
      <c r="AE12" s="85"/>
      <c r="AF12" s="85"/>
      <c r="AG12" s="85"/>
      <c r="AH12" s="85"/>
      <c r="AI12" s="85"/>
      <c r="AJ12" s="85"/>
      <c r="AK12" s="85"/>
      <c r="AL12" s="85"/>
      <c r="AM12" s="85"/>
      <c r="AN12" s="85"/>
    </row>
    <row r="13" spans="1:75">
      <c r="C13" s="3"/>
      <c r="F13" s="39" t="str">
        <f>IF(ISBLANK($C13),"-/-",COUNTIFS(component_names,$C13,component_types,$C$9)&gt;0)</f>
        <v>-/-</v>
      </c>
      <c r="H13" s="3"/>
      <c r="J13" s="85"/>
      <c r="K13" s="85"/>
      <c r="L13" s="85"/>
      <c r="M13" s="85"/>
      <c r="N13" s="85"/>
      <c r="O13" s="85"/>
      <c r="P13" s="85"/>
      <c r="Q13" s="85"/>
      <c r="R13" s="85"/>
      <c r="S13" s="85"/>
      <c r="T13" s="85"/>
      <c r="U13" s="85"/>
      <c r="V13" s="85"/>
      <c r="W13" s="85"/>
      <c r="X13" s="85"/>
      <c r="Y13" s="85"/>
      <c r="Z13" s="85"/>
      <c r="AA13" s="85"/>
      <c r="AB13" s="85"/>
      <c r="AC13" s="85"/>
      <c r="AD13" s="85"/>
      <c r="AE13" s="85"/>
      <c r="AF13" s="85"/>
      <c r="AG13" s="85"/>
      <c r="AH13" s="85"/>
      <c r="AI13" s="85"/>
      <c r="AJ13" s="85"/>
      <c r="AK13" s="85"/>
      <c r="AL13" s="85"/>
      <c r="AM13" s="85"/>
      <c r="AN13" s="85"/>
    </row>
    <row r="14" spans="1:75">
      <c r="C14" s="3"/>
      <c r="F14" s="39" t="str">
        <f>IF(ISBLANK($C14),"-/-",COUNTIFS(component_names,$C14,component_types,$C$9)&gt;0)</f>
        <v>-/-</v>
      </c>
      <c r="H14" s="3"/>
      <c r="J14" s="85"/>
      <c r="K14" s="85"/>
      <c r="L14" s="85"/>
      <c r="M14" s="85"/>
      <c r="N14" s="85"/>
      <c r="O14" s="85"/>
      <c r="P14" s="85"/>
      <c r="Q14" s="85"/>
      <c r="R14" s="85"/>
      <c r="S14" s="85"/>
      <c r="T14" s="85"/>
      <c r="U14" s="85"/>
      <c r="V14" s="85"/>
      <c r="W14" s="85"/>
      <c r="X14" s="85"/>
      <c r="Y14" s="85"/>
      <c r="Z14" s="85"/>
      <c r="AA14" s="85"/>
      <c r="AB14" s="85"/>
      <c r="AC14" s="85"/>
      <c r="AD14" s="85"/>
      <c r="AE14" s="85"/>
      <c r="AF14" s="85"/>
      <c r="AG14" s="85"/>
      <c r="AH14" s="85"/>
      <c r="AI14" s="85"/>
      <c r="AJ14" s="85"/>
      <c r="AK14" s="85"/>
      <c r="AL14" s="85"/>
      <c r="AM14" s="85"/>
      <c r="AN14" s="85"/>
    </row>
    <row r="15" spans="1:75">
      <c r="C15" s="3"/>
      <c r="F15" s="39" t="str">
        <f>IF(ISBLANK($C15),"-/-",COUNTIFS(component_names,$C15,component_types,$C$9)&gt;0)</f>
        <v>-/-</v>
      </c>
      <c r="H15" s="3"/>
      <c r="J15" s="85"/>
      <c r="K15" s="85"/>
      <c r="L15" s="85"/>
      <c r="M15" s="85"/>
      <c r="N15" s="85"/>
      <c r="O15" s="85"/>
      <c r="P15" s="85"/>
      <c r="Q15" s="85"/>
      <c r="R15" s="85"/>
      <c r="S15" s="85"/>
      <c r="T15" s="85"/>
      <c r="U15" s="85"/>
      <c r="V15" s="85"/>
      <c r="W15" s="85"/>
      <c r="X15" s="85"/>
      <c r="Y15" s="85"/>
      <c r="Z15" s="85"/>
      <c r="AA15" s="85"/>
      <c r="AB15" s="85"/>
      <c r="AC15" s="85"/>
      <c r="AD15" s="85"/>
      <c r="AE15" s="85"/>
      <c r="AF15" s="85"/>
      <c r="AG15" s="85"/>
      <c r="AH15" s="85"/>
      <c r="AI15" s="85"/>
      <c r="AJ15" s="85"/>
      <c r="AK15" s="85"/>
      <c r="AL15" s="85"/>
      <c r="AM15" s="85"/>
      <c r="AN15" s="85"/>
    </row>
    <row r="18" spans="2:72" ht="19" thickBot="1">
      <c r="B18" s="9" t="s">
        <v>315</v>
      </c>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row>
    <row r="20" spans="2:72" ht="13">
      <c r="J20" s="6" t="s">
        <v>331</v>
      </c>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row>
    <row r="21" spans="2:72" s="27" customFormat="1" hidden="1" outlineLevel="1">
      <c r="C21" s="27" t="s">
        <v>317</v>
      </c>
      <c r="D21" s="27" t="s">
        <v>318</v>
      </c>
      <c r="F21"/>
      <c r="J21" s="27" t="s">
        <v>319</v>
      </c>
      <c r="K21" s="27" t="s">
        <v>319</v>
      </c>
      <c r="L21" s="27" t="s">
        <v>319</v>
      </c>
      <c r="M21" s="27" t="s">
        <v>319</v>
      </c>
      <c r="N21" s="27" t="s">
        <v>319</v>
      </c>
      <c r="O21" s="27" t="s">
        <v>319</v>
      </c>
      <c r="P21" s="27" t="s">
        <v>319</v>
      </c>
      <c r="Q21" s="27" t="s">
        <v>319</v>
      </c>
      <c r="R21" s="27" t="s">
        <v>319</v>
      </c>
      <c r="S21" s="27" t="s">
        <v>319</v>
      </c>
      <c r="T21" s="27" t="s">
        <v>319</v>
      </c>
      <c r="U21" s="27" t="s">
        <v>319</v>
      </c>
      <c r="V21" s="27" t="s">
        <v>319</v>
      </c>
      <c r="W21" s="27" t="s">
        <v>319</v>
      </c>
      <c r="X21" s="27" t="s">
        <v>319</v>
      </c>
      <c r="Y21" s="27" t="s">
        <v>319</v>
      </c>
      <c r="Z21" s="27" t="s">
        <v>319</v>
      </c>
      <c r="AA21" s="27" t="s">
        <v>319</v>
      </c>
      <c r="AB21" s="27" t="s">
        <v>319</v>
      </c>
      <c r="AC21" s="27" t="s">
        <v>319</v>
      </c>
      <c r="AD21" s="27" t="s">
        <v>319</v>
      </c>
      <c r="AE21" s="27" t="s">
        <v>319</v>
      </c>
      <c r="AF21" s="27" t="s">
        <v>319</v>
      </c>
      <c r="AG21" s="27" t="s">
        <v>319</v>
      </c>
      <c r="AH21" s="27" t="s">
        <v>319</v>
      </c>
      <c r="AI21" s="27" t="s">
        <v>319</v>
      </c>
      <c r="AJ21" s="27" t="s">
        <v>319</v>
      </c>
      <c r="AK21" s="27" t="s">
        <v>319</v>
      </c>
      <c r="AL21" s="27" t="s">
        <v>319</v>
      </c>
      <c r="AM21" s="27" t="s">
        <v>319</v>
      </c>
      <c r="AN21" s="27" t="s">
        <v>319</v>
      </c>
    </row>
    <row r="22" spans="2:72" ht="14" collapsed="1">
      <c r="C22" s="6" t="s">
        <v>255</v>
      </c>
      <c r="D22" s="6" t="s">
        <v>318</v>
      </c>
      <c r="H22" s="11" t="s">
        <v>251</v>
      </c>
      <c r="I22" s="16"/>
      <c r="J22" s="59">
        <f>start_year</f>
        <v>43831</v>
      </c>
      <c r="K22" s="59">
        <f t="shared" ref="K22:AN22" si="1">EDATE(J22,12)</f>
        <v>44197</v>
      </c>
      <c r="L22" s="59">
        <f t="shared" si="1"/>
        <v>44562</v>
      </c>
      <c r="M22" s="59">
        <f t="shared" si="1"/>
        <v>44927</v>
      </c>
      <c r="N22" s="59">
        <f t="shared" si="1"/>
        <v>45292</v>
      </c>
      <c r="O22" s="59">
        <f t="shared" si="1"/>
        <v>45658</v>
      </c>
      <c r="P22" s="59">
        <f t="shared" si="1"/>
        <v>46023</v>
      </c>
      <c r="Q22" s="59">
        <f t="shared" si="1"/>
        <v>46388</v>
      </c>
      <c r="R22" s="59">
        <f t="shared" si="1"/>
        <v>46753</v>
      </c>
      <c r="S22" s="59">
        <f t="shared" si="1"/>
        <v>47119</v>
      </c>
      <c r="T22" s="59">
        <f t="shared" si="1"/>
        <v>47484</v>
      </c>
      <c r="U22" s="59">
        <f t="shared" si="1"/>
        <v>47849</v>
      </c>
      <c r="V22" s="59">
        <f t="shared" si="1"/>
        <v>48214</v>
      </c>
      <c r="W22" s="59">
        <f t="shared" si="1"/>
        <v>48580</v>
      </c>
      <c r="X22" s="59">
        <f t="shared" si="1"/>
        <v>48945</v>
      </c>
      <c r="Y22" s="59">
        <f t="shared" si="1"/>
        <v>49310</v>
      </c>
      <c r="Z22" s="59">
        <f t="shared" si="1"/>
        <v>49675</v>
      </c>
      <c r="AA22" s="59">
        <f t="shared" si="1"/>
        <v>50041</v>
      </c>
      <c r="AB22" s="59">
        <f t="shared" si="1"/>
        <v>50406</v>
      </c>
      <c r="AC22" s="59">
        <f t="shared" si="1"/>
        <v>50771</v>
      </c>
      <c r="AD22" s="59">
        <f t="shared" si="1"/>
        <v>51136</v>
      </c>
      <c r="AE22" s="59">
        <f t="shared" si="1"/>
        <v>51502</v>
      </c>
      <c r="AF22" s="59">
        <f t="shared" si="1"/>
        <v>51867</v>
      </c>
      <c r="AG22" s="59">
        <f t="shared" si="1"/>
        <v>52232</v>
      </c>
      <c r="AH22" s="59">
        <f t="shared" si="1"/>
        <v>52597</v>
      </c>
      <c r="AI22" s="59">
        <f t="shared" si="1"/>
        <v>52963</v>
      </c>
      <c r="AJ22" s="59">
        <f t="shared" si="1"/>
        <v>53328</v>
      </c>
      <c r="AK22" s="59">
        <f t="shared" si="1"/>
        <v>53693</v>
      </c>
      <c r="AL22" s="59">
        <f t="shared" si="1"/>
        <v>54058</v>
      </c>
      <c r="AM22" s="59">
        <f t="shared" si="1"/>
        <v>54424</v>
      </c>
      <c r="AN22" s="59">
        <f t="shared" si="1"/>
        <v>54789</v>
      </c>
    </row>
    <row r="23" spans="2:72">
      <c r="C23" s="19"/>
      <c r="D23" s="19"/>
      <c r="H23" s="3"/>
      <c r="I23" s="16"/>
      <c r="J23" s="42"/>
      <c r="K23" s="42"/>
      <c r="L23" s="42"/>
      <c r="M23" s="42"/>
      <c r="N23" s="42"/>
      <c r="O23" s="42"/>
      <c r="P23" s="42"/>
      <c r="Q23" s="42"/>
      <c r="R23" s="42"/>
      <c r="S23" s="42"/>
      <c r="T23" s="42"/>
      <c r="U23" s="42"/>
      <c r="V23" s="42"/>
      <c r="W23" s="42"/>
      <c r="X23" s="42"/>
      <c r="Y23" s="42"/>
      <c r="Z23" s="42"/>
      <c r="AA23" s="42"/>
      <c r="AB23" s="42"/>
      <c r="AC23" s="42"/>
      <c r="AD23" s="42"/>
      <c r="AE23" s="42"/>
      <c r="AF23" s="42"/>
      <c r="AG23" s="42"/>
      <c r="AH23" s="42"/>
      <c r="AI23" s="42"/>
      <c r="AJ23" s="42"/>
      <c r="AK23" s="42"/>
      <c r="AL23" s="42"/>
      <c r="AM23" s="42"/>
      <c r="AN23" s="42"/>
    </row>
    <row r="24" spans="2:72">
      <c r="C24" s="19"/>
      <c r="D24" s="19"/>
      <c r="H24" s="3"/>
      <c r="I24" s="16"/>
      <c r="J24" s="42"/>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row>
    <row r="25" spans="2:72">
      <c r="C25" s="19"/>
      <c r="D25" s="19"/>
      <c r="H25" s="3"/>
      <c r="I25" s="16"/>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row>
    <row r="26" spans="2:72">
      <c r="C26" s="19"/>
      <c r="D26" s="19"/>
      <c r="H26" s="3"/>
      <c r="I26" s="16"/>
      <c r="J26" s="42"/>
      <c r="K26" s="42"/>
      <c r="L26" s="42"/>
      <c r="M26" s="42"/>
      <c r="N26" s="42"/>
      <c r="O26" s="42"/>
      <c r="P26" s="42"/>
      <c r="Q26" s="42"/>
      <c r="R26" s="42"/>
      <c r="S26" s="42"/>
      <c r="T26" s="42"/>
      <c r="U26" s="42"/>
      <c r="V26" s="42"/>
      <c r="W26" s="42"/>
      <c r="X26" s="42"/>
      <c r="Y26" s="42"/>
      <c r="Z26" s="42"/>
      <c r="AA26" s="42"/>
      <c r="AB26" s="42"/>
      <c r="AC26" s="42"/>
      <c r="AD26" s="42"/>
      <c r="AE26" s="42"/>
      <c r="AF26" s="42"/>
      <c r="AG26" s="42"/>
      <c r="AH26" s="42"/>
      <c r="AI26" s="42"/>
      <c r="AJ26" s="42"/>
      <c r="AK26" s="42"/>
      <c r="AL26" s="42"/>
      <c r="AM26" s="42"/>
      <c r="AN26" s="42"/>
    </row>
    <row r="27" spans="2:72">
      <c r="C27" s="19"/>
      <c r="D27" s="19"/>
      <c r="H27" s="3"/>
      <c r="I27" s="16"/>
      <c r="J27" s="42"/>
      <c r="K27" s="42"/>
      <c r="L27" s="42"/>
      <c r="M27" s="42"/>
      <c r="N27" s="42"/>
      <c r="O27" s="42"/>
      <c r="P27" s="42"/>
      <c r="Q27" s="42"/>
      <c r="R27" s="42"/>
      <c r="S27" s="42"/>
      <c r="T27" s="42"/>
      <c r="U27" s="42"/>
      <c r="V27" s="42"/>
      <c r="W27" s="42"/>
      <c r="X27" s="42"/>
      <c r="Y27" s="42"/>
      <c r="Z27" s="42"/>
      <c r="AA27" s="42"/>
      <c r="AB27" s="42"/>
      <c r="AC27" s="42"/>
      <c r="AD27" s="42"/>
      <c r="AE27" s="42"/>
      <c r="AF27" s="42"/>
      <c r="AG27" s="42"/>
      <c r="AH27" s="42"/>
      <c r="AI27" s="42"/>
      <c r="AJ27" s="42"/>
      <c r="AK27" s="42"/>
      <c r="AL27" s="42"/>
      <c r="AM27" s="42"/>
      <c r="AN27" s="42"/>
    </row>
    <row r="28" spans="2:72">
      <c r="C28" s="19"/>
      <c r="D28" s="19"/>
      <c r="H28" s="3"/>
      <c r="I28" s="16"/>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row>
    <row r="29" spans="2:72">
      <c r="C29" s="19"/>
      <c r="D29" s="19"/>
      <c r="H29" s="3"/>
      <c r="I29" s="16"/>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row>
    <row r="30" spans="2:72">
      <c r="C30" s="19"/>
      <c r="D30" s="19"/>
      <c r="H30" s="3"/>
      <c r="I30" s="16"/>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row>
    <row r="31" spans="2:72">
      <c r="AP31" s="32"/>
      <c r="AQ31" s="32"/>
      <c r="AR31" s="32"/>
    </row>
    <row r="32" spans="2:72" ht="13" hidden="1" outlineLevel="1">
      <c r="J32" s="6" t="s">
        <v>321</v>
      </c>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row>
    <row r="33" spans="3:40" s="27" customFormat="1" hidden="1" outlineLevel="2">
      <c r="C33" s="27" t="s">
        <v>296</v>
      </c>
      <c r="D33" s="27" t="s">
        <v>318</v>
      </c>
      <c r="F33"/>
      <c r="J33" s="27" t="s">
        <v>319</v>
      </c>
      <c r="K33" s="27" t="s">
        <v>319</v>
      </c>
      <c r="L33" s="27" t="s">
        <v>319</v>
      </c>
      <c r="M33" s="27" t="s">
        <v>319</v>
      </c>
      <c r="N33" s="27" t="s">
        <v>319</v>
      </c>
      <c r="O33" s="27" t="s">
        <v>319</v>
      </c>
      <c r="P33" s="27" t="s">
        <v>319</v>
      </c>
      <c r="Q33" s="27" t="s">
        <v>319</v>
      </c>
      <c r="R33" s="27" t="s">
        <v>319</v>
      </c>
      <c r="S33" s="27" t="s">
        <v>319</v>
      </c>
      <c r="T33" s="27" t="s">
        <v>319</v>
      </c>
      <c r="U33" s="27" t="s">
        <v>319</v>
      </c>
      <c r="V33" s="27" t="s">
        <v>319</v>
      </c>
      <c r="W33" s="27" t="s">
        <v>319</v>
      </c>
      <c r="X33" s="27" t="s">
        <v>319</v>
      </c>
      <c r="Y33" s="27" t="s">
        <v>319</v>
      </c>
      <c r="Z33" s="27" t="s">
        <v>319</v>
      </c>
      <c r="AA33" s="27" t="s">
        <v>319</v>
      </c>
      <c r="AB33" s="27" t="s">
        <v>319</v>
      </c>
      <c r="AC33" s="27" t="s">
        <v>319</v>
      </c>
      <c r="AD33" s="27" t="s">
        <v>319</v>
      </c>
      <c r="AE33" s="27" t="s">
        <v>319</v>
      </c>
      <c r="AF33" s="27" t="s">
        <v>319</v>
      </c>
      <c r="AG33" s="27" t="s">
        <v>319</v>
      </c>
      <c r="AH33" s="27" t="s">
        <v>319</v>
      </c>
      <c r="AI33" s="27" t="s">
        <v>319</v>
      </c>
      <c r="AJ33" s="27" t="s">
        <v>319</v>
      </c>
      <c r="AK33" s="27" t="s">
        <v>319</v>
      </c>
      <c r="AL33" s="27" t="s">
        <v>319</v>
      </c>
      <c r="AM33" s="27" t="s">
        <v>319</v>
      </c>
      <c r="AN33" s="27" t="s">
        <v>319</v>
      </c>
    </row>
    <row r="34" spans="3:40" ht="14" hidden="1" outlineLevel="1">
      <c r="C34" s="6" t="s">
        <v>296</v>
      </c>
      <c r="D34" s="6" t="s">
        <v>318</v>
      </c>
      <c r="H34" s="11" t="s">
        <v>251</v>
      </c>
      <c r="J34" s="59">
        <f>start_year</f>
        <v>43831</v>
      </c>
      <c r="K34" s="59">
        <f t="shared" ref="K34:AN34" si="2">EDATE(J34,12)</f>
        <v>44197</v>
      </c>
      <c r="L34" s="59">
        <f t="shared" si="2"/>
        <v>44562</v>
      </c>
      <c r="M34" s="59">
        <f t="shared" si="2"/>
        <v>44927</v>
      </c>
      <c r="N34" s="59">
        <f t="shared" si="2"/>
        <v>45292</v>
      </c>
      <c r="O34" s="59">
        <f t="shared" si="2"/>
        <v>45658</v>
      </c>
      <c r="P34" s="59">
        <f t="shared" si="2"/>
        <v>46023</v>
      </c>
      <c r="Q34" s="59">
        <f t="shared" si="2"/>
        <v>46388</v>
      </c>
      <c r="R34" s="59">
        <f t="shared" si="2"/>
        <v>46753</v>
      </c>
      <c r="S34" s="59">
        <f t="shared" si="2"/>
        <v>47119</v>
      </c>
      <c r="T34" s="59">
        <f t="shared" si="2"/>
        <v>47484</v>
      </c>
      <c r="U34" s="59">
        <f t="shared" si="2"/>
        <v>47849</v>
      </c>
      <c r="V34" s="59">
        <f t="shared" si="2"/>
        <v>48214</v>
      </c>
      <c r="W34" s="59">
        <f t="shared" si="2"/>
        <v>48580</v>
      </c>
      <c r="X34" s="59">
        <f t="shared" si="2"/>
        <v>48945</v>
      </c>
      <c r="Y34" s="59">
        <f t="shared" si="2"/>
        <v>49310</v>
      </c>
      <c r="Z34" s="59">
        <f t="shared" si="2"/>
        <v>49675</v>
      </c>
      <c r="AA34" s="59">
        <f t="shared" si="2"/>
        <v>50041</v>
      </c>
      <c r="AB34" s="59">
        <f t="shared" si="2"/>
        <v>50406</v>
      </c>
      <c r="AC34" s="59">
        <f t="shared" si="2"/>
        <v>50771</v>
      </c>
      <c r="AD34" s="59">
        <f t="shared" si="2"/>
        <v>51136</v>
      </c>
      <c r="AE34" s="59">
        <f t="shared" si="2"/>
        <v>51502</v>
      </c>
      <c r="AF34" s="59">
        <f t="shared" si="2"/>
        <v>51867</v>
      </c>
      <c r="AG34" s="59">
        <f t="shared" si="2"/>
        <v>52232</v>
      </c>
      <c r="AH34" s="59">
        <f t="shared" si="2"/>
        <v>52597</v>
      </c>
      <c r="AI34" s="59">
        <f t="shared" si="2"/>
        <v>52963</v>
      </c>
      <c r="AJ34" s="59">
        <f t="shared" si="2"/>
        <v>53328</v>
      </c>
      <c r="AK34" s="59">
        <f t="shared" si="2"/>
        <v>53693</v>
      </c>
      <c r="AL34" s="59">
        <f t="shared" si="2"/>
        <v>54058</v>
      </c>
      <c r="AM34" s="59">
        <f t="shared" si="2"/>
        <v>54424</v>
      </c>
      <c r="AN34" s="59">
        <f t="shared" si="2"/>
        <v>54789</v>
      </c>
    </row>
    <row r="35" spans="3:40" hidden="1" outlineLevel="1">
      <c r="C35" s="19"/>
      <c r="D35" s="19"/>
      <c r="H35" s="3"/>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42"/>
      <c r="AK35" s="42"/>
      <c r="AL35" s="42"/>
      <c r="AM35" s="42"/>
      <c r="AN35" s="42"/>
    </row>
    <row r="36" spans="3:40" hidden="1" outlineLevel="1">
      <c r="C36" s="19"/>
      <c r="D36" s="19"/>
      <c r="H36" s="3"/>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row>
    <row r="37" spans="3:40" hidden="1" outlineLevel="1">
      <c r="C37" s="19"/>
      <c r="D37" s="19"/>
      <c r="H37" s="3"/>
      <c r="J37" s="42"/>
      <c r="K37" s="42"/>
      <c r="L37" s="42"/>
      <c r="M37" s="42"/>
      <c r="N37" s="42"/>
      <c r="O37" s="42"/>
      <c r="P37" s="42"/>
      <c r="Q37" s="42"/>
      <c r="R37" s="42"/>
      <c r="S37" s="42"/>
      <c r="T37" s="42"/>
      <c r="U37" s="42"/>
      <c r="V37" s="42"/>
      <c r="W37" s="42"/>
      <c r="X37" s="42"/>
      <c r="Y37" s="42"/>
      <c r="Z37" s="42"/>
      <c r="AA37" s="42"/>
      <c r="AB37" s="42"/>
      <c r="AC37" s="42"/>
      <c r="AD37" s="42"/>
      <c r="AE37" s="42"/>
      <c r="AF37" s="42"/>
      <c r="AG37" s="42"/>
      <c r="AH37" s="42"/>
      <c r="AI37" s="42"/>
      <c r="AJ37" s="42"/>
      <c r="AK37" s="42"/>
      <c r="AL37" s="42"/>
      <c r="AM37" s="42"/>
      <c r="AN37" s="42"/>
    </row>
    <row r="38" spans="3:40" hidden="1" outlineLevel="1">
      <c r="C38" s="19"/>
      <c r="D38" s="19"/>
      <c r="H38" s="3"/>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42"/>
      <c r="AK38" s="42"/>
      <c r="AL38" s="42"/>
      <c r="AM38" s="42"/>
      <c r="AN38" s="42"/>
    </row>
    <row r="39" spans="3:40" hidden="1" outlineLevel="1">
      <c r="C39" s="19"/>
      <c r="D39" s="19"/>
      <c r="H39" s="3"/>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row>
    <row r="40" spans="3:40" hidden="1" outlineLevel="1">
      <c r="C40" s="19"/>
      <c r="D40" s="19"/>
      <c r="H40" s="3"/>
      <c r="J40" s="42"/>
      <c r="K40" s="42"/>
      <c r="L40" s="42"/>
      <c r="M40" s="42"/>
      <c r="N40" s="42"/>
      <c r="O40" s="42"/>
      <c r="P40" s="42"/>
      <c r="Q40" s="42"/>
      <c r="R40" s="42"/>
      <c r="S40" s="42"/>
      <c r="T40" s="42"/>
      <c r="U40" s="42"/>
      <c r="V40" s="42"/>
      <c r="W40" s="42"/>
      <c r="X40" s="42"/>
      <c r="Y40" s="42"/>
      <c r="Z40" s="42"/>
      <c r="AA40" s="42"/>
      <c r="AB40" s="42"/>
      <c r="AC40" s="42"/>
      <c r="AD40" s="42"/>
      <c r="AE40" s="42"/>
      <c r="AF40" s="42"/>
      <c r="AG40" s="42"/>
      <c r="AH40" s="42"/>
      <c r="AI40" s="42"/>
      <c r="AJ40" s="42"/>
      <c r="AK40" s="42"/>
      <c r="AL40" s="42"/>
      <c r="AM40" s="42"/>
      <c r="AN40" s="42"/>
    </row>
    <row r="41" spans="3:40" hidden="1" outlineLevel="1">
      <c r="C41" s="19"/>
      <c r="D41" s="19"/>
      <c r="H41" s="3"/>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row>
    <row r="42" spans="3:40" hidden="1" outlineLevel="1">
      <c r="C42" s="19"/>
      <c r="D42" s="19"/>
      <c r="H42" s="3"/>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42"/>
      <c r="AK42" s="42"/>
      <c r="AL42" s="42"/>
      <c r="AM42" s="42"/>
      <c r="AN42" s="42"/>
    </row>
    <row r="43" spans="3:40" hidden="1" outlineLevel="1">
      <c r="C43" s="19"/>
      <c r="D43" s="19"/>
      <c r="H43" s="3"/>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42"/>
      <c r="AK43" s="42"/>
      <c r="AL43" s="42"/>
      <c r="AM43" s="42"/>
      <c r="AN43" s="42"/>
    </row>
    <row r="44" spans="3:40" hidden="1" outlineLevel="1">
      <c r="C44" s="19"/>
      <c r="D44" s="19"/>
      <c r="H44" s="3"/>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42"/>
      <c r="AJ44" s="42"/>
      <c r="AK44" s="42"/>
      <c r="AL44" s="42"/>
      <c r="AM44" s="42"/>
      <c r="AN44" s="42"/>
    </row>
    <row r="45" spans="3:40" hidden="1" outlineLevel="1">
      <c r="C45" s="19"/>
      <c r="D45" s="19"/>
      <c r="H45" s="3"/>
      <c r="J45" s="42"/>
      <c r="K45" s="42"/>
      <c r="L45" s="42"/>
      <c r="M45" s="42"/>
      <c r="N45" s="42"/>
      <c r="O45" s="42"/>
      <c r="P45" s="42"/>
      <c r="Q45" s="42"/>
      <c r="R45" s="42"/>
      <c r="S45" s="42"/>
      <c r="T45" s="42"/>
      <c r="U45" s="42"/>
      <c r="V45" s="42"/>
      <c r="W45" s="42"/>
      <c r="X45" s="42"/>
      <c r="Y45" s="42"/>
      <c r="Z45" s="42"/>
      <c r="AA45" s="42"/>
      <c r="AB45" s="42"/>
      <c r="AC45" s="42"/>
      <c r="AD45" s="42"/>
      <c r="AE45" s="42"/>
      <c r="AF45" s="42"/>
      <c r="AG45" s="42"/>
      <c r="AH45" s="42"/>
      <c r="AI45" s="42"/>
      <c r="AJ45" s="42"/>
      <c r="AK45" s="42"/>
      <c r="AL45" s="42"/>
      <c r="AM45" s="42"/>
      <c r="AN45" s="42"/>
    </row>
    <row r="46" spans="3:40" hidden="1" outlineLevel="1">
      <c r="C46" s="19"/>
      <c r="D46" s="19"/>
      <c r="H46" s="3"/>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42"/>
      <c r="AK46" s="42"/>
      <c r="AL46" s="42"/>
      <c r="AM46" s="42"/>
      <c r="AN46" s="42"/>
    </row>
    <row r="47" spans="3:40" hidden="1" outlineLevel="1">
      <c r="C47" s="19"/>
      <c r="D47" s="19"/>
      <c r="H47" s="3"/>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42"/>
      <c r="AK47" s="42"/>
      <c r="AL47" s="42"/>
      <c r="AM47" s="42"/>
      <c r="AN47" s="42"/>
    </row>
    <row r="48" spans="3:40" hidden="1" outlineLevel="1">
      <c r="C48" s="19"/>
      <c r="D48" s="19"/>
      <c r="H48" s="3"/>
      <c r="J48" s="42"/>
      <c r="K48" s="42"/>
      <c r="L48" s="42"/>
      <c r="M48" s="42"/>
      <c r="N48" s="42"/>
      <c r="O48" s="42"/>
      <c r="P48" s="42"/>
      <c r="Q48" s="42"/>
      <c r="R48" s="42"/>
      <c r="S48" s="42"/>
      <c r="T48" s="42"/>
      <c r="U48" s="42"/>
      <c r="V48" s="42"/>
      <c r="W48" s="42"/>
      <c r="X48" s="42"/>
      <c r="Y48" s="42"/>
      <c r="Z48" s="42"/>
      <c r="AA48" s="42"/>
      <c r="AB48" s="42"/>
      <c r="AC48" s="42"/>
      <c r="AD48" s="42"/>
      <c r="AE48" s="42"/>
      <c r="AF48" s="42"/>
      <c r="AG48" s="42"/>
      <c r="AH48" s="42"/>
      <c r="AI48" s="42"/>
      <c r="AJ48" s="42"/>
      <c r="AK48" s="42"/>
      <c r="AL48" s="42"/>
      <c r="AM48" s="42"/>
      <c r="AN48" s="42"/>
    </row>
    <row r="49" spans="3:72" hidden="1" outlineLevel="1">
      <c r="C49" s="19"/>
      <c r="D49" s="19"/>
      <c r="H49" s="3"/>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42"/>
      <c r="AK49" s="42"/>
      <c r="AL49" s="42"/>
      <c r="AM49" s="42"/>
      <c r="AN49" s="42"/>
    </row>
    <row r="50" spans="3:72" hidden="1" outlineLevel="1">
      <c r="C50" s="19"/>
      <c r="D50" s="19"/>
      <c r="H50" s="3"/>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row>
    <row r="51" spans="3:72" hidden="1" outlineLevel="1">
      <c r="C51" s="19"/>
      <c r="D51" s="19"/>
      <c r="H51" s="3"/>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row>
    <row r="52" spans="3:72" hidden="1" outlineLevel="1">
      <c r="C52" s="19"/>
      <c r="D52" s="19"/>
      <c r="H52" s="3"/>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row>
    <row r="53" spans="3:72" hidden="1" outlineLevel="1">
      <c r="C53" s="19"/>
      <c r="D53" s="19"/>
      <c r="H53" s="3"/>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row>
    <row r="54" spans="3:72" hidden="1" outlineLevel="1">
      <c r="C54" s="19"/>
      <c r="D54" s="19"/>
      <c r="H54" s="3"/>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row>
    <row r="55" spans="3:72" hidden="1" outlineLevel="1">
      <c r="C55" s="19"/>
      <c r="D55" s="19"/>
      <c r="H55" s="3"/>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row>
    <row r="56" spans="3:72" hidden="1" outlineLevel="1">
      <c r="C56" s="19"/>
      <c r="D56" s="19"/>
      <c r="H56" s="3"/>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row>
    <row r="57" spans="3:72" hidden="1" outlineLevel="1">
      <c r="C57" s="19"/>
      <c r="D57" s="19"/>
      <c r="H57" s="3"/>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row>
    <row r="58" spans="3:72" hidden="1" outlineLevel="1">
      <c r="C58" s="19"/>
      <c r="D58" s="19"/>
      <c r="H58" s="3"/>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row>
    <row r="59" spans="3:72" hidden="1" outlineLevel="1">
      <c r="C59" s="19"/>
      <c r="D59" s="19"/>
      <c r="H59" s="3"/>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row>
    <row r="60" spans="3:72" hidden="1" outlineLevel="1">
      <c r="AP60" s="32"/>
      <c r="AQ60" s="32"/>
      <c r="AR60" s="32"/>
    </row>
    <row r="61" spans="3:72" ht="13" collapsed="1">
      <c r="J61" s="6" t="s">
        <v>322</v>
      </c>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P61" s="6" t="s">
        <v>323</v>
      </c>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row>
    <row r="62" spans="3:72" s="27" customFormat="1" hidden="1" outlineLevel="1">
      <c r="C62" s="27" t="s">
        <v>324</v>
      </c>
      <c r="D62" s="27" t="s">
        <v>318</v>
      </c>
      <c r="F62"/>
      <c r="J62" s="27" t="s">
        <v>325</v>
      </c>
      <c r="K62" s="27" t="s">
        <v>325</v>
      </c>
      <c r="L62" s="27" t="s">
        <v>325</v>
      </c>
      <c r="M62" s="27" t="s">
        <v>325</v>
      </c>
      <c r="N62" s="27" t="s">
        <v>325</v>
      </c>
      <c r="O62" s="27" t="s">
        <v>325</v>
      </c>
      <c r="P62" s="27" t="s">
        <v>325</v>
      </c>
      <c r="Q62" s="27" t="s">
        <v>325</v>
      </c>
      <c r="R62" s="27" t="s">
        <v>325</v>
      </c>
      <c r="S62" s="27" t="s">
        <v>325</v>
      </c>
      <c r="T62" s="27" t="s">
        <v>325</v>
      </c>
      <c r="U62" s="27" t="s">
        <v>325</v>
      </c>
      <c r="V62" s="27" t="s">
        <v>325</v>
      </c>
      <c r="W62" s="27" t="s">
        <v>325</v>
      </c>
      <c r="X62" s="27" t="s">
        <v>325</v>
      </c>
      <c r="Y62" s="27" t="s">
        <v>325</v>
      </c>
      <c r="Z62" s="27" t="s">
        <v>325</v>
      </c>
      <c r="AA62" s="27" t="s">
        <v>325</v>
      </c>
      <c r="AB62" s="27" t="s">
        <v>325</v>
      </c>
      <c r="AC62" s="27" t="s">
        <v>325</v>
      </c>
      <c r="AD62" s="27" t="s">
        <v>325</v>
      </c>
      <c r="AE62" s="27" t="s">
        <v>325</v>
      </c>
      <c r="AF62" s="27" t="s">
        <v>325</v>
      </c>
      <c r="AG62" s="27" t="s">
        <v>325</v>
      </c>
      <c r="AH62" s="27" t="s">
        <v>325</v>
      </c>
      <c r="AI62" s="27" t="s">
        <v>325</v>
      </c>
      <c r="AJ62" s="27" t="s">
        <v>325</v>
      </c>
      <c r="AK62" s="27" t="s">
        <v>325</v>
      </c>
      <c r="AL62" s="27" t="s">
        <v>325</v>
      </c>
      <c r="AM62" s="27" t="s">
        <v>325</v>
      </c>
      <c r="AN62" s="27" t="s">
        <v>325</v>
      </c>
      <c r="AP62" s="27" t="s">
        <v>326</v>
      </c>
      <c r="AQ62" s="27" t="s">
        <v>326</v>
      </c>
      <c r="AR62" s="27" t="s">
        <v>326</v>
      </c>
      <c r="AS62" s="27" t="s">
        <v>326</v>
      </c>
      <c r="AT62" s="27" t="s">
        <v>326</v>
      </c>
      <c r="AU62" s="27" t="s">
        <v>326</v>
      </c>
      <c r="AV62" s="27" t="s">
        <v>326</v>
      </c>
      <c r="AW62" s="27" t="s">
        <v>326</v>
      </c>
      <c r="AX62" s="27" t="s">
        <v>326</v>
      </c>
      <c r="AY62" s="27" t="s">
        <v>326</v>
      </c>
      <c r="AZ62" s="27" t="s">
        <v>326</v>
      </c>
      <c r="BA62" s="27" t="s">
        <v>326</v>
      </c>
      <c r="BB62" s="27" t="s">
        <v>326</v>
      </c>
      <c r="BC62" s="27" t="s">
        <v>326</v>
      </c>
      <c r="BD62" s="27" t="s">
        <v>326</v>
      </c>
      <c r="BE62" s="27" t="s">
        <v>326</v>
      </c>
      <c r="BF62" s="27" t="s">
        <v>326</v>
      </c>
      <c r="BG62" s="27" t="s">
        <v>326</v>
      </c>
      <c r="BH62" s="27" t="s">
        <v>326</v>
      </c>
      <c r="BI62" s="27" t="s">
        <v>326</v>
      </c>
      <c r="BJ62" s="27" t="s">
        <v>326</v>
      </c>
      <c r="BK62" s="27" t="s">
        <v>326</v>
      </c>
      <c r="BL62" s="27" t="s">
        <v>326</v>
      </c>
      <c r="BM62" s="27" t="s">
        <v>326</v>
      </c>
      <c r="BN62" s="27" t="s">
        <v>326</v>
      </c>
      <c r="BO62" s="27" t="s">
        <v>326</v>
      </c>
      <c r="BP62" s="27" t="s">
        <v>326</v>
      </c>
      <c r="BQ62" s="27" t="s">
        <v>326</v>
      </c>
      <c r="BR62" s="27" t="s">
        <v>326</v>
      </c>
      <c r="BS62" s="27" t="s">
        <v>326</v>
      </c>
      <c r="BT62" s="27" t="s">
        <v>326</v>
      </c>
    </row>
    <row r="63" spans="3:72" ht="14" collapsed="1">
      <c r="C63" s="6" t="s">
        <v>327</v>
      </c>
      <c r="D63" s="6" t="s">
        <v>318</v>
      </c>
      <c r="H63" s="11" t="s">
        <v>251</v>
      </c>
      <c r="J63" s="59">
        <f>start_year</f>
        <v>43831</v>
      </c>
      <c r="K63" s="59">
        <f t="shared" ref="K63:AN63" si="3">EDATE(J63,12)</f>
        <v>44197</v>
      </c>
      <c r="L63" s="59">
        <f t="shared" si="3"/>
        <v>44562</v>
      </c>
      <c r="M63" s="59">
        <f t="shared" si="3"/>
        <v>44927</v>
      </c>
      <c r="N63" s="59">
        <f t="shared" si="3"/>
        <v>45292</v>
      </c>
      <c r="O63" s="59">
        <f t="shared" si="3"/>
        <v>45658</v>
      </c>
      <c r="P63" s="59">
        <f t="shared" si="3"/>
        <v>46023</v>
      </c>
      <c r="Q63" s="59">
        <f t="shared" si="3"/>
        <v>46388</v>
      </c>
      <c r="R63" s="59">
        <f t="shared" si="3"/>
        <v>46753</v>
      </c>
      <c r="S63" s="59">
        <f t="shared" si="3"/>
        <v>47119</v>
      </c>
      <c r="T63" s="59">
        <f t="shared" si="3"/>
        <v>47484</v>
      </c>
      <c r="U63" s="59">
        <f t="shared" si="3"/>
        <v>47849</v>
      </c>
      <c r="V63" s="59">
        <f t="shared" si="3"/>
        <v>48214</v>
      </c>
      <c r="W63" s="59">
        <f t="shared" si="3"/>
        <v>48580</v>
      </c>
      <c r="X63" s="59">
        <f t="shared" si="3"/>
        <v>48945</v>
      </c>
      <c r="Y63" s="59">
        <f t="shared" si="3"/>
        <v>49310</v>
      </c>
      <c r="Z63" s="59">
        <f t="shared" si="3"/>
        <v>49675</v>
      </c>
      <c r="AA63" s="59">
        <f t="shared" si="3"/>
        <v>50041</v>
      </c>
      <c r="AB63" s="59">
        <f t="shared" si="3"/>
        <v>50406</v>
      </c>
      <c r="AC63" s="59">
        <f t="shared" si="3"/>
        <v>50771</v>
      </c>
      <c r="AD63" s="59">
        <f t="shared" si="3"/>
        <v>51136</v>
      </c>
      <c r="AE63" s="59">
        <f t="shared" si="3"/>
        <v>51502</v>
      </c>
      <c r="AF63" s="59">
        <f t="shared" si="3"/>
        <v>51867</v>
      </c>
      <c r="AG63" s="59">
        <f t="shared" si="3"/>
        <v>52232</v>
      </c>
      <c r="AH63" s="59">
        <f t="shared" si="3"/>
        <v>52597</v>
      </c>
      <c r="AI63" s="59">
        <f t="shared" si="3"/>
        <v>52963</v>
      </c>
      <c r="AJ63" s="59">
        <f t="shared" si="3"/>
        <v>53328</v>
      </c>
      <c r="AK63" s="59">
        <f t="shared" si="3"/>
        <v>53693</v>
      </c>
      <c r="AL63" s="59">
        <f t="shared" si="3"/>
        <v>54058</v>
      </c>
      <c r="AM63" s="59">
        <f t="shared" si="3"/>
        <v>54424</v>
      </c>
      <c r="AN63" s="59">
        <f t="shared" si="3"/>
        <v>54789</v>
      </c>
      <c r="AP63" s="59">
        <f>start_year</f>
        <v>43831</v>
      </c>
      <c r="AQ63" s="59">
        <f t="shared" ref="AQ63:BT63" si="4">EDATE(AP63,12)</f>
        <v>44197</v>
      </c>
      <c r="AR63" s="59">
        <f t="shared" si="4"/>
        <v>44562</v>
      </c>
      <c r="AS63" s="59">
        <f t="shared" si="4"/>
        <v>44927</v>
      </c>
      <c r="AT63" s="59">
        <f t="shared" si="4"/>
        <v>45292</v>
      </c>
      <c r="AU63" s="59">
        <f t="shared" si="4"/>
        <v>45658</v>
      </c>
      <c r="AV63" s="59">
        <f t="shared" si="4"/>
        <v>46023</v>
      </c>
      <c r="AW63" s="59">
        <f t="shared" si="4"/>
        <v>46388</v>
      </c>
      <c r="AX63" s="59">
        <f t="shared" si="4"/>
        <v>46753</v>
      </c>
      <c r="AY63" s="59">
        <f t="shared" si="4"/>
        <v>47119</v>
      </c>
      <c r="AZ63" s="59">
        <f t="shared" si="4"/>
        <v>47484</v>
      </c>
      <c r="BA63" s="59">
        <f t="shared" si="4"/>
        <v>47849</v>
      </c>
      <c r="BB63" s="59">
        <f t="shared" si="4"/>
        <v>48214</v>
      </c>
      <c r="BC63" s="59">
        <f t="shared" si="4"/>
        <v>48580</v>
      </c>
      <c r="BD63" s="59">
        <f t="shared" si="4"/>
        <v>48945</v>
      </c>
      <c r="BE63" s="59">
        <f t="shared" si="4"/>
        <v>49310</v>
      </c>
      <c r="BF63" s="59">
        <f t="shared" si="4"/>
        <v>49675</v>
      </c>
      <c r="BG63" s="59">
        <f t="shared" si="4"/>
        <v>50041</v>
      </c>
      <c r="BH63" s="59">
        <f t="shared" si="4"/>
        <v>50406</v>
      </c>
      <c r="BI63" s="59">
        <f t="shared" si="4"/>
        <v>50771</v>
      </c>
      <c r="BJ63" s="59">
        <f t="shared" si="4"/>
        <v>51136</v>
      </c>
      <c r="BK63" s="59">
        <f t="shared" si="4"/>
        <v>51502</v>
      </c>
      <c r="BL63" s="59">
        <f t="shared" si="4"/>
        <v>51867</v>
      </c>
      <c r="BM63" s="59">
        <f t="shared" si="4"/>
        <v>52232</v>
      </c>
      <c r="BN63" s="59">
        <f t="shared" si="4"/>
        <v>52597</v>
      </c>
      <c r="BO63" s="59">
        <f t="shared" si="4"/>
        <v>52963</v>
      </c>
      <c r="BP63" s="59">
        <f t="shared" si="4"/>
        <v>53328</v>
      </c>
      <c r="BQ63" s="59">
        <f t="shared" si="4"/>
        <v>53693</v>
      </c>
      <c r="BR63" s="59">
        <f t="shared" si="4"/>
        <v>54058</v>
      </c>
      <c r="BS63" s="59">
        <f t="shared" si="4"/>
        <v>54424</v>
      </c>
      <c r="BT63" s="59">
        <f t="shared" si="4"/>
        <v>54789</v>
      </c>
    </row>
    <row r="64" spans="3:72">
      <c r="C64" s="19"/>
      <c r="D64" s="19"/>
      <c r="H64" s="3"/>
      <c r="I64" s="16"/>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P64" s="42"/>
      <c r="AQ64" s="42"/>
      <c r="AR64" s="42"/>
      <c r="AS64" s="42"/>
      <c r="AT64" s="42"/>
      <c r="AU64" s="42"/>
      <c r="AV64" s="42"/>
      <c r="AW64" s="42"/>
      <c r="AX64" s="42"/>
      <c r="AY64" s="42"/>
      <c r="AZ64" s="42"/>
      <c r="BA64" s="42"/>
      <c r="BB64" s="42"/>
      <c r="BC64" s="42"/>
      <c r="BD64" s="42"/>
      <c r="BE64" s="42"/>
      <c r="BF64" s="42"/>
      <c r="BG64" s="42"/>
      <c r="BH64" s="42"/>
      <c r="BI64" s="42"/>
      <c r="BJ64" s="42"/>
      <c r="BK64" s="42"/>
      <c r="BL64" s="42"/>
      <c r="BM64" s="42"/>
      <c r="BN64" s="42"/>
      <c r="BO64" s="42"/>
      <c r="BP64" s="42"/>
      <c r="BQ64" s="42"/>
      <c r="BR64" s="42"/>
      <c r="BS64" s="42"/>
      <c r="BT64" s="42"/>
    </row>
    <row r="65" spans="3:72">
      <c r="C65" s="19"/>
      <c r="D65" s="19"/>
      <c r="H65" s="3"/>
      <c r="I65" s="16"/>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P65" s="42"/>
      <c r="AQ65" s="42"/>
      <c r="AR65" s="42"/>
      <c r="AS65" s="42"/>
      <c r="AT65" s="42"/>
      <c r="AU65" s="42"/>
      <c r="AV65" s="42"/>
      <c r="AW65" s="42"/>
      <c r="AX65" s="42"/>
      <c r="AY65" s="42"/>
      <c r="AZ65" s="42"/>
      <c r="BA65" s="42"/>
      <c r="BB65" s="42"/>
      <c r="BC65" s="42"/>
      <c r="BD65" s="42"/>
      <c r="BE65" s="42"/>
      <c r="BF65" s="42"/>
      <c r="BG65" s="42"/>
      <c r="BH65" s="42"/>
      <c r="BI65" s="42"/>
      <c r="BJ65" s="42"/>
      <c r="BK65" s="42"/>
      <c r="BL65" s="42"/>
      <c r="BM65" s="42"/>
      <c r="BN65" s="42"/>
      <c r="BO65" s="42"/>
      <c r="BP65" s="42"/>
      <c r="BQ65" s="42"/>
      <c r="BR65" s="42"/>
      <c r="BS65" s="42"/>
      <c r="BT65" s="42"/>
    </row>
    <row r="66" spans="3:72">
      <c r="C66" s="19"/>
      <c r="D66" s="19"/>
      <c r="H66" s="3"/>
      <c r="I66" s="16"/>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P66" s="42"/>
      <c r="AQ66" s="42"/>
      <c r="AR66" s="42"/>
      <c r="AS66" s="42"/>
      <c r="AT66" s="42"/>
      <c r="AU66" s="42"/>
      <c r="AV66" s="42"/>
      <c r="AW66" s="42"/>
      <c r="AX66" s="42"/>
      <c r="AY66" s="42"/>
      <c r="AZ66" s="42"/>
      <c r="BA66" s="42"/>
      <c r="BB66" s="42"/>
      <c r="BC66" s="42"/>
      <c r="BD66" s="42"/>
      <c r="BE66" s="42"/>
      <c r="BF66" s="42"/>
      <c r="BG66" s="42"/>
      <c r="BH66" s="42"/>
      <c r="BI66" s="42"/>
      <c r="BJ66" s="42"/>
      <c r="BK66" s="42"/>
      <c r="BL66" s="42"/>
      <c r="BM66" s="42"/>
      <c r="BN66" s="42"/>
      <c r="BO66" s="42"/>
      <c r="BP66" s="42"/>
      <c r="BQ66" s="42"/>
      <c r="BR66" s="42"/>
      <c r="BS66" s="42"/>
      <c r="BT66" s="42"/>
    </row>
    <row r="67" spans="3:72">
      <c r="C67" s="19"/>
      <c r="D67" s="19"/>
      <c r="H67" s="3"/>
      <c r="I67" s="16"/>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P67" s="42"/>
      <c r="AQ67" s="42"/>
      <c r="AR67" s="42"/>
      <c r="AS67" s="42"/>
      <c r="AT67" s="42"/>
      <c r="AU67" s="42"/>
      <c r="AV67" s="42"/>
      <c r="AW67" s="42"/>
      <c r="AX67" s="42"/>
      <c r="AY67" s="42"/>
      <c r="AZ67" s="42"/>
      <c r="BA67" s="42"/>
      <c r="BB67" s="42"/>
      <c r="BC67" s="42"/>
      <c r="BD67" s="42"/>
      <c r="BE67" s="42"/>
      <c r="BF67" s="42"/>
      <c r="BG67" s="42"/>
      <c r="BH67" s="42"/>
      <c r="BI67" s="42"/>
      <c r="BJ67" s="42"/>
      <c r="BK67" s="42"/>
      <c r="BL67" s="42"/>
      <c r="BM67" s="42"/>
      <c r="BN67" s="42"/>
      <c r="BO67" s="42"/>
      <c r="BP67" s="42"/>
      <c r="BQ67" s="42"/>
      <c r="BR67" s="42"/>
      <c r="BS67" s="42"/>
      <c r="BT67" s="42"/>
    </row>
    <row r="68" spans="3:72">
      <c r="C68" s="19"/>
      <c r="D68" s="19"/>
      <c r="H68" s="3"/>
      <c r="I68" s="16"/>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P68" s="42"/>
      <c r="AQ68" s="42"/>
      <c r="AR68" s="42"/>
      <c r="AS68" s="42"/>
      <c r="AT68" s="42"/>
      <c r="AU68" s="42"/>
      <c r="AV68" s="42"/>
      <c r="AW68" s="42"/>
      <c r="AX68" s="42"/>
      <c r="AY68" s="42"/>
      <c r="AZ68" s="42"/>
      <c r="BA68" s="42"/>
      <c r="BB68" s="42"/>
      <c r="BC68" s="42"/>
      <c r="BD68" s="42"/>
      <c r="BE68" s="42"/>
      <c r="BF68" s="42"/>
      <c r="BG68" s="42"/>
      <c r="BH68" s="42"/>
      <c r="BI68" s="42"/>
      <c r="BJ68" s="42"/>
      <c r="BK68" s="42"/>
      <c r="BL68" s="42"/>
      <c r="BM68" s="42"/>
      <c r="BN68" s="42"/>
      <c r="BO68" s="42"/>
      <c r="BP68" s="42"/>
      <c r="BQ68" s="42"/>
      <c r="BR68" s="42"/>
      <c r="BS68" s="42"/>
      <c r="BT68" s="42"/>
    </row>
    <row r="69" spans="3:72">
      <c r="C69" s="19"/>
      <c r="D69" s="19"/>
      <c r="H69" s="3"/>
      <c r="I69" s="16"/>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P69" s="42"/>
      <c r="AQ69" s="42"/>
      <c r="AR69" s="42"/>
      <c r="AS69" s="42"/>
      <c r="AT69" s="42"/>
      <c r="AU69" s="42"/>
      <c r="AV69" s="42"/>
      <c r="AW69" s="42"/>
      <c r="AX69" s="42"/>
      <c r="AY69" s="42"/>
      <c r="AZ69" s="42"/>
      <c r="BA69" s="42"/>
      <c r="BB69" s="42"/>
      <c r="BC69" s="42"/>
      <c r="BD69" s="42"/>
      <c r="BE69" s="42"/>
      <c r="BF69" s="42"/>
      <c r="BG69" s="42"/>
      <c r="BH69" s="42"/>
      <c r="BI69" s="42"/>
      <c r="BJ69" s="42"/>
      <c r="BK69" s="42"/>
      <c r="BL69" s="42"/>
      <c r="BM69" s="42"/>
      <c r="BN69" s="42"/>
      <c r="BO69" s="42"/>
      <c r="BP69" s="42"/>
      <c r="BQ69" s="42"/>
      <c r="BR69" s="42"/>
      <c r="BS69" s="42"/>
      <c r="BT69" s="42"/>
    </row>
    <row r="70" spans="3:72">
      <c r="C70" s="19"/>
      <c r="D70" s="19"/>
      <c r="H70" s="3"/>
      <c r="I70" s="16"/>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P70" s="42"/>
      <c r="AQ70" s="42"/>
      <c r="AR70" s="42"/>
      <c r="AS70" s="42"/>
      <c r="AT70" s="42"/>
      <c r="AU70" s="42"/>
      <c r="AV70" s="42"/>
      <c r="AW70" s="42"/>
      <c r="AX70" s="42"/>
      <c r="AY70" s="42"/>
      <c r="AZ70" s="42"/>
      <c r="BA70" s="42"/>
      <c r="BB70" s="42"/>
      <c r="BC70" s="42"/>
      <c r="BD70" s="42"/>
      <c r="BE70" s="42"/>
      <c r="BF70" s="42"/>
      <c r="BG70" s="42"/>
      <c r="BH70" s="42"/>
      <c r="BI70" s="42"/>
      <c r="BJ70" s="42"/>
      <c r="BK70" s="42"/>
      <c r="BL70" s="42"/>
      <c r="BM70" s="42"/>
      <c r="BN70" s="42"/>
      <c r="BO70" s="42"/>
      <c r="BP70" s="42"/>
      <c r="BQ70" s="42"/>
      <c r="BR70" s="42"/>
      <c r="BS70" s="42"/>
      <c r="BT70" s="42"/>
    </row>
    <row r="71" spans="3:72">
      <c r="C71" s="19"/>
      <c r="D71" s="19"/>
      <c r="H71" s="3"/>
      <c r="I71" s="16"/>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P71" s="42"/>
      <c r="AQ71" s="42"/>
      <c r="AR71" s="42"/>
      <c r="AS71" s="42"/>
      <c r="AT71" s="42"/>
      <c r="AU71" s="42"/>
      <c r="AV71" s="42"/>
      <c r="AW71" s="42"/>
      <c r="AX71" s="42"/>
      <c r="AY71" s="42"/>
      <c r="AZ71" s="42"/>
      <c r="BA71" s="42"/>
      <c r="BB71" s="42"/>
      <c r="BC71" s="42"/>
      <c r="BD71" s="42"/>
      <c r="BE71" s="42"/>
      <c r="BF71" s="42"/>
      <c r="BG71" s="42"/>
      <c r="BH71" s="42"/>
      <c r="BI71" s="42"/>
      <c r="BJ71" s="42"/>
      <c r="BK71" s="42"/>
      <c r="BL71" s="42"/>
      <c r="BM71" s="42"/>
      <c r="BN71" s="42"/>
      <c r="BO71" s="42"/>
      <c r="BP71" s="42"/>
      <c r="BQ71" s="42"/>
      <c r="BR71" s="42"/>
      <c r="BS71" s="42"/>
      <c r="BT71" s="42"/>
    </row>
    <row r="72" spans="3:72">
      <c r="C72" s="19"/>
      <c r="D72" s="19"/>
      <c r="H72" s="3"/>
      <c r="I72" s="16"/>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P72" s="42"/>
      <c r="AQ72" s="42"/>
      <c r="AR72" s="42"/>
      <c r="AS72" s="42"/>
      <c r="AT72" s="42"/>
      <c r="AU72" s="42"/>
      <c r="AV72" s="42"/>
      <c r="AW72" s="42"/>
      <c r="AX72" s="42"/>
      <c r="AY72" s="42"/>
      <c r="AZ72" s="42"/>
      <c r="BA72" s="42"/>
      <c r="BB72" s="42"/>
      <c r="BC72" s="42"/>
      <c r="BD72" s="42"/>
      <c r="BE72" s="42"/>
      <c r="BF72" s="42"/>
      <c r="BG72" s="42"/>
      <c r="BH72" s="42"/>
      <c r="BI72" s="42"/>
      <c r="BJ72" s="42"/>
      <c r="BK72" s="42"/>
      <c r="BL72" s="42"/>
      <c r="BM72" s="42"/>
      <c r="BN72" s="42"/>
      <c r="BO72" s="42"/>
      <c r="BP72" s="42"/>
      <c r="BQ72" s="42"/>
      <c r="BR72" s="42"/>
      <c r="BS72" s="42"/>
      <c r="BT72" s="42"/>
    </row>
    <row r="73" spans="3:72">
      <c r="C73" s="19"/>
      <c r="D73" s="19"/>
      <c r="H73" s="3"/>
      <c r="I73" s="16"/>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P73" s="42"/>
      <c r="AQ73" s="42"/>
      <c r="AR73" s="42"/>
      <c r="AS73" s="42"/>
      <c r="AT73" s="42"/>
      <c r="AU73" s="42"/>
      <c r="AV73" s="42"/>
      <c r="AW73" s="42"/>
      <c r="AX73" s="42"/>
      <c r="AY73" s="42"/>
      <c r="AZ73" s="42"/>
      <c r="BA73" s="42"/>
      <c r="BB73" s="42"/>
      <c r="BC73" s="42"/>
      <c r="BD73" s="42"/>
      <c r="BE73" s="42"/>
      <c r="BF73" s="42"/>
      <c r="BG73" s="42"/>
      <c r="BH73" s="42"/>
      <c r="BI73" s="42"/>
      <c r="BJ73" s="42"/>
      <c r="BK73" s="42"/>
      <c r="BL73" s="42"/>
      <c r="BM73" s="42"/>
      <c r="BN73" s="42"/>
      <c r="BO73" s="42"/>
      <c r="BP73" s="42"/>
      <c r="BQ73" s="42"/>
      <c r="BR73" s="42"/>
      <c r="BS73" s="42"/>
      <c r="BT73" s="42"/>
    </row>
    <row r="74" spans="3:72">
      <c r="C74" s="19"/>
      <c r="D74" s="19"/>
      <c r="H74" s="3"/>
      <c r="I74" s="16"/>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P74" s="42"/>
      <c r="AQ74" s="42"/>
      <c r="AR74" s="42"/>
      <c r="AS74" s="42"/>
      <c r="AT74" s="42"/>
      <c r="AU74" s="42"/>
      <c r="AV74" s="42"/>
      <c r="AW74" s="42"/>
      <c r="AX74" s="42"/>
      <c r="AY74" s="42"/>
      <c r="AZ74" s="42"/>
      <c r="BA74" s="42"/>
      <c r="BB74" s="42"/>
      <c r="BC74" s="42"/>
      <c r="BD74" s="42"/>
      <c r="BE74" s="42"/>
      <c r="BF74" s="42"/>
      <c r="BG74" s="42"/>
      <c r="BH74" s="42"/>
      <c r="BI74" s="42"/>
      <c r="BJ74" s="42"/>
      <c r="BK74" s="42"/>
      <c r="BL74" s="42"/>
      <c r="BM74" s="42"/>
      <c r="BN74" s="42"/>
      <c r="BO74" s="42"/>
      <c r="BP74" s="42"/>
      <c r="BQ74" s="42"/>
      <c r="BR74" s="42"/>
      <c r="BS74" s="42"/>
      <c r="BT74" s="42"/>
    </row>
    <row r="75" spans="3:72">
      <c r="C75" s="19"/>
      <c r="D75" s="19"/>
      <c r="H75" s="3"/>
      <c r="I75" s="16"/>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P75" s="42"/>
      <c r="AQ75" s="42"/>
      <c r="AR75" s="42"/>
      <c r="AS75" s="42"/>
      <c r="AT75" s="42"/>
      <c r="AU75" s="42"/>
      <c r="AV75" s="42"/>
      <c r="AW75" s="42"/>
      <c r="AX75" s="42"/>
      <c r="AY75" s="42"/>
      <c r="AZ75" s="42"/>
      <c r="BA75" s="42"/>
      <c r="BB75" s="42"/>
      <c r="BC75" s="42"/>
      <c r="BD75" s="42"/>
      <c r="BE75" s="42"/>
      <c r="BF75" s="42"/>
      <c r="BG75" s="42"/>
      <c r="BH75" s="42"/>
      <c r="BI75" s="42"/>
      <c r="BJ75" s="42"/>
      <c r="BK75" s="42"/>
      <c r="BL75" s="42"/>
      <c r="BM75" s="42"/>
      <c r="BN75" s="42"/>
      <c r="BO75" s="42"/>
      <c r="BP75" s="42"/>
      <c r="BQ75" s="42"/>
      <c r="BR75" s="42"/>
      <c r="BS75" s="42"/>
      <c r="BT75" s="42"/>
    </row>
    <row r="76" spans="3:72">
      <c r="C76" s="19"/>
      <c r="D76" s="19"/>
      <c r="H76" s="3"/>
      <c r="I76" s="16"/>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P76" s="42"/>
      <c r="AQ76" s="42"/>
      <c r="AR76" s="42"/>
      <c r="AS76" s="42"/>
      <c r="AT76" s="42"/>
      <c r="AU76" s="42"/>
      <c r="AV76" s="42"/>
      <c r="AW76" s="42"/>
      <c r="AX76" s="42"/>
      <c r="AY76" s="42"/>
      <c r="AZ76" s="42"/>
      <c r="BA76" s="42"/>
      <c r="BB76" s="42"/>
      <c r="BC76" s="42"/>
      <c r="BD76" s="42"/>
      <c r="BE76" s="42"/>
      <c r="BF76" s="42"/>
      <c r="BG76" s="42"/>
      <c r="BH76" s="42"/>
      <c r="BI76" s="42"/>
      <c r="BJ76" s="42"/>
      <c r="BK76" s="42"/>
      <c r="BL76" s="42"/>
      <c r="BM76" s="42"/>
      <c r="BN76" s="42"/>
      <c r="BO76" s="42"/>
      <c r="BP76" s="42"/>
      <c r="BQ76" s="42"/>
      <c r="BR76" s="42"/>
      <c r="BS76" s="42"/>
      <c r="BT76" s="42"/>
    </row>
    <row r="77" spans="3:72">
      <c r="C77" s="19"/>
      <c r="D77" s="19"/>
      <c r="H77" s="3"/>
      <c r="I77" s="16"/>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P77" s="42"/>
      <c r="AQ77" s="42"/>
      <c r="AR77" s="42"/>
      <c r="AS77" s="42"/>
      <c r="AT77" s="42"/>
      <c r="AU77" s="42"/>
      <c r="AV77" s="42"/>
      <c r="AW77" s="42"/>
      <c r="AX77" s="42"/>
      <c r="AY77" s="42"/>
      <c r="AZ77" s="42"/>
      <c r="BA77" s="42"/>
      <c r="BB77" s="42"/>
      <c r="BC77" s="42"/>
      <c r="BD77" s="42"/>
      <c r="BE77" s="42"/>
      <c r="BF77" s="42"/>
      <c r="BG77" s="42"/>
      <c r="BH77" s="42"/>
      <c r="BI77" s="42"/>
      <c r="BJ77" s="42"/>
      <c r="BK77" s="42"/>
      <c r="BL77" s="42"/>
      <c r="BM77" s="42"/>
      <c r="BN77" s="42"/>
      <c r="BO77" s="42"/>
      <c r="BP77" s="42"/>
      <c r="BQ77" s="42"/>
      <c r="BR77" s="42"/>
      <c r="BS77" s="42"/>
      <c r="BT77" s="42"/>
    </row>
    <row r="78" spans="3:72">
      <c r="C78" s="19"/>
      <c r="D78" s="19"/>
      <c r="H78" s="3"/>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P78" s="42"/>
      <c r="AQ78" s="42"/>
      <c r="AR78" s="42"/>
      <c r="AS78" s="42"/>
      <c r="AT78" s="42"/>
      <c r="AU78" s="42"/>
      <c r="AV78" s="42"/>
      <c r="AW78" s="42"/>
      <c r="AX78" s="42"/>
      <c r="AY78" s="42"/>
      <c r="AZ78" s="42"/>
      <c r="BA78" s="42"/>
      <c r="BB78" s="42"/>
      <c r="BC78" s="42"/>
      <c r="BD78" s="42"/>
      <c r="BE78" s="42"/>
      <c r="BF78" s="42"/>
      <c r="BG78" s="42"/>
      <c r="BH78" s="42"/>
      <c r="BI78" s="42"/>
      <c r="BJ78" s="42"/>
      <c r="BK78" s="42"/>
      <c r="BL78" s="42"/>
      <c r="BM78" s="42"/>
      <c r="BN78" s="42"/>
      <c r="BO78" s="42"/>
      <c r="BP78" s="42"/>
      <c r="BQ78" s="42"/>
      <c r="BR78" s="42"/>
      <c r="BS78" s="42"/>
      <c r="BT78" s="42"/>
    </row>
    <row r="79" spans="3:72">
      <c r="AP79" s="32"/>
      <c r="AQ79" s="32"/>
      <c r="AR79" s="32"/>
    </row>
    <row r="80" spans="3:72">
      <c r="AP80" s="32"/>
      <c r="AQ80" s="32"/>
      <c r="AR80" s="32"/>
    </row>
    <row r="81" spans="1:72">
      <c r="AP81" s="32"/>
      <c r="AQ81" s="32"/>
      <c r="AR81" s="32"/>
    </row>
    <row r="82" spans="1:72">
      <c r="AP82" s="32"/>
      <c r="AQ82" s="32"/>
      <c r="AR82" s="32"/>
    </row>
    <row r="83" spans="1:72">
      <c r="AP83" s="32"/>
      <c r="AQ83" s="32"/>
      <c r="AR83" s="32"/>
    </row>
    <row r="84" spans="1:72" s="9" customFormat="1" ht="19" thickBot="1">
      <c r="A84" s="9" t="s">
        <v>328</v>
      </c>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c r="BT84" s="36"/>
    </row>
    <row r="85" spans="1:7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row>
    <row r="86" spans="1:7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row>
    <row r="87" spans="1:7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row>
  </sheetData>
  <conditionalFormatting sqref="F11:F15">
    <cfRule type="cellIs" dxfId="53" priority="2" operator="equal">
      <formula>FALSE</formula>
    </cfRule>
  </conditionalFormatting>
  <dataValidations count="4">
    <dataValidation type="list" allowBlank="1" showInputMessage="1" showErrorMessage="1" sqref="C23:C30" xr:uid="{62146B8D-894F-4841-BB96-0EBD32F5CE2D}">
      <formula1>OFFSET(lists_candidate_fuels,,,COUNTA(lists_candidate_fuels))</formula1>
    </dataValidation>
    <dataValidation type="list" allowBlank="1" showInputMessage="1" showErrorMessage="1" sqref="C35:C59" xr:uid="{F83E9A69-0915-7847-93E2-567603D4C37E}">
      <formula1>OFFSET(lists_resources,0,0,COUNTA(lists_resources))</formula1>
    </dataValidation>
    <dataValidation type="list" allowBlank="1" showInputMessage="1" showErrorMessage="1" sqref="D64:D78 D35:D59 D23:D30" xr:uid="{4F594758-3777-EC41-A67F-3E1C48765881}">
      <formula1>OFFSET(AnnualEmissionsPolicy,0,0,COUNTA(AnnualEmissionsPolicy))</formula1>
    </dataValidation>
    <dataValidation type="list" allowBlank="1" showInputMessage="1" showErrorMessage="1" sqref="C64:C78" xr:uid="{D761AA50-95C6-474B-82B7-802403EECE07}">
      <formula1>OFFSET(lists_transmission_paths,,,COUNTA(lists_transmission_paths))</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4296C-031D-C443-BD1A-7188A3EA28D8}">
  <sheetPr codeName="Sheet29">
    <tabColor theme="7" tint="0.79998168889431442"/>
  </sheetPr>
  <dimension ref="A1:DC207"/>
  <sheetViews>
    <sheetView showGridLines="0" zoomScale="80" zoomScaleNormal="80" workbookViewId="0">
      <selection activeCell="C54" sqref="C54"/>
    </sheetView>
  </sheetViews>
  <sheetFormatPr baseColWidth="10" defaultColWidth="11" defaultRowHeight="12" outlineLevelRow="2" outlineLevelCol="1"/>
  <cols>
    <col min="1" max="2" width="3" customWidth="1"/>
    <col min="3" max="3" width="34.59765625" customWidth="1"/>
    <col min="4" max="4" width="19.3984375" customWidth="1"/>
    <col min="5" max="5" width="13" hidden="1" customWidth="1" outlineLevel="1"/>
    <col min="6" max="6" width="3" customWidth="1" collapsed="1"/>
    <col min="7" max="7" width="19.796875" customWidth="1"/>
    <col min="8" max="8" width="3" customWidth="1"/>
    <col min="9" max="9" width="26" customWidth="1"/>
    <col min="10" max="10" width="3" customWidth="1"/>
    <col min="11" max="11" width="13.796875" customWidth="1"/>
    <col min="12" max="12" width="3" customWidth="1"/>
    <col min="13" max="13" width="16" customWidth="1"/>
    <col min="14" max="15" width="16" hidden="1" customWidth="1" outlineLevel="1"/>
    <col min="16" max="16" width="16" customWidth="1" collapsed="1"/>
    <col min="17" max="19" width="16" customWidth="1"/>
    <col min="20" max="20" width="16" hidden="1" customWidth="1" outlineLevel="1"/>
    <col min="21" max="21" width="16" customWidth="1" collapsed="1"/>
    <col min="22" max="22" width="16" hidden="1" customWidth="1" outlineLevel="1"/>
    <col min="23" max="23" width="16" customWidth="1" collapsed="1"/>
    <col min="24" max="24" width="16" hidden="1" customWidth="1" outlineLevel="1"/>
    <col min="25" max="25" width="16" customWidth="1" collapsed="1"/>
    <col min="26" max="26" width="16" customWidth="1"/>
    <col min="27" max="27" width="16" hidden="1" customWidth="1" outlineLevel="1"/>
    <col min="28" max="28" width="16" customWidth="1" collapsed="1"/>
    <col min="29" max="31" width="16" hidden="1" customWidth="1" outlineLevel="1"/>
    <col min="32" max="32" width="16" customWidth="1" collapsed="1"/>
    <col min="33" max="33" width="16" customWidth="1"/>
    <col min="34" max="37" width="16" hidden="1" customWidth="1" outlineLevel="1"/>
    <col min="38" max="38" width="16" customWidth="1" collapsed="1"/>
    <col min="39" max="42" width="16" hidden="1" customWidth="1" outlineLevel="1"/>
    <col min="43" max="43" width="16" customWidth="1" collapsed="1"/>
    <col min="44" max="44" width="3" customWidth="1"/>
    <col min="45" max="45" width="16" customWidth="1"/>
    <col min="46" max="47" width="16" hidden="1" customWidth="1" outlineLevel="1"/>
    <col min="48" max="48" width="16" customWidth="1" collapsed="1"/>
    <col min="49" max="49" width="16" customWidth="1"/>
    <col min="50" max="50" width="16" customWidth="1" collapsed="1"/>
    <col min="51" max="51" width="16" customWidth="1"/>
    <col min="52" max="52" width="16" hidden="1" customWidth="1" outlineLevel="1"/>
    <col min="53" max="53" width="16" customWidth="1" collapsed="1"/>
    <col min="54" max="54" width="16" hidden="1" customWidth="1" outlineLevel="1"/>
    <col min="55" max="55" width="16" customWidth="1" collapsed="1"/>
    <col min="56" max="56" width="16" hidden="1" customWidth="1" outlineLevel="1"/>
    <col min="57" max="57" width="16" customWidth="1" collapsed="1"/>
    <col min="58" max="58" width="16" customWidth="1"/>
    <col min="59" max="59" width="16" hidden="1" customWidth="1" outlineLevel="1"/>
    <col min="60" max="60" width="16" customWidth="1" collapsed="1"/>
    <col min="61" max="63" width="16" hidden="1" customWidth="1" outlineLevel="1"/>
    <col min="64" max="65" width="16" customWidth="1" collapsed="1"/>
    <col min="66" max="69" width="16" hidden="1" customWidth="1" outlineLevel="1"/>
    <col min="70" max="70" width="16" customWidth="1" collapsed="1"/>
    <col min="71" max="74" width="16" hidden="1" customWidth="1" outlineLevel="1"/>
    <col min="75" max="75" width="16" customWidth="1" collapsed="1"/>
    <col min="76" max="76" width="3" customWidth="1"/>
    <col min="77" max="77" width="16" customWidth="1"/>
    <col min="78" max="79" width="16" hidden="1" customWidth="1" outlineLevel="1"/>
    <col min="80" max="80" width="16" customWidth="1" collapsed="1"/>
    <col min="81" max="81" width="16" customWidth="1"/>
    <col min="82" max="82" width="16" customWidth="1" collapsed="1"/>
    <col min="83" max="83" width="16" customWidth="1"/>
    <col min="84" max="84" width="16" hidden="1" customWidth="1" outlineLevel="1"/>
    <col min="85" max="85" width="16" customWidth="1" collapsed="1"/>
    <col min="86" max="86" width="16" hidden="1" customWidth="1" outlineLevel="1"/>
    <col min="87" max="87" width="16" customWidth="1" collapsed="1"/>
    <col min="88" max="88" width="16" hidden="1" customWidth="1" outlineLevel="1"/>
    <col min="89" max="89" width="16" customWidth="1" collapsed="1"/>
    <col min="90" max="90" width="16" customWidth="1"/>
    <col min="91" max="91" width="16" hidden="1" customWidth="1" outlineLevel="1"/>
    <col min="92" max="92" width="16" customWidth="1" collapsed="1"/>
    <col min="93" max="95" width="16" hidden="1" customWidth="1" outlineLevel="1"/>
    <col min="96" max="97" width="16" customWidth="1" collapsed="1"/>
    <col min="98" max="101" width="16" hidden="1" customWidth="1" outlineLevel="1"/>
    <col min="102" max="102" width="16" customWidth="1" collapsed="1"/>
    <col min="103" max="106" width="16" hidden="1" customWidth="1" outlineLevel="1"/>
    <col min="107" max="107" width="16" customWidth="1" collapsed="1"/>
  </cols>
  <sheetData>
    <row r="1" spans="1:107" s="5" customFormat="1" ht="29" thickBot="1">
      <c r="A1" s="5" t="s">
        <v>332</v>
      </c>
    </row>
    <row r="5" spans="1:107" ht="19" thickBot="1">
      <c r="B5" s="9" t="s">
        <v>308</v>
      </c>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row>
    <row r="8" spans="1:107" ht="14">
      <c r="E8" s="16"/>
      <c r="G8" s="16"/>
      <c r="J8" s="16"/>
      <c r="K8" s="11" t="s">
        <v>333</v>
      </c>
      <c r="M8" s="6" t="s">
        <v>334</v>
      </c>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S8" s="6" t="s">
        <v>335</v>
      </c>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row>
    <row r="9" spans="1:107" s="27" customFormat="1" hidden="1" outlineLevel="1">
      <c r="C9" s="27" t="s">
        <v>336</v>
      </c>
      <c r="F9"/>
      <c r="H9"/>
      <c r="I9"/>
      <c r="K9" s="27" t="s">
        <v>337</v>
      </c>
      <c r="M9" s="27" t="s">
        <v>312</v>
      </c>
      <c r="N9" s="27" t="s">
        <v>312</v>
      </c>
      <c r="O9" s="27" t="s">
        <v>312</v>
      </c>
      <c r="P9" s="27" t="s">
        <v>312</v>
      </c>
      <c r="Q9" s="27" t="s">
        <v>312</v>
      </c>
      <c r="R9" s="27" t="s">
        <v>312</v>
      </c>
      <c r="S9" s="27" t="s">
        <v>312</v>
      </c>
      <c r="T9" s="27" t="s">
        <v>312</v>
      </c>
      <c r="U9" s="27" t="s">
        <v>312</v>
      </c>
      <c r="V9" s="27" t="s">
        <v>312</v>
      </c>
      <c r="W9" s="27" t="s">
        <v>312</v>
      </c>
      <c r="X9" s="27" t="s">
        <v>312</v>
      </c>
      <c r="Y9" s="27" t="s">
        <v>312</v>
      </c>
      <c r="Z9" s="27" t="s">
        <v>312</v>
      </c>
      <c r="AA9" s="27" t="s">
        <v>312</v>
      </c>
      <c r="AB9" s="27" t="s">
        <v>312</v>
      </c>
      <c r="AC9" s="27" t="s">
        <v>312</v>
      </c>
      <c r="AD9" s="27" t="s">
        <v>312</v>
      </c>
      <c r="AE9" s="27" t="s">
        <v>312</v>
      </c>
      <c r="AF9" s="27" t="s">
        <v>312</v>
      </c>
      <c r="AG9" s="27" t="s">
        <v>312</v>
      </c>
      <c r="AH9" s="27" t="s">
        <v>312</v>
      </c>
      <c r="AI9" s="27" t="s">
        <v>312</v>
      </c>
      <c r="AJ9" s="27" t="s">
        <v>312</v>
      </c>
      <c r="AK9" s="27" t="s">
        <v>312</v>
      </c>
      <c r="AL9" s="27" t="s">
        <v>312</v>
      </c>
      <c r="AM9" s="27" t="s">
        <v>312</v>
      </c>
      <c r="AN9" s="27" t="s">
        <v>312</v>
      </c>
      <c r="AO9" s="27" t="s">
        <v>312</v>
      </c>
      <c r="AP9" s="27" t="s">
        <v>312</v>
      </c>
      <c r="AQ9" s="27" t="s">
        <v>312</v>
      </c>
      <c r="AS9" s="27" t="s">
        <v>313</v>
      </c>
      <c r="AT9" s="27" t="s">
        <v>313</v>
      </c>
      <c r="AU9" s="27" t="s">
        <v>313</v>
      </c>
      <c r="AV9" s="27" t="s">
        <v>313</v>
      </c>
      <c r="AW9" s="27" t="s">
        <v>313</v>
      </c>
      <c r="AX9" s="27" t="s">
        <v>313</v>
      </c>
      <c r="AY9" s="27" t="s">
        <v>313</v>
      </c>
      <c r="AZ9" s="27" t="s">
        <v>313</v>
      </c>
      <c r="BA9" s="27" t="s">
        <v>313</v>
      </c>
      <c r="BB9" s="27" t="s">
        <v>313</v>
      </c>
      <c r="BC9" s="27" t="s">
        <v>313</v>
      </c>
      <c r="BD9" s="27" t="s">
        <v>313</v>
      </c>
      <c r="BE9" s="27" t="s">
        <v>313</v>
      </c>
      <c r="BF9" s="27" t="s">
        <v>313</v>
      </c>
      <c r="BG9" s="27" t="s">
        <v>313</v>
      </c>
      <c r="BH9" s="27" t="s">
        <v>313</v>
      </c>
      <c r="BI9" s="27" t="s">
        <v>313</v>
      </c>
      <c r="BJ9" s="27" t="s">
        <v>313</v>
      </c>
      <c r="BK9" s="27" t="s">
        <v>313</v>
      </c>
      <c r="BL9" s="27" t="s">
        <v>313</v>
      </c>
      <c r="BM9" s="27" t="s">
        <v>313</v>
      </c>
      <c r="BN9" s="27" t="s">
        <v>313</v>
      </c>
      <c r="BO9" s="27" t="s">
        <v>313</v>
      </c>
      <c r="BP9" s="27" t="s">
        <v>313</v>
      </c>
      <c r="BQ9" s="27" t="s">
        <v>313</v>
      </c>
      <c r="BR9" s="27" t="s">
        <v>313</v>
      </c>
      <c r="BS9" s="27" t="s">
        <v>313</v>
      </c>
      <c r="BT9" s="27" t="s">
        <v>313</v>
      </c>
      <c r="BU9" s="27" t="s">
        <v>313</v>
      </c>
      <c r="BV9" s="27" t="s">
        <v>313</v>
      </c>
      <c r="BW9" s="27" t="s">
        <v>313</v>
      </c>
      <c r="BY9"/>
      <c r="BZ9"/>
      <c r="CA9"/>
      <c r="CB9"/>
      <c r="CC9"/>
      <c r="CD9"/>
      <c r="CE9"/>
      <c r="CF9"/>
      <c r="CG9"/>
      <c r="CH9"/>
      <c r="CI9"/>
      <c r="CJ9"/>
      <c r="CK9"/>
      <c r="CL9"/>
      <c r="CM9"/>
      <c r="CN9"/>
      <c r="CO9"/>
      <c r="CP9"/>
      <c r="CQ9"/>
      <c r="CR9"/>
      <c r="CS9"/>
      <c r="CT9"/>
      <c r="CU9"/>
      <c r="CV9"/>
      <c r="CW9"/>
      <c r="CX9"/>
      <c r="CY9"/>
      <c r="CZ9"/>
      <c r="DA9"/>
      <c r="DB9"/>
      <c r="DC9"/>
    </row>
    <row r="10" spans="1:107" ht="56" collapsed="1">
      <c r="C10" s="6" t="s">
        <v>314</v>
      </c>
      <c r="E10" s="16"/>
      <c r="G10" s="11" t="str">
        <f>"Included in Current System ("&amp;system_name&amp;")"</f>
        <v>Included in Current System (ISONE_toy_system)</v>
      </c>
      <c r="I10" s="11" t="s">
        <v>251</v>
      </c>
      <c r="J10" s="16"/>
      <c r="K10" s="13"/>
      <c r="M10" s="59">
        <f>start_year</f>
        <v>43831</v>
      </c>
      <c r="N10" s="59">
        <f>EDATE(M10,12)</f>
        <v>44197</v>
      </c>
      <c r="O10" s="59">
        <f t="shared" ref="O10:AQ10" si="0">EDATE(N10,12)</f>
        <v>44562</v>
      </c>
      <c r="P10" s="59">
        <f t="shared" si="0"/>
        <v>44927</v>
      </c>
      <c r="Q10" s="59">
        <f t="shared" si="0"/>
        <v>45292</v>
      </c>
      <c r="R10" s="59">
        <f t="shared" si="0"/>
        <v>45658</v>
      </c>
      <c r="S10" s="59">
        <f t="shared" si="0"/>
        <v>46023</v>
      </c>
      <c r="T10" s="59">
        <f t="shared" si="0"/>
        <v>46388</v>
      </c>
      <c r="U10" s="59">
        <f t="shared" si="0"/>
        <v>46753</v>
      </c>
      <c r="V10" s="59">
        <f t="shared" si="0"/>
        <v>47119</v>
      </c>
      <c r="W10" s="59">
        <f t="shared" si="0"/>
        <v>47484</v>
      </c>
      <c r="X10" s="59">
        <f t="shared" si="0"/>
        <v>47849</v>
      </c>
      <c r="Y10" s="59">
        <f t="shared" si="0"/>
        <v>48214</v>
      </c>
      <c r="Z10" s="59">
        <f t="shared" si="0"/>
        <v>48580</v>
      </c>
      <c r="AA10" s="59">
        <f t="shared" si="0"/>
        <v>48945</v>
      </c>
      <c r="AB10" s="59">
        <f t="shared" si="0"/>
        <v>49310</v>
      </c>
      <c r="AC10" s="59">
        <f t="shared" si="0"/>
        <v>49675</v>
      </c>
      <c r="AD10" s="59">
        <f t="shared" si="0"/>
        <v>50041</v>
      </c>
      <c r="AE10" s="59">
        <f t="shared" si="0"/>
        <v>50406</v>
      </c>
      <c r="AF10" s="59">
        <f t="shared" si="0"/>
        <v>50771</v>
      </c>
      <c r="AG10" s="59">
        <f t="shared" si="0"/>
        <v>51136</v>
      </c>
      <c r="AH10" s="59">
        <f t="shared" si="0"/>
        <v>51502</v>
      </c>
      <c r="AI10" s="59">
        <f t="shared" si="0"/>
        <v>51867</v>
      </c>
      <c r="AJ10" s="59">
        <f t="shared" si="0"/>
        <v>52232</v>
      </c>
      <c r="AK10" s="59">
        <f t="shared" si="0"/>
        <v>52597</v>
      </c>
      <c r="AL10" s="59">
        <f t="shared" si="0"/>
        <v>52963</v>
      </c>
      <c r="AM10" s="59">
        <f t="shared" si="0"/>
        <v>53328</v>
      </c>
      <c r="AN10" s="59">
        <f t="shared" si="0"/>
        <v>53693</v>
      </c>
      <c r="AO10" s="59">
        <f t="shared" si="0"/>
        <v>54058</v>
      </c>
      <c r="AP10" s="59">
        <f t="shared" si="0"/>
        <v>54424</v>
      </c>
      <c r="AQ10" s="59">
        <f t="shared" si="0"/>
        <v>54789</v>
      </c>
      <c r="AS10" s="59">
        <f>start_year</f>
        <v>43831</v>
      </c>
      <c r="AT10" s="59">
        <f>EDATE(AS10,12)</f>
        <v>44197</v>
      </c>
      <c r="AU10" s="59">
        <f t="shared" ref="AU10:BW10" si="1">EDATE(AT10,12)</f>
        <v>44562</v>
      </c>
      <c r="AV10" s="59">
        <f t="shared" si="1"/>
        <v>44927</v>
      </c>
      <c r="AW10" s="59">
        <f t="shared" si="1"/>
        <v>45292</v>
      </c>
      <c r="AX10" s="59">
        <f t="shared" si="1"/>
        <v>45658</v>
      </c>
      <c r="AY10" s="59">
        <f t="shared" si="1"/>
        <v>46023</v>
      </c>
      <c r="AZ10" s="59">
        <f t="shared" si="1"/>
        <v>46388</v>
      </c>
      <c r="BA10" s="59">
        <f t="shared" si="1"/>
        <v>46753</v>
      </c>
      <c r="BB10" s="59">
        <f t="shared" si="1"/>
        <v>47119</v>
      </c>
      <c r="BC10" s="59">
        <f t="shared" si="1"/>
        <v>47484</v>
      </c>
      <c r="BD10" s="59">
        <f t="shared" si="1"/>
        <v>47849</v>
      </c>
      <c r="BE10" s="59">
        <f t="shared" si="1"/>
        <v>48214</v>
      </c>
      <c r="BF10" s="59">
        <f t="shared" si="1"/>
        <v>48580</v>
      </c>
      <c r="BG10" s="59">
        <f t="shared" si="1"/>
        <v>48945</v>
      </c>
      <c r="BH10" s="59">
        <f t="shared" si="1"/>
        <v>49310</v>
      </c>
      <c r="BI10" s="59">
        <f t="shared" si="1"/>
        <v>49675</v>
      </c>
      <c r="BJ10" s="59">
        <f t="shared" si="1"/>
        <v>50041</v>
      </c>
      <c r="BK10" s="59">
        <f t="shared" si="1"/>
        <v>50406</v>
      </c>
      <c r="BL10" s="59">
        <f t="shared" si="1"/>
        <v>50771</v>
      </c>
      <c r="BM10" s="59">
        <f t="shared" si="1"/>
        <v>51136</v>
      </c>
      <c r="BN10" s="59">
        <f t="shared" si="1"/>
        <v>51502</v>
      </c>
      <c r="BO10" s="59">
        <f t="shared" si="1"/>
        <v>51867</v>
      </c>
      <c r="BP10" s="59">
        <f t="shared" si="1"/>
        <v>52232</v>
      </c>
      <c r="BQ10" s="59">
        <f t="shared" si="1"/>
        <v>52597</v>
      </c>
      <c r="BR10" s="59">
        <f t="shared" si="1"/>
        <v>52963</v>
      </c>
      <c r="BS10" s="59">
        <f t="shared" si="1"/>
        <v>53328</v>
      </c>
      <c r="BT10" s="59">
        <f t="shared" si="1"/>
        <v>53693</v>
      </c>
      <c r="BU10" s="59">
        <f t="shared" si="1"/>
        <v>54058</v>
      </c>
      <c r="BV10" s="59">
        <f t="shared" si="1"/>
        <v>54424</v>
      </c>
      <c r="BW10" s="59">
        <f t="shared" si="1"/>
        <v>54789</v>
      </c>
    </row>
    <row r="11" spans="1:107">
      <c r="C11" s="3"/>
      <c r="G11" s="39" t="str">
        <f t="shared" ref="G11:G16" si="2">IF(ISBLANK($C11),"-/-",COUNTIFS(component_names,$C11,component_types,$C$9)&gt;0)</f>
        <v>-/-</v>
      </c>
      <c r="I11" s="3"/>
      <c r="K11" s="21"/>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row>
    <row r="12" spans="1:107">
      <c r="C12" s="3"/>
      <c r="G12" s="39" t="str">
        <f>IF(ISBLANK($C12),"-/-",COUNTIFS(component_names,$C12,component_types,$C$9)&gt;0)</f>
        <v>-/-</v>
      </c>
      <c r="I12" s="3"/>
      <c r="K12" s="21"/>
      <c r="M12" s="29"/>
      <c r="N12" s="29"/>
      <c r="O12" s="29"/>
      <c r="P12" s="29"/>
      <c r="Q12" s="29"/>
      <c r="R12" s="29"/>
      <c r="S12" s="29"/>
      <c r="T12" s="29"/>
      <c r="U12" s="29"/>
      <c r="V12" s="29"/>
      <c r="W12" s="29"/>
      <c r="X12" s="29"/>
      <c r="Y12" s="29"/>
      <c r="Z12" s="29"/>
      <c r="AA12" s="29"/>
      <c r="AB12" s="29"/>
      <c r="AC12" s="29"/>
      <c r="AD12" s="29"/>
      <c r="AE12" s="29"/>
      <c r="AF12" s="29"/>
      <c r="AG12" s="29"/>
      <c r="AH12" s="29"/>
      <c r="AI12" s="29"/>
      <c r="AJ12" s="29"/>
      <c r="AK12" s="29"/>
      <c r="AL12" s="29"/>
      <c r="AM12" s="29"/>
      <c r="AN12" s="29"/>
      <c r="AO12" s="29"/>
      <c r="AP12" s="29"/>
      <c r="AQ12" s="29"/>
      <c r="AS12" s="25"/>
      <c r="AT12" s="25"/>
      <c r="AU12" s="25"/>
      <c r="AV12" s="25"/>
      <c r="AW12" s="25"/>
      <c r="AX12" s="25"/>
      <c r="AY12" s="25"/>
      <c r="AZ12" s="25"/>
      <c r="BA12" s="25"/>
      <c r="BB12" s="25"/>
      <c r="BC12" s="25"/>
      <c r="BD12" s="25"/>
      <c r="BE12" s="25"/>
      <c r="BF12" s="25"/>
      <c r="BG12" s="25"/>
      <c r="BH12" s="25"/>
      <c r="BI12" s="25"/>
      <c r="BJ12" s="25"/>
      <c r="BK12" s="25"/>
      <c r="BL12" s="25"/>
      <c r="BM12" s="25"/>
      <c r="BN12" s="25"/>
      <c r="BO12" s="25"/>
      <c r="BP12" s="25"/>
      <c r="BQ12" s="25"/>
      <c r="BR12" s="25"/>
      <c r="BS12" s="25"/>
      <c r="BT12" s="25"/>
      <c r="BU12" s="25"/>
      <c r="BV12" s="25"/>
      <c r="BW12" s="25"/>
    </row>
    <row r="13" spans="1:107">
      <c r="C13" s="3"/>
      <c r="G13" s="39" t="str">
        <f t="shared" si="2"/>
        <v>-/-</v>
      </c>
      <c r="I13" s="3"/>
      <c r="K13" s="21"/>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S13" s="25"/>
      <c r="AT13" s="25"/>
      <c r="AU13" s="25"/>
      <c r="AV13" s="25"/>
      <c r="AW13" s="25"/>
      <c r="AX13" s="25"/>
      <c r="AY13" s="25"/>
      <c r="AZ13" s="25"/>
      <c r="BA13" s="25"/>
      <c r="BB13" s="25"/>
      <c r="BC13" s="25"/>
      <c r="BD13" s="25"/>
      <c r="BE13" s="25"/>
      <c r="BF13" s="25"/>
      <c r="BG13" s="25"/>
      <c r="BH13" s="25"/>
      <c r="BI13" s="25"/>
      <c r="BJ13" s="25"/>
      <c r="BK13" s="25"/>
      <c r="BL13" s="25"/>
      <c r="BM13" s="25"/>
      <c r="BN13" s="25"/>
      <c r="BO13" s="25"/>
      <c r="BP13" s="25"/>
      <c r="BQ13" s="25"/>
      <c r="BR13" s="25"/>
      <c r="BS13" s="25"/>
      <c r="BT13" s="25"/>
      <c r="BU13" s="25"/>
      <c r="BV13" s="25"/>
      <c r="BW13" s="25"/>
    </row>
    <row r="14" spans="1:107">
      <c r="C14" s="3"/>
      <c r="G14" s="39" t="str">
        <f>IF(ISBLANK($C14),"-/-",COUNTIFS(component_names,$C14,component_types,$C$9)&gt;0)</f>
        <v>-/-</v>
      </c>
      <c r="I14" s="3"/>
      <c r="K14" s="21"/>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row>
    <row r="15" spans="1:107">
      <c r="C15" s="3"/>
      <c r="G15" s="39" t="str">
        <f t="shared" si="2"/>
        <v>-/-</v>
      </c>
      <c r="I15" s="3"/>
      <c r="K15" s="21"/>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c r="BR15" s="25"/>
      <c r="BS15" s="25"/>
      <c r="BT15" s="25"/>
      <c r="BU15" s="25"/>
      <c r="BV15" s="25"/>
      <c r="BW15" s="25"/>
    </row>
    <row r="16" spans="1:107">
      <c r="C16" s="3"/>
      <c r="G16" s="39" t="str">
        <f t="shared" si="2"/>
        <v>-/-</v>
      </c>
      <c r="I16" s="3"/>
      <c r="K16" s="21"/>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S16" s="25"/>
      <c r="AT16" s="25"/>
      <c r="AU16" s="25"/>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row>
    <row r="17" spans="2:107">
      <c r="C17" s="3"/>
      <c r="G17" s="39" t="str">
        <f t="shared" ref="G17:G19" si="3">IF(ISBLANK($C17),"-/-",COUNTIFS(component_names,$C17,component_types,$C$9)&gt;0)</f>
        <v>-/-</v>
      </c>
      <c r="I17" s="3"/>
      <c r="K17" s="21"/>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S17" s="25"/>
      <c r="AT17" s="25"/>
      <c r="AU17" s="25"/>
      <c r="AV17" s="25"/>
      <c r="AW17" s="25"/>
      <c r="AX17" s="25"/>
      <c r="AY17" s="25"/>
      <c r="AZ17" s="25"/>
      <c r="BA17" s="25"/>
      <c r="BB17" s="25"/>
      <c r="BC17" s="25"/>
      <c r="BD17" s="25"/>
      <c r="BE17" s="25"/>
      <c r="BF17" s="25"/>
      <c r="BG17" s="25"/>
      <c r="BH17" s="25"/>
      <c r="BI17" s="25"/>
      <c r="BJ17" s="25"/>
      <c r="BK17" s="25"/>
      <c r="BL17" s="25"/>
      <c r="BM17" s="25"/>
      <c r="BN17" s="25"/>
      <c r="BO17" s="25"/>
      <c r="BP17" s="25"/>
      <c r="BQ17" s="25"/>
      <c r="BR17" s="25"/>
      <c r="BS17" s="25"/>
      <c r="BT17" s="25"/>
      <c r="BU17" s="25"/>
      <c r="BV17" s="25"/>
      <c r="BW17" s="25"/>
    </row>
    <row r="18" spans="2:107">
      <c r="C18" s="3"/>
      <c r="G18" s="39" t="str">
        <f t="shared" si="3"/>
        <v>-/-</v>
      </c>
      <c r="I18" s="3"/>
      <c r="K18" s="21"/>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row>
    <row r="19" spans="2:107">
      <c r="C19" s="3"/>
      <c r="G19" s="39" t="str">
        <f t="shared" si="3"/>
        <v>-/-</v>
      </c>
      <c r="I19" s="3"/>
      <c r="K19" s="21"/>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W19" s="25"/>
    </row>
    <row r="20" spans="2:107">
      <c r="C20" s="3"/>
      <c r="G20" s="39" t="str">
        <f>IF(ISBLANK($C20),"-/-",COUNTIFS(component_names,$C20,component_types,$C$9)&gt;0)</f>
        <v>-/-</v>
      </c>
      <c r="I20" s="3"/>
      <c r="K20" s="21"/>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c r="BP20" s="25"/>
      <c r="BQ20" s="25"/>
      <c r="BR20" s="25"/>
      <c r="BS20" s="25"/>
      <c r="BT20" s="25"/>
      <c r="BU20" s="25"/>
      <c r="BV20" s="25"/>
      <c r="BW20" s="25"/>
    </row>
    <row r="21" spans="2:107">
      <c r="C21" s="3"/>
      <c r="G21" s="39" t="str">
        <f>IF(ISBLANK($C21),"-/-",COUNTIFS(component_names,$C21,component_types,$C$9)&gt;0)</f>
        <v>-/-</v>
      </c>
      <c r="I21" s="3"/>
      <c r="K21" s="21"/>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S21" s="25"/>
      <c r="AT21" s="25"/>
      <c r="AU21" s="25"/>
      <c r="AV21" s="25"/>
      <c r="AW21" s="25"/>
      <c r="AX21" s="25"/>
      <c r="AY21" s="25"/>
      <c r="AZ21" s="25"/>
      <c r="BA21" s="25"/>
      <c r="BB21" s="25"/>
      <c r="BC21" s="25"/>
      <c r="BD21" s="25"/>
      <c r="BE21" s="25"/>
      <c r="BF21" s="25"/>
      <c r="BG21" s="25"/>
      <c r="BH21" s="25"/>
      <c r="BI21" s="25"/>
      <c r="BJ21" s="25"/>
      <c r="BK21" s="25"/>
      <c r="BL21" s="25"/>
      <c r="BM21" s="25"/>
      <c r="BN21" s="25"/>
      <c r="BO21" s="25"/>
      <c r="BP21" s="25"/>
      <c r="BQ21" s="25"/>
      <c r="BR21" s="25"/>
      <c r="BS21" s="25"/>
      <c r="BT21" s="25"/>
      <c r="BU21" s="25"/>
      <c r="BV21" s="25"/>
      <c r="BW21" s="25"/>
    </row>
    <row r="22" spans="2:107">
      <c r="C22" s="3"/>
      <c r="G22" s="39" t="str">
        <f>IF(ISBLANK($C22),"-/-",COUNTIFS(component_names,$C22,component_types,$C$9)&gt;0)</f>
        <v>-/-</v>
      </c>
      <c r="I22" s="3"/>
      <c r="K22" s="21"/>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S22" s="25"/>
      <c r="AT22" s="25"/>
      <c r="AU22" s="25"/>
      <c r="AV22" s="25"/>
      <c r="AW22" s="25"/>
      <c r="AX22" s="25"/>
      <c r="AY22" s="25"/>
      <c r="AZ22" s="25"/>
      <c r="BA22" s="25"/>
      <c r="BB22" s="25"/>
      <c r="BC22" s="25"/>
      <c r="BD22" s="25"/>
      <c r="BE22" s="25"/>
      <c r="BF22" s="25"/>
      <c r="BG22" s="25"/>
      <c r="BH22" s="25"/>
      <c r="BI22" s="25"/>
      <c r="BJ22" s="25"/>
      <c r="BK22" s="25"/>
      <c r="BL22" s="25"/>
      <c r="BM22" s="25"/>
      <c r="BN22" s="25"/>
      <c r="BO22" s="25"/>
      <c r="BP22" s="25"/>
      <c r="BQ22" s="25"/>
      <c r="BR22" s="25"/>
      <c r="BS22" s="25"/>
      <c r="BT22" s="25"/>
      <c r="BU22" s="25"/>
      <c r="BV22" s="25"/>
      <c r="BW22" s="25"/>
    </row>
    <row r="23" spans="2:10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row>
    <row r="25" spans="2:107" ht="19" hidden="1" outlineLevel="1" thickBot="1">
      <c r="B25" s="9" t="s">
        <v>338</v>
      </c>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row>
    <row r="26" spans="2:107" hidden="1" outlineLevel="1">
      <c r="B26" s="45" t="s">
        <v>339</v>
      </c>
    </row>
    <row r="27" spans="2:107" ht="13" hidden="1" outlineLevel="1">
      <c r="M27" s="6" t="s">
        <v>340</v>
      </c>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row>
    <row r="28" spans="2:107" s="27" customFormat="1" hidden="1" outlineLevel="2">
      <c r="C28" s="27" t="s">
        <v>243</v>
      </c>
      <c r="D28" s="27" t="s">
        <v>318</v>
      </c>
      <c r="F28"/>
      <c r="H28"/>
      <c r="M28" s="27" t="s">
        <v>319</v>
      </c>
      <c r="N28" s="27" t="s">
        <v>319</v>
      </c>
      <c r="O28" s="27" t="s">
        <v>319</v>
      </c>
      <c r="P28" s="27" t="s">
        <v>319</v>
      </c>
      <c r="Q28" s="27" t="s">
        <v>319</v>
      </c>
      <c r="R28" s="27" t="s">
        <v>319</v>
      </c>
      <c r="S28" s="27" t="s">
        <v>319</v>
      </c>
      <c r="T28" s="27" t="s">
        <v>319</v>
      </c>
      <c r="U28" s="27" t="s">
        <v>319</v>
      </c>
      <c r="V28" s="27" t="s">
        <v>319</v>
      </c>
      <c r="W28" s="27" t="s">
        <v>319</v>
      </c>
      <c r="X28" s="27" t="s">
        <v>319</v>
      </c>
      <c r="Y28" s="27" t="s">
        <v>319</v>
      </c>
      <c r="Z28" s="27" t="s">
        <v>319</v>
      </c>
      <c r="AA28" s="27" t="s">
        <v>319</v>
      </c>
      <c r="AB28" s="27" t="s">
        <v>319</v>
      </c>
      <c r="AC28" s="27" t="s">
        <v>319</v>
      </c>
      <c r="AD28" s="27" t="s">
        <v>319</v>
      </c>
      <c r="AE28" s="27" t="s">
        <v>319</v>
      </c>
      <c r="AF28" s="27" t="s">
        <v>319</v>
      </c>
      <c r="AG28" s="27" t="s">
        <v>319</v>
      </c>
      <c r="AH28" s="27" t="s">
        <v>319</v>
      </c>
      <c r="AI28" s="27" t="s">
        <v>319</v>
      </c>
      <c r="AJ28" s="27" t="s">
        <v>319</v>
      </c>
      <c r="AK28" s="27" t="s">
        <v>319</v>
      </c>
      <c r="AL28" s="27" t="s">
        <v>319</v>
      </c>
      <c r="AM28" s="27" t="s">
        <v>319</v>
      </c>
      <c r="AN28" s="27" t="s">
        <v>319</v>
      </c>
      <c r="AO28" s="27" t="s">
        <v>319</v>
      </c>
      <c r="AP28" s="27" t="s">
        <v>319</v>
      </c>
      <c r="AQ28" s="27" t="s">
        <v>319</v>
      </c>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row>
    <row r="29" spans="2:107" ht="14" hidden="1" outlineLevel="1">
      <c r="C29" s="6" t="s">
        <v>341</v>
      </c>
      <c r="D29" s="6" t="s">
        <v>318</v>
      </c>
      <c r="I29" s="11" t="s">
        <v>251</v>
      </c>
      <c r="J29" s="16"/>
      <c r="K29" s="16"/>
      <c r="L29" s="16"/>
      <c r="M29" s="59">
        <f>start_year</f>
        <v>43831</v>
      </c>
      <c r="N29" s="59">
        <f>EDATE(M29,12)</f>
        <v>44197</v>
      </c>
      <c r="O29" s="59">
        <f t="shared" ref="O29:AQ29" si="4">EDATE(N29,12)</f>
        <v>44562</v>
      </c>
      <c r="P29" s="59">
        <f t="shared" si="4"/>
        <v>44927</v>
      </c>
      <c r="Q29" s="59">
        <f t="shared" si="4"/>
        <v>45292</v>
      </c>
      <c r="R29" s="59">
        <f t="shared" si="4"/>
        <v>45658</v>
      </c>
      <c r="S29" s="59">
        <f t="shared" si="4"/>
        <v>46023</v>
      </c>
      <c r="T29" s="59">
        <f t="shared" si="4"/>
        <v>46388</v>
      </c>
      <c r="U29" s="59">
        <f t="shared" si="4"/>
        <v>46753</v>
      </c>
      <c r="V29" s="59">
        <f t="shared" si="4"/>
        <v>47119</v>
      </c>
      <c r="W29" s="59">
        <f t="shared" si="4"/>
        <v>47484</v>
      </c>
      <c r="X29" s="59">
        <f t="shared" si="4"/>
        <v>47849</v>
      </c>
      <c r="Y29" s="59">
        <f t="shared" si="4"/>
        <v>48214</v>
      </c>
      <c r="Z29" s="59">
        <f t="shared" si="4"/>
        <v>48580</v>
      </c>
      <c r="AA29" s="59">
        <f t="shared" si="4"/>
        <v>48945</v>
      </c>
      <c r="AB29" s="59">
        <f t="shared" si="4"/>
        <v>49310</v>
      </c>
      <c r="AC29" s="59">
        <f t="shared" si="4"/>
        <v>49675</v>
      </c>
      <c r="AD29" s="59">
        <f t="shared" si="4"/>
        <v>50041</v>
      </c>
      <c r="AE29" s="59">
        <f t="shared" si="4"/>
        <v>50406</v>
      </c>
      <c r="AF29" s="59">
        <f t="shared" si="4"/>
        <v>50771</v>
      </c>
      <c r="AG29" s="59">
        <f t="shared" si="4"/>
        <v>51136</v>
      </c>
      <c r="AH29" s="59">
        <f t="shared" si="4"/>
        <v>51502</v>
      </c>
      <c r="AI29" s="59">
        <f t="shared" si="4"/>
        <v>51867</v>
      </c>
      <c r="AJ29" s="59">
        <f t="shared" si="4"/>
        <v>52232</v>
      </c>
      <c r="AK29" s="59">
        <f t="shared" si="4"/>
        <v>52597</v>
      </c>
      <c r="AL29" s="59">
        <f t="shared" si="4"/>
        <v>52963</v>
      </c>
      <c r="AM29" s="59">
        <f t="shared" si="4"/>
        <v>53328</v>
      </c>
      <c r="AN29" s="59">
        <f t="shared" si="4"/>
        <v>53693</v>
      </c>
      <c r="AO29" s="59">
        <f t="shared" si="4"/>
        <v>54058</v>
      </c>
      <c r="AP29" s="59">
        <f t="shared" si="4"/>
        <v>54424</v>
      </c>
      <c r="AQ29" s="59">
        <f t="shared" si="4"/>
        <v>54789</v>
      </c>
      <c r="AS29" s="32"/>
      <c r="AT29" s="32"/>
      <c r="AU29" s="32"/>
      <c r="AV29" s="32"/>
      <c r="AW29" s="32"/>
      <c r="AX29" s="32"/>
      <c r="AY29" s="32"/>
      <c r="AZ29" s="32"/>
      <c r="BA29" s="32"/>
      <c r="BB29" s="32"/>
      <c r="BC29" s="32"/>
      <c r="BD29" s="32"/>
      <c r="BE29" s="32"/>
      <c r="BF29" s="32"/>
      <c r="BG29" s="32"/>
      <c r="BH29" s="32"/>
      <c r="BI29" s="32"/>
      <c r="BJ29" s="32"/>
      <c r="BK29" s="32"/>
      <c r="BL29" s="32"/>
      <c r="BM29" s="32"/>
      <c r="BN29" s="32"/>
      <c r="BO29" s="32"/>
      <c r="BP29" s="32"/>
      <c r="BQ29" s="32"/>
      <c r="BR29" s="32"/>
      <c r="BS29" s="32"/>
      <c r="BT29" s="32"/>
      <c r="BU29" s="32"/>
      <c r="BV29" s="32"/>
      <c r="BW29" s="32"/>
      <c r="BY29" s="32"/>
      <c r="BZ29" s="32"/>
      <c r="CA29" s="32"/>
      <c r="CB29" s="32"/>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c r="DA29" s="32"/>
      <c r="DB29" s="32"/>
      <c r="DC29" s="32"/>
    </row>
    <row r="30" spans="2:107" hidden="1" outlineLevel="1">
      <c r="C30" s="19"/>
      <c r="D30" s="19"/>
      <c r="I30" s="3"/>
      <c r="J30" s="16"/>
      <c r="K30" s="16"/>
      <c r="L30" s="16"/>
      <c r="M30" s="29"/>
      <c r="N30" s="29"/>
      <c r="O30" s="29"/>
      <c r="P30" s="29"/>
      <c r="Q30" s="29"/>
      <c r="R30" s="29"/>
      <c r="S30" s="29"/>
      <c r="T30" s="29"/>
      <c r="U30" s="29"/>
      <c r="V30" s="29"/>
      <c r="W30" s="29"/>
      <c r="X30" s="29"/>
      <c r="Y30" s="29"/>
      <c r="Z30" s="29"/>
      <c r="AA30" s="29"/>
      <c r="AB30" s="29"/>
      <c r="AC30" s="29"/>
      <c r="AD30" s="29"/>
      <c r="AE30" s="29"/>
      <c r="AF30" s="29"/>
      <c r="AG30" s="29"/>
      <c r="AH30" s="29"/>
      <c r="AI30" s="29"/>
      <c r="AJ30" s="29"/>
      <c r="AK30" s="29"/>
      <c r="AL30" s="29"/>
      <c r="AM30" s="29"/>
      <c r="AN30" s="29"/>
      <c r="AO30" s="29"/>
      <c r="AP30" s="29"/>
      <c r="AQ30" s="29"/>
      <c r="AS30" s="32"/>
      <c r="AT30" s="32"/>
      <c r="AU30" s="32"/>
      <c r="AV30" s="32"/>
      <c r="AW30" s="32"/>
      <c r="AX30" s="32"/>
      <c r="AY30" s="32"/>
      <c r="AZ30" s="32"/>
      <c r="BA30" s="32"/>
      <c r="BB30" s="32"/>
      <c r="BC30" s="32"/>
      <c r="BD30" s="32"/>
      <c r="BE30" s="32"/>
      <c r="BF30" s="32"/>
      <c r="BG30" s="32"/>
      <c r="BH30" s="32"/>
      <c r="BI30" s="32"/>
      <c r="BJ30" s="32"/>
      <c r="BK30" s="32"/>
      <c r="BL30" s="32"/>
      <c r="BM30" s="32"/>
      <c r="BN30" s="32"/>
      <c r="BO30" s="32"/>
      <c r="BP30" s="32"/>
      <c r="BQ30" s="32"/>
      <c r="BR30" s="32"/>
      <c r="BS30" s="32"/>
      <c r="BT30" s="32"/>
      <c r="BU30" s="32"/>
      <c r="BV30" s="32"/>
      <c r="BW30" s="32"/>
      <c r="BY30" s="32"/>
      <c r="BZ30" s="32"/>
      <c r="CA30" s="32"/>
      <c r="CB30" s="32"/>
      <c r="CC30" s="32"/>
      <c r="CD30" s="32"/>
      <c r="CE30" s="32"/>
      <c r="CF30" s="32"/>
      <c r="CG30" s="32"/>
      <c r="CH30" s="32"/>
      <c r="CI30" s="32"/>
      <c r="CJ30" s="32"/>
      <c r="CK30" s="32"/>
      <c r="CL30" s="32"/>
      <c r="CM30" s="32"/>
      <c r="CN30" s="32"/>
      <c r="CO30" s="32"/>
      <c r="CP30" s="32"/>
      <c r="CQ30" s="32"/>
      <c r="CR30" s="32"/>
      <c r="CS30" s="32"/>
      <c r="CT30" s="32"/>
      <c r="CU30" s="32"/>
      <c r="CV30" s="32"/>
      <c r="CW30" s="32"/>
      <c r="CX30" s="32"/>
      <c r="CY30" s="32"/>
      <c r="CZ30" s="32"/>
      <c r="DA30" s="32"/>
      <c r="DB30" s="32"/>
      <c r="DC30" s="32"/>
    </row>
    <row r="31" spans="2:107" hidden="1" outlineLevel="1">
      <c r="C31" s="19"/>
      <c r="D31" s="19"/>
      <c r="I31" s="3"/>
      <c r="J31" s="16"/>
      <c r="K31" s="16"/>
      <c r="L31" s="16"/>
      <c r="M31" s="29"/>
      <c r="N31" s="29"/>
      <c r="O31" s="29"/>
      <c r="P31" s="29"/>
      <c r="Q31" s="29"/>
      <c r="R31" s="29"/>
      <c r="S31" s="29"/>
      <c r="T31" s="29"/>
      <c r="U31" s="29"/>
      <c r="V31" s="29"/>
      <c r="W31" s="29"/>
      <c r="X31" s="29"/>
      <c r="Y31" s="29"/>
      <c r="Z31" s="29"/>
      <c r="AA31" s="29"/>
      <c r="AB31" s="29"/>
      <c r="AC31" s="29"/>
      <c r="AD31" s="29"/>
      <c r="AE31" s="29"/>
      <c r="AF31" s="29"/>
      <c r="AG31" s="29"/>
      <c r="AH31" s="29"/>
      <c r="AI31" s="29"/>
      <c r="AJ31" s="29"/>
      <c r="AK31" s="29"/>
      <c r="AL31" s="29"/>
      <c r="AM31" s="29"/>
      <c r="AN31" s="29"/>
      <c r="AO31" s="29"/>
      <c r="AP31" s="29"/>
      <c r="AQ31" s="29"/>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c r="BT31" s="32"/>
      <c r="BU31" s="32"/>
      <c r="BV31" s="32"/>
      <c r="BW31" s="32"/>
      <c r="BY31" s="32"/>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row>
    <row r="32" spans="2:107" hidden="1" outlineLevel="1">
      <c r="C32" s="19"/>
      <c r="D32" s="19"/>
      <c r="I32" s="3"/>
      <c r="J32" s="16"/>
      <c r="K32" s="16"/>
      <c r="L32" s="16"/>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row>
    <row r="33" spans="2:107" hidden="1" outlineLevel="1">
      <c r="C33" s="19"/>
      <c r="D33" s="19"/>
      <c r="I33" s="3"/>
      <c r="J33" s="16"/>
      <c r="K33" s="16"/>
      <c r="L33" s="16"/>
      <c r="M33" s="29"/>
      <c r="N33" s="29"/>
      <c r="O33" s="29"/>
      <c r="P33" s="29"/>
      <c r="Q33" s="29"/>
      <c r="R33" s="29"/>
      <c r="S33" s="29"/>
      <c r="T33" s="29"/>
      <c r="U33" s="29"/>
      <c r="V33" s="29"/>
      <c r="W33" s="29"/>
      <c r="X33" s="29"/>
      <c r="Y33" s="29"/>
      <c r="Z33" s="29"/>
      <c r="AA33" s="29"/>
      <c r="AB33" s="29"/>
      <c r="AC33" s="29"/>
      <c r="AD33" s="29"/>
      <c r="AE33" s="29"/>
      <c r="AF33" s="29"/>
      <c r="AG33" s="29"/>
      <c r="AH33" s="29"/>
      <c r="AI33" s="29"/>
      <c r="AJ33" s="29"/>
      <c r="AK33" s="29"/>
      <c r="AL33" s="29"/>
      <c r="AM33" s="29"/>
      <c r="AN33" s="29"/>
      <c r="AO33" s="29"/>
      <c r="AP33" s="29"/>
      <c r="AQ33" s="29"/>
    </row>
    <row r="34" spans="2:107" hidden="1" outlineLevel="1">
      <c r="C34" s="19"/>
      <c r="D34" s="19"/>
      <c r="I34" s="3"/>
      <c r="J34" s="16"/>
      <c r="K34" s="16"/>
      <c r="L34" s="16"/>
      <c r="M34" s="29"/>
      <c r="N34" s="29"/>
      <c r="O34" s="29"/>
      <c r="P34" s="29"/>
      <c r="Q34" s="29"/>
      <c r="R34" s="29"/>
      <c r="S34" s="29"/>
      <c r="T34" s="29"/>
      <c r="U34" s="29"/>
      <c r="V34" s="29"/>
      <c r="W34" s="29"/>
      <c r="X34" s="29"/>
      <c r="Y34" s="29"/>
      <c r="Z34" s="29"/>
      <c r="AA34" s="29"/>
      <c r="AB34" s="29"/>
      <c r="AC34" s="29"/>
      <c r="AD34" s="29"/>
      <c r="AE34" s="29"/>
      <c r="AF34" s="29"/>
      <c r="AG34" s="29"/>
      <c r="AH34" s="29"/>
      <c r="AI34" s="29"/>
      <c r="AJ34" s="29"/>
      <c r="AK34" s="29"/>
      <c r="AL34" s="29"/>
      <c r="AM34" s="29"/>
      <c r="AN34" s="29"/>
      <c r="AO34" s="29"/>
      <c r="AP34" s="29"/>
      <c r="AQ34" s="29"/>
    </row>
    <row r="35" spans="2:107" hidden="1" outlineLevel="1">
      <c r="C35" s="19"/>
      <c r="D35" s="19"/>
      <c r="I35" s="3"/>
      <c r="J35" s="16"/>
      <c r="K35" s="16"/>
      <c r="L35" s="16"/>
      <c r="M35" s="29"/>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row>
    <row r="36" spans="2:107" hidden="1" outlineLevel="1">
      <c r="C36" s="19"/>
      <c r="D36" s="19"/>
      <c r="I36" s="3"/>
      <c r="J36" s="16"/>
      <c r="K36" s="16"/>
      <c r="L36" s="16"/>
      <c r="M36" s="29"/>
      <c r="N36" s="29"/>
      <c r="O36" s="29"/>
      <c r="P36" s="29"/>
      <c r="Q36" s="29"/>
      <c r="R36" s="29"/>
      <c r="S36" s="29"/>
      <c r="T36" s="29"/>
      <c r="U36" s="29"/>
      <c r="V36" s="29"/>
      <c r="W36" s="29"/>
      <c r="X36" s="29"/>
      <c r="Y36" s="29"/>
      <c r="Z36" s="29"/>
      <c r="AA36" s="29"/>
      <c r="AB36" s="29"/>
      <c r="AC36" s="29"/>
      <c r="AD36" s="29"/>
      <c r="AE36" s="29"/>
      <c r="AF36" s="29"/>
      <c r="AG36" s="29"/>
      <c r="AH36" s="29"/>
      <c r="AI36" s="29"/>
      <c r="AJ36" s="29"/>
      <c r="AK36" s="29"/>
      <c r="AL36" s="29"/>
      <c r="AM36" s="29"/>
      <c r="AN36" s="29"/>
      <c r="AO36" s="29"/>
      <c r="AP36" s="29"/>
      <c r="AQ36" s="29"/>
    </row>
    <row r="37" spans="2:107" hidden="1" outlineLevel="1">
      <c r="C37" s="19"/>
      <c r="D37" s="19"/>
      <c r="I37" s="3"/>
      <c r="J37" s="16"/>
      <c r="K37" s="16"/>
      <c r="L37" s="16"/>
      <c r="M37" s="29"/>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row>
    <row r="38" spans="2:107" hidden="1" outlineLevel="1">
      <c r="C38" s="19"/>
      <c r="D38" s="19"/>
      <c r="I38" s="3"/>
      <c r="J38" s="16"/>
      <c r="K38" s="16"/>
      <c r="L38" s="16"/>
      <c r="M38" s="29"/>
      <c r="N38" s="29"/>
      <c r="O38" s="29"/>
      <c r="P38" s="29"/>
      <c r="Q38" s="29"/>
      <c r="R38" s="29"/>
      <c r="S38" s="29"/>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row>
    <row r="39" spans="2:107" hidden="1" outlineLevel="1">
      <c r="C39" s="19"/>
      <c r="D39" s="19"/>
      <c r="I39" s="3"/>
      <c r="J39" s="16"/>
      <c r="K39" s="16"/>
      <c r="L39" s="16"/>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9"/>
      <c r="AM39" s="29"/>
      <c r="AN39" s="29"/>
      <c r="AO39" s="29"/>
      <c r="AP39" s="29"/>
      <c r="AQ39" s="29"/>
    </row>
    <row r="40" spans="2:107" hidden="1" outlineLevel="1">
      <c r="C40" s="19"/>
      <c r="D40" s="19"/>
      <c r="I40" s="3"/>
      <c r="J40" s="16"/>
      <c r="K40" s="16"/>
      <c r="L40" s="16"/>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9"/>
      <c r="AM40" s="29"/>
      <c r="AN40" s="29"/>
      <c r="AO40" s="29"/>
      <c r="AP40" s="29"/>
      <c r="AQ40" s="29"/>
    </row>
    <row r="41" spans="2:107" hidden="1" outlineLevel="1">
      <c r="C41" s="19"/>
      <c r="D41" s="19"/>
      <c r="I41" s="3"/>
      <c r="J41" s="16"/>
      <c r="K41" s="16"/>
      <c r="L41" s="16"/>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row>
    <row r="42" spans="2:107" hidden="1" outlineLevel="1">
      <c r="C42" s="19"/>
      <c r="D42" s="19"/>
      <c r="I42" s="3"/>
      <c r="J42" s="16"/>
      <c r="K42" s="16"/>
      <c r="L42" s="16"/>
      <c r="M42" s="42"/>
      <c r="N42" s="42"/>
      <c r="O42" s="42"/>
      <c r="P42" s="42"/>
      <c r="Q42" s="42"/>
      <c r="R42" s="42"/>
      <c r="S42" s="42"/>
      <c r="T42" s="42"/>
      <c r="U42" s="42"/>
      <c r="V42" s="42"/>
      <c r="W42" s="42"/>
      <c r="X42" s="42"/>
      <c r="Y42" s="42"/>
      <c r="Z42" s="42"/>
      <c r="AA42" s="42"/>
      <c r="AB42" s="42"/>
      <c r="AC42" s="42"/>
      <c r="AD42" s="42"/>
      <c r="AE42" s="42"/>
      <c r="AF42" s="42"/>
      <c r="AG42" s="42"/>
      <c r="AH42" s="42"/>
      <c r="AI42" s="42"/>
      <c r="AJ42" s="42"/>
      <c r="AK42" s="42"/>
      <c r="AL42" s="42"/>
      <c r="AM42" s="42"/>
      <c r="AN42" s="42"/>
      <c r="AO42" s="42"/>
      <c r="AP42" s="42"/>
      <c r="AQ42" s="42"/>
    </row>
    <row r="43" spans="2:107" hidden="1" outlineLevel="1"/>
    <row r="44" spans="2:107" hidden="1" outlineLevel="1"/>
    <row r="45" spans="2:107" ht="19" collapsed="1" thickBot="1">
      <c r="B45" s="9" t="s">
        <v>342</v>
      </c>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row>
    <row r="46" spans="2:107">
      <c r="B46" s="45" t="s">
        <v>343</v>
      </c>
    </row>
    <row r="47" spans="2:107" ht="13">
      <c r="M47" s="6" t="s">
        <v>344</v>
      </c>
      <c r="N47" s="6"/>
      <c r="O47" s="6"/>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row>
    <row r="48" spans="2:107" s="27" customFormat="1" hidden="1" outlineLevel="1">
      <c r="C48" s="27" t="s">
        <v>296</v>
      </c>
      <c r="D48" s="27" t="s">
        <v>318</v>
      </c>
      <c r="F48"/>
      <c r="H48"/>
      <c r="M48" s="27" t="s">
        <v>345</v>
      </c>
      <c r="N48" s="27" t="s">
        <v>345</v>
      </c>
      <c r="O48" s="27" t="s">
        <v>345</v>
      </c>
      <c r="P48" s="27" t="s">
        <v>345</v>
      </c>
      <c r="Q48" s="27" t="s">
        <v>345</v>
      </c>
      <c r="R48" s="27" t="s">
        <v>345</v>
      </c>
      <c r="S48" s="27" t="s">
        <v>345</v>
      </c>
      <c r="T48" s="27" t="s">
        <v>345</v>
      </c>
      <c r="U48" s="27" t="s">
        <v>345</v>
      </c>
      <c r="V48" s="27" t="s">
        <v>345</v>
      </c>
      <c r="W48" s="27" t="s">
        <v>345</v>
      </c>
      <c r="X48" s="27" t="s">
        <v>345</v>
      </c>
      <c r="Y48" s="27" t="s">
        <v>345</v>
      </c>
      <c r="Z48" s="27" t="s">
        <v>345</v>
      </c>
      <c r="AA48" s="27" t="s">
        <v>345</v>
      </c>
      <c r="AB48" s="27" t="s">
        <v>345</v>
      </c>
      <c r="AC48" s="27" t="s">
        <v>345</v>
      </c>
      <c r="AD48" s="27" t="s">
        <v>345</v>
      </c>
      <c r="AE48" s="27" t="s">
        <v>345</v>
      </c>
      <c r="AF48" s="27" t="s">
        <v>345</v>
      </c>
      <c r="AG48" s="27" t="s">
        <v>345</v>
      </c>
      <c r="AH48" s="27" t="s">
        <v>345</v>
      </c>
      <c r="AI48" s="27" t="s">
        <v>345</v>
      </c>
      <c r="AJ48" s="27" t="s">
        <v>345</v>
      </c>
      <c r="AK48" s="27" t="s">
        <v>345</v>
      </c>
      <c r="AL48" s="27" t="s">
        <v>345</v>
      </c>
      <c r="AM48" s="27" t="s">
        <v>345</v>
      </c>
      <c r="AN48" s="27" t="s">
        <v>345</v>
      </c>
      <c r="AO48" s="27" t="s">
        <v>345</v>
      </c>
      <c r="AP48" s="27" t="s">
        <v>345</v>
      </c>
      <c r="AQ48" s="27" t="s">
        <v>345</v>
      </c>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row>
    <row r="49" spans="3:43" ht="14" collapsed="1">
      <c r="C49" s="6" t="s">
        <v>296</v>
      </c>
      <c r="D49" s="6" t="s">
        <v>318</v>
      </c>
      <c r="I49" s="11" t="s">
        <v>251</v>
      </c>
      <c r="J49" s="16"/>
      <c r="K49" s="16"/>
      <c r="L49" s="16"/>
      <c r="M49" s="59">
        <f>start_year</f>
        <v>43831</v>
      </c>
      <c r="N49" s="59">
        <f>EDATE(M49,12)</f>
        <v>44197</v>
      </c>
      <c r="O49" s="59">
        <f t="shared" ref="O49:AQ49" si="5">EDATE(N49,12)</f>
        <v>44562</v>
      </c>
      <c r="P49" s="59">
        <f t="shared" si="5"/>
        <v>44927</v>
      </c>
      <c r="Q49" s="59">
        <f t="shared" si="5"/>
        <v>45292</v>
      </c>
      <c r="R49" s="59">
        <f t="shared" si="5"/>
        <v>45658</v>
      </c>
      <c r="S49" s="59">
        <f t="shared" si="5"/>
        <v>46023</v>
      </c>
      <c r="T49" s="59">
        <f t="shared" si="5"/>
        <v>46388</v>
      </c>
      <c r="U49" s="59">
        <f t="shared" si="5"/>
        <v>46753</v>
      </c>
      <c r="V49" s="59">
        <f t="shared" si="5"/>
        <v>47119</v>
      </c>
      <c r="W49" s="59">
        <f t="shared" si="5"/>
        <v>47484</v>
      </c>
      <c r="X49" s="59">
        <f t="shared" si="5"/>
        <v>47849</v>
      </c>
      <c r="Y49" s="59">
        <f t="shared" si="5"/>
        <v>48214</v>
      </c>
      <c r="Z49" s="59">
        <f t="shared" si="5"/>
        <v>48580</v>
      </c>
      <c r="AA49" s="59">
        <f t="shared" si="5"/>
        <v>48945</v>
      </c>
      <c r="AB49" s="59">
        <f t="shared" si="5"/>
        <v>49310</v>
      </c>
      <c r="AC49" s="59">
        <f t="shared" si="5"/>
        <v>49675</v>
      </c>
      <c r="AD49" s="59">
        <f t="shared" si="5"/>
        <v>50041</v>
      </c>
      <c r="AE49" s="59">
        <f t="shared" si="5"/>
        <v>50406</v>
      </c>
      <c r="AF49" s="59">
        <f t="shared" si="5"/>
        <v>50771</v>
      </c>
      <c r="AG49" s="59">
        <f t="shared" si="5"/>
        <v>51136</v>
      </c>
      <c r="AH49" s="59">
        <f t="shared" si="5"/>
        <v>51502</v>
      </c>
      <c r="AI49" s="59">
        <f t="shared" si="5"/>
        <v>51867</v>
      </c>
      <c r="AJ49" s="59">
        <f t="shared" si="5"/>
        <v>52232</v>
      </c>
      <c r="AK49" s="59">
        <f t="shared" si="5"/>
        <v>52597</v>
      </c>
      <c r="AL49" s="59">
        <f t="shared" si="5"/>
        <v>52963</v>
      </c>
      <c r="AM49" s="59">
        <f t="shared" si="5"/>
        <v>53328</v>
      </c>
      <c r="AN49" s="59">
        <f t="shared" si="5"/>
        <v>53693</v>
      </c>
      <c r="AO49" s="59">
        <f t="shared" si="5"/>
        <v>54058</v>
      </c>
      <c r="AP49" s="59">
        <f t="shared" si="5"/>
        <v>54424</v>
      </c>
      <c r="AQ49" s="59">
        <f t="shared" si="5"/>
        <v>54789</v>
      </c>
    </row>
    <row r="50" spans="3:43">
      <c r="C50" s="19"/>
      <c r="D50" s="19"/>
      <c r="I50" s="3"/>
      <c r="J50" s="16"/>
      <c r="K50" s="16"/>
      <c r="L50" s="16"/>
      <c r="M50" s="93"/>
      <c r="N50" s="93"/>
      <c r="O50" s="93"/>
      <c r="P50" s="93"/>
      <c r="Q50" s="93"/>
      <c r="R50" s="93"/>
      <c r="S50" s="93"/>
      <c r="T50" s="93"/>
      <c r="U50" s="93"/>
      <c r="V50" s="93"/>
      <c r="W50" s="93"/>
      <c r="X50" s="93"/>
      <c r="Y50" s="93"/>
      <c r="Z50" s="93"/>
      <c r="AA50" s="93"/>
      <c r="AB50" s="93"/>
      <c r="AC50" s="93"/>
      <c r="AD50" s="93"/>
      <c r="AE50" s="93"/>
      <c r="AF50" s="93"/>
      <c r="AG50" s="93"/>
      <c r="AH50" s="93"/>
      <c r="AI50" s="93"/>
      <c r="AJ50" s="93"/>
      <c r="AK50" s="93"/>
      <c r="AL50" s="93"/>
      <c r="AM50" s="93"/>
      <c r="AN50" s="93"/>
      <c r="AO50" s="93"/>
      <c r="AP50" s="93"/>
      <c r="AQ50" s="93"/>
    </row>
    <row r="51" spans="3:43">
      <c r="C51" s="19"/>
      <c r="D51" s="19"/>
      <c r="I51" s="3"/>
      <c r="J51" s="16"/>
      <c r="K51" s="16"/>
      <c r="L51" s="16"/>
      <c r="M51" s="93"/>
      <c r="N51" s="93"/>
      <c r="O51" s="93"/>
      <c r="P51" s="93"/>
      <c r="Q51" s="93"/>
      <c r="R51" s="93"/>
      <c r="S51" s="93"/>
      <c r="T51" s="93"/>
      <c r="U51" s="93"/>
      <c r="V51" s="93"/>
      <c r="W51" s="93"/>
      <c r="X51" s="93"/>
      <c r="Y51" s="93"/>
      <c r="Z51" s="93"/>
      <c r="AA51" s="93"/>
      <c r="AB51" s="93"/>
      <c r="AC51" s="93"/>
      <c r="AD51" s="93"/>
      <c r="AE51" s="93"/>
      <c r="AF51" s="93"/>
      <c r="AG51" s="93"/>
      <c r="AH51" s="93"/>
      <c r="AI51" s="93"/>
      <c r="AJ51" s="93"/>
      <c r="AK51" s="93"/>
      <c r="AL51" s="93"/>
      <c r="AM51" s="93"/>
      <c r="AN51" s="93"/>
      <c r="AO51" s="93"/>
      <c r="AP51" s="93"/>
      <c r="AQ51" s="93"/>
    </row>
    <row r="52" spans="3:43">
      <c r="C52" s="19"/>
      <c r="D52" s="19"/>
      <c r="I52" s="3"/>
      <c r="J52" s="16"/>
      <c r="K52" s="16"/>
      <c r="L52" s="16"/>
      <c r="M52" s="93"/>
      <c r="N52" s="93"/>
      <c r="O52" s="93"/>
      <c r="P52" s="93"/>
      <c r="Q52" s="93"/>
      <c r="R52" s="93"/>
      <c r="S52" s="93"/>
      <c r="T52" s="93"/>
      <c r="U52" s="93"/>
      <c r="V52" s="93"/>
      <c r="W52" s="93"/>
      <c r="X52" s="93"/>
      <c r="Y52" s="93"/>
      <c r="Z52" s="93"/>
      <c r="AA52" s="93"/>
      <c r="AB52" s="93"/>
      <c r="AC52" s="93"/>
      <c r="AD52" s="93"/>
      <c r="AE52" s="93"/>
      <c r="AF52" s="93"/>
      <c r="AG52" s="93"/>
      <c r="AH52" s="93"/>
      <c r="AI52" s="93"/>
      <c r="AJ52" s="93"/>
      <c r="AK52" s="93"/>
      <c r="AL52" s="93"/>
      <c r="AM52" s="93"/>
      <c r="AN52" s="93"/>
      <c r="AO52" s="93"/>
      <c r="AP52" s="93"/>
      <c r="AQ52" s="93"/>
    </row>
    <row r="53" spans="3:43">
      <c r="C53" s="19"/>
      <c r="D53" s="19"/>
      <c r="I53" s="3"/>
      <c r="J53" s="16"/>
      <c r="K53" s="16"/>
      <c r="L53" s="16"/>
      <c r="M53" s="93"/>
      <c r="N53" s="93"/>
      <c r="O53" s="93"/>
      <c r="P53" s="93"/>
      <c r="Q53" s="93"/>
      <c r="R53" s="93"/>
      <c r="S53" s="93"/>
      <c r="T53" s="93"/>
      <c r="U53" s="93"/>
      <c r="V53" s="93"/>
      <c r="W53" s="93"/>
      <c r="X53" s="93"/>
      <c r="Y53" s="93"/>
      <c r="Z53" s="93"/>
      <c r="AA53" s="93"/>
      <c r="AB53" s="93"/>
      <c r="AC53" s="93"/>
      <c r="AD53" s="93"/>
      <c r="AE53" s="93"/>
      <c r="AF53" s="93"/>
      <c r="AG53" s="93"/>
      <c r="AH53" s="93"/>
      <c r="AI53" s="93"/>
      <c r="AJ53" s="93"/>
      <c r="AK53" s="93"/>
      <c r="AL53" s="93"/>
      <c r="AM53" s="93"/>
      <c r="AN53" s="93"/>
      <c r="AO53" s="93"/>
      <c r="AP53" s="93"/>
      <c r="AQ53" s="93"/>
    </row>
    <row r="54" spans="3:43">
      <c r="C54" s="19"/>
      <c r="D54" s="19"/>
      <c r="I54" s="3"/>
      <c r="J54" s="16"/>
      <c r="K54" s="16"/>
      <c r="L54" s="16"/>
      <c r="M54" s="93"/>
      <c r="N54" s="93"/>
      <c r="O54" s="93"/>
      <c r="P54" s="93"/>
      <c r="Q54" s="93"/>
      <c r="R54" s="93"/>
      <c r="S54" s="93"/>
      <c r="T54" s="93"/>
      <c r="U54" s="93"/>
      <c r="V54" s="93"/>
      <c r="W54" s="93"/>
      <c r="X54" s="93"/>
      <c r="Y54" s="93"/>
      <c r="Z54" s="93"/>
      <c r="AA54" s="93"/>
      <c r="AB54" s="93"/>
      <c r="AC54" s="93"/>
      <c r="AD54" s="93"/>
      <c r="AE54" s="93"/>
      <c r="AF54" s="93"/>
      <c r="AG54" s="93"/>
      <c r="AH54" s="93"/>
      <c r="AI54" s="93"/>
      <c r="AJ54" s="93"/>
      <c r="AK54" s="93"/>
      <c r="AL54" s="93"/>
      <c r="AM54" s="93"/>
      <c r="AN54" s="93"/>
      <c r="AO54" s="93"/>
      <c r="AP54" s="93"/>
      <c r="AQ54" s="93"/>
    </row>
    <row r="55" spans="3:43">
      <c r="C55" s="19"/>
      <c r="D55" s="19"/>
      <c r="I55" s="3"/>
      <c r="J55" s="16"/>
      <c r="K55" s="16"/>
      <c r="L55" s="16"/>
      <c r="M55" s="93"/>
      <c r="N55" s="93"/>
      <c r="O55" s="93"/>
      <c r="P55" s="93"/>
      <c r="Q55" s="93"/>
      <c r="R55" s="93"/>
      <c r="S55" s="93"/>
      <c r="T55" s="93"/>
      <c r="U55" s="93"/>
      <c r="V55" s="93"/>
      <c r="W55" s="93"/>
      <c r="X55" s="93"/>
      <c r="Y55" s="93"/>
      <c r="Z55" s="93"/>
      <c r="AA55" s="93"/>
      <c r="AB55" s="93"/>
      <c r="AC55" s="93"/>
      <c r="AD55" s="93"/>
      <c r="AE55" s="93"/>
      <c r="AF55" s="93"/>
      <c r="AG55" s="93"/>
      <c r="AH55" s="93"/>
      <c r="AI55" s="93"/>
      <c r="AJ55" s="93"/>
      <c r="AK55" s="93"/>
      <c r="AL55" s="93"/>
      <c r="AM55" s="93"/>
      <c r="AN55" s="93"/>
      <c r="AO55" s="93"/>
      <c r="AP55" s="93"/>
      <c r="AQ55" s="93"/>
    </row>
    <row r="56" spans="3:43">
      <c r="C56" s="19"/>
      <c r="D56" s="19"/>
      <c r="I56" s="3"/>
      <c r="J56" s="16"/>
      <c r="K56" s="16"/>
      <c r="L56" s="16"/>
      <c r="M56" s="93"/>
      <c r="N56" s="93"/>
      <c r="O56" s="93"/>
      <c r="P56" s="93"/>
      <c r="Q56" s="93"/>
      <c r="R56" s="93"/>
      <c r="S56" s="93"/>
      <c r="T56" s="93"/>
      <c r="U56" s="93"/>
      <c r="V56" s="93"/>
      <c r="W56" s="93"/>
      <c r="X56" s="93"/>
      <c r="Y56" s="93"/>
      <c r="Z56" s="93"/>
      <c r="AA56" s="93"/>
      <c r="AB56" s="93"/>
      <c r="AC56" s="93"/>
      <c r="AD56" s="93"/>
      <c r="AE56" s="93"/>
      <c r="AF56" s="93"/>
      <c r="AG56" s="93"/>
      <c r="AH56" s="93"/>
      <c r="AI56" s="93"/>
      <c r="AJ56" s="93"/>
      <c r="AK56" s="93"/>
      <c r="AL56" s="93"/>
      <c r="AM56" s="93"/>
      <c r="AN56" s="93"/>
      <c r="AO56" s="93"/>
      <c r="AP56" s="93"/>
      <c r="AQ56" s="93"/>
    </row>
    <row r="57" spans="3:43">
      <c r="C57" s="19"/>
      <c r="D57" s="19"/>
      <c r="I57" s="3"/>
      <c r="J57" s="16"/>
      <c r="K57" s="16"/>
      <c r="L57" s="16"/>
      <c r="M57" s="93"/>
      <c r="N57" s="93"/>
      <c r="O57" s="93"/>
      <c r="P57" s="93"/>
      <c r="Q57" s="93"/>
      <c r="R57" s="93"/>
      <c r="S57" s="93"/>
      <c r="T57" s="93"/>
      <c r="U57" s="93"/>
      <c r="V57" s="93"/>
      <c r="W57" s="93"/>
      <c r="X57" s="93"/>
      <c r="Y57" s="93"/>
      <c r="Z57" s="93"/>
      <c r="AA57" s="93"/>
      <c r="AB57" s="93"/>
      <c r="AC57" s="93"/>
      <c r="AD57" s="93"/>
      <c r="AE57" s="93"/>
      <c r="AF57" s="93"/>
      <c r="AG57" s="93"/>
      <c r="AH57" s="93"/>
      <c r="AI57" s="93"/>
      <c r="AJ57" s="93"/>
      <c r="AK57" s="93"/>
      <c r="AL57" s="93"/>
      <c r="AM57" s="93"/>
      <c r="AN57" s="93"/>
      <c r="AO57" s="93"/>
      <c r="AP57" s="93"/>
      <c r="AQ57" s="93"/>
    </row>
    <row r="58" spans="3:43">
      <c r="C58" s="19"/>
      <c r="D58" s="19"/>
      <c r="I58" s="3"/>
      <c r="J58" s="16"/>
      <c r="K58" s="16"/>
      <c r="L58" s="16"/>
      <c r="M58" s="93"/>
      <c r="N58" s="93"/>
      <c r="O58" s="93"/>
      <c r="P58" s="93"/>
      <c r="Q58" s="93"/>
      <c r="R58" s="93"/>
      <c r="S58" s="93"/>
      <c r="T58" s="93"/>
      <c r="U58" s="93"/>
      <c r="V58" s="93"/>
      <c r="W58" s="93"/>
      <c r="X58" s="93"/>
      <c r="Y58" s="93"/>
      <c r="Z58" s="93"/>
      <c r="AA58" s="93"/>
      <c r="AB58" s="93"/>
      <c r="AC58" s="93"/>
      <c r="AD58" s="93"/>
      <c r="AE58" s="93"/>
      <c r="AF58" s="93"/>
      <c r="AG58" s="93"/>
      <c r="AH58" s="93"/>
      <c r="AI58" s="93"/>
      <c r="AJ58" s="93"/>
      <c r="AK58" s="93"/>
      <c r="AL58" s="93"/>
      <c r="AM58" s="93"/>
      <c r="AN58" s="93"/>
      <c r="AO58" s="93"/>
      <c r="AP58" s="93"/>
      <c r="AQ58" s="93"/>
    </row>
    <row r="59" spans="3:43">
      <c r="C59" s="19"/>
      <c r="D59" s="19"/>
      <c r="I59" s="3"/>
      <c r="J59" s="16"/>
      <c r="K59" s="16"/>
      <c r="L59" s="16"/>
      <c r="M59" s="93"/>
      <c r="N59" s="93"/>
      <c r="O59" s="93"/>
      <c r="P59" s="93"/>
      <c r="Q59" s="93"/>
      <c r="R59" s="93"/>
      <c r="S59" s="93"/>
      <c r="T59" s="93"/>
      <c r="U59" s="93"/>
      <c r="V59" s="93"/>
      <c r="W59" s="93"/>
      <c r="X59" s="93"/>
      <c r="Y59" s="93"/>
      <c r="Z59" s="93"/>
      <c r="AA59" s="93"/>
      <c r="AB59" s="93"/>
      <c r="AC59" s="93"/>
      <c r="AD59" s="93"/>
      <c r="AE59" s="93"/>
      <c r="AF59" s="93"/>
      <c r="AG59" s="93"/>
      <c r="AH59" s="93"/>
      <c r="AI59" s="93"/>
      <c r="AJ59" s="93"/>
      <c r="AK59" s="93"/>
      <c r="AL59" s="93"/>
      <c r="AM59" s="93"/>
      <c r="AN59" s="93"/>
      <c r="AO59" s="93"/>
      <c r="AP59" s="93"/>
      <c r="AQ59" s="93"/>
    </row>
    <row r="60" spans="3:43">
      <c r="C60" s="19"/>
      <c r="D60" s="19"/>
      <c r="I60" s="3"/>
      <c r="J60" s="16"/>
      <c r="K60" s="16"/>
      <c r="L60" s="16"/>
      <c r="M60" s="93"/>
      <c r="N60" s="93"/>
      <c r="O60" s="93"/>
      <c r="P60" s="93"/>
      <c r="Q60" s="93"/>
      <c r="R60" s="93"/>
      <c r="S60" s="93"/>
      <c r="T60" s="93"/>
      <c r="U60" s="93"/>
      <c r="V60" s="93"/>
      <c r="W60" s="93"/>
      <c r="X60" s="93"/>
      <c r="Y60" s="93"/>
      <c r="Z60" s="93"/>
      <c r="AA60" s="93"/>
      <c r="AB60" s="93"/>
      <c r="AC60" s="93"/>
      <c r="AD60" s="93"/>
      <c r="AE60" s="93"/>
      <c r="AF60" s="93"/>
      <c r="AG60" s="93"/>
      <c r="AH60" s="93"/>
      <c r="AI60" s="93"/>
      <c r="AJ60" s="93"/>
      <c r="AK60" s="93"/>
      <c r="AL60" s="93"/>
      <c r="AM60" s="93"/>
      <c r="AN60" s="93"/>
      <c r="AO60" s="93"/>
      <c r="AP60" s="93"/>
      <c r="AQ60" s="93"/>
    </row>
    <row r="61" spans="3:43">
      <c r="C61" s="19"/>
      <c r="D61" s="19"/>
      <c r="I61" s="3"/>
      <c r="J61" s="16"/>
      <c r="K61" s="16"/>
      <c r="L61" s="16"/>
      <c r="M61" s="93"/>
      <c r="N61" s="93"/>
      <c r="O61" s="93"/>
      <c r="P61" s="93"/>
      <c r="Q61" s="93"/>
      <c r="R61" s="93"/>
      <c r="S61" s="93"/>
      <c r="T61" s="93"/>
      <c r="U61" s="93"/>
      <c r="V61" s="93"/>
      <c r="W61" s="93"/>
      <c r="X61" s="93"/>
      <c r="Y61" s="93"/>
      <c r="Z61" s="93"/>
      <c r="AA61" s="93"/>
      <c r="AB61" s="93"/>
      <c r="AC61" s="93"/>
      <c r="AD61" s="93"/>
      <c r="AE61" s="93"/>
      <c r="AF61" s="93"/>
      <c r="AG61" s="93"/>
      <c r="AH61" s="93"/>
      <c r="AI61" s="93"/>
      <c r="AJ61" s="93"/>
      <c r="AK61" s="93"/>
      <c r="AL61" s="93"/>
      <c r="AM61" s="93"/>
      <c r="AN61" s="93"/>
      <c r="AO61" s="93"/>
      <c r="AP61" s="93"/>
      <c r="AQ61" s="93"/>
    </row>
    <row r="62" spans="3:43">
      <c r="C62" s="19"/>
      <c r="D62" s="19"/>
      <c r="I62" s="3"/>
      <c r="J62" s="16"/>
      <c r="K62" s="16"/>
      <c r="L62" s="16"/>
      <c r="M62" s="93"/>
      <c r="N62" s="93"/>
      <c r="O62" s="93"/>
      <c r="P62" s="93"/>
      <c r="Q62" s="93"/>
      <c r="R62" s="93"/>
      <c r="S62" s="93"/>
      <c r="T62" s="93"/>
      <c r="U62" s="93"/>
      <c r="V62" s="93"/>
      <c r="W62" s="93"/>
      <c r="X62" s="93"/>
      <c r="Y62" s="93"/>
      <c r="Z62" s="93"/>
      <c r="AA62" s="93"/>
      <c r="AB62" s="93"/>
      <c r="AC62" s="93"/>
      <c r="AD62" s="93"/>
      <c r="AE62" s="93"/>
      <c r="AF62" s="93"/>
      <c r="AG62" s="93"/>
      <c r="AH62" s="93"/>
      <c r="AI62" s="93"/>
      <c r="AJ62" s="93"/>
      <c r="AK62" s="93"/>
      <c r="AL62" s="93"/>
      <c r="AM62" s="93"/>
      <c r="AN62" s="93"/>
      <c r="AO62" s="93"/>
      <c r="AP62" s="93"/>
      <c r="AQ62" s="93"/>
    </row>
    <row r="63" spans="3:43">
      <c r="C63" s="19"/>
      <c r="D63" s="19"/>
      <c r="I63" s="3"/>
      <c r="J63" s="16"/>
      <c r="K63" s="16"/>
      <c r="L63" s="16"/>
      <c r="M63" s="93"/>
      <c r="N63" s="93"/>
      <c r="O63" s="93"/>
      <c r="P63" s="93"/>
      <c r="Q63" s="93"/>
      <c r="R63" s="93"/>
      <c r="S63" s="93"/>
      <c r="T63" s="93"/>
      <c r="U63" s="93"/>
      <c r="V63" s="93"/>
      <c r="W63" s="93"/>
      <c r="X63" s="93"/>
      <c r="Y63" s="93"/>
      <c r="Z63" s="93"/>
      <c r="AA63" s="93"/>
      <c r="AB63" s="93"/>
      <c r="AC63" s="93"/>
      <c r="AD63" s="93"/>
      <c r="AE63" s="93"/>
      <c r="AF63" s="93"/>
      <c r="AG63" s="93"/>
      <c r="AH63" s="93"/>
      <c r="AI63" s="93"/>
      <c r="AJ63" s="93"/>
      <c r="AK63" s="93"/>
      <c r="AL63" s="93"/>
      <c r="AM63" s="93"/>
      <c r="AN63" s="93"/>
      <c r="AO63" s="93"/>
      <c r="AP63" s="93"/>
      <c r="AQ63" s="93"/>
    </row>
    <row r="64" spans="3:43">
      <c r="C64" s="19"/>
      <c r="D64" s="19"/>
      <c r="I64" s="3"/>
      <c r="J64" s="16"/>
      <c r="K64" s="16"/>
      <c r="L64" s="16"/>
      <c r="M64" s="93"/>
      <c r="N64" s="93"/>
      <c r="O64" s="93"/>
      <c r="P64" s="93"/>
      <c r="Q64" s="93"/>
      <c r="R64" s="93"/>
      <c r="S64" s="93"/>
      <c r="T64" s="93"/>
      <c r="U64" s="93"/>
      <c r="V64" s="93"/>
      <c r="W64" s="93"/>
      <c r="X64" s="93"/>
      <c r="Y64" s="93"/>
      <c r="Z64" s="93"/>
      <c r="AA64" s="93"/>
      <c r="AB64" s="93"/>
      <c r="AC64" s="93"/>
      <c r="AD64" s="93"/>
      <c r="AE64" s="93"/>
      <c r="AF64" s="93"/>
      <c r="AG64" s="93"/>
      <c r="AH64" s="93"/>
      <c r="AI64" s="93"/>
      <c r="AJ64" s="93"/>
      <c r="AK64" s="93"/>
      <c r="AL64" s="93"/>
      <c r="AM64" s="93"/>
      <c r="AN64" s="93"/>
      <c r="AO64" s="93"/>
      <c r="AP64" s="93"/>
      <c r="AQ64" s="93"/>
    </row>
    <row r="65" spans="2:107">
      <c r="C65" s="19"/>
      <c r="D65" s="19"/>
      <c r="I65" s="3"/>
      <c r="J65" s="16"/>
      <c r="K65" s="16"/>
      <c r="L65" s="16"/>
      <c r="M65" s="93"/>
      <c r="N65" s="93"/>
      <c r="O65" s="93"/>
      <c r="P65" s="93"/>
      <c r="Q65" s="93"/>
      <c r="R65" s="93"/>
      <c r="S65" s="93"/>
      <c r="T65" s="93"/>
      <c r="U65" s="93"/>
      <c r="V65" s="93"/>
      <c r="W65" s="93"/>
      <c r="X65" s="93"/>
      <c r="Y65" s="93"/>
      <c r="Z65" s="93"/>
      <c r="AA65" s="93"/>
      <c r="AB65" s="93"/>
      <c r="AC65" s="93"/>
      <c r="AD65" s="93"/>
      <c r="AE65" s="93"/>
      <c r="AF65" s="93"/>
      <c r="AG65" s="93"/>
      <c r="AH65" s="93"/>
      <c r="AI65" s="93"/>
      <c r="AJ65" s="93"/>
      <c r="AK65" s="93"/>
      <c r="AL65" s="93"/>
      <c r="AM65" s="93"/>
      <c r="AN65" s="93"/>
      <c r="AO65" s="93"/>
      <c r="AP65" s="93"/>
      <c r="AQ65" s="93"/>
    </row>
    <row r="66" spans="2:107">
      <c r="C66" s="19"/>
      <c r="D66" s="19"/>
      <c r="I66" s="3"/>
      <c r="J66" s="16"/>
      <c r="K66" s="16"/>
      <c r="L66" s="16"/>
      <c r="M66" s="93"/>
      <c r="N66" s="93"/>
      <c r="O66" s="93"/>
      <c r="P66" s="93"/>
      <c r="Q66" s="93"/>
      <c r="R66" s="93"/>
      <c r="S66" s="93"/>
      <c r="T66" s="93"/>
      <c r="U66" s="93"/>
      <c r="V66" s="93"/>
      <c r="W66" s="93"/>
      <c r="X66" s="93"/>
      <c r="Y66" s="93"/>
      <c r="Z66" s="93"/>
      <c r="AA66" s="93"/>
      <c r="AB66" s="93"/>
      <c r="AC66" s="93"/>
      <c r="AD66" s="93"/>
      <c r="AE66" s="93"/>
      <c r="AF66" s="93"/>
      <c r="AG66" s="93"/>
      <c r="AH66" s="93"/>
      <c r="AI66" s="93"/>
      <c r="AJ66" s="93"/>
      <c r="AK66" s="93"/>
      <c r="AL66" s="93"/>
      <c r="AM66" s="93"/>
      <c r="AN66" s="93"/>
      <c r="AO66" s="93"/>
      <c r="AP66" s="93"/>
      <c r="AQ66" s="93"/>
    </row>
    <row r="67" spans="2:107">
      <c r="C67" s="19"/>
      <c r="D67" s="19"/>
      <c r="I67" s="3"/>
      <c r="J67" s="16"/>
      <c r="K67" s="16"/>
      <c r="L67" s="16"/>
      <c r="M67" s="93"/>
      <c r="N67" s="93"/>
      <c r="O67" s="93"/>
      <c r="P67" s="93"/>
      <c r="Q67" s="93"/>
      <c r="R67" s="93"/>
      <c r="S67" s="93"/>
      <c r="T67" s="93"/>
      <c r="U67" s="93"/>
      <c r="V67" s="93"/>
      <c r="W67" s="93"/>
      <c r="X67" s="93"/>
      <c r="Y67" s="93"/>
      <c r="Z67" s="93"/>
      <c r="AA67" s="93"/>
      <c r="AB67" s="93"/>
      <c r="AC67" s="93"/>
      <c r="AD67" s="93"/>
      <c r="AE67" s="93"/>
      <c r="AF67" s="93"/>
      <c r="AG67" s="93"/>
      <c r="AH67" s="93"/>
      <c r="AI67" s="93"/>
      <c r="AJ67" s="93"/>
      <c r="AK67" s="93"/>
      <c r="AL67" s="93"/>
      <c r="AM67" s="93"/>
      <c r="AN67" s="93"/>
      <c r="AO67" s="93"/>
      <c r="AP67" s="93"/>
      <c r="AQ67" s="93"/>
    </row>
    <row r="68" spans="2:107">
      <c r="C68" s="19"/>
      <c r="D68" s="19"/>
      <c r="I68" s="3"/>
      <c r="J68" s="16"/>
      <c r="K68" s="16"/>
      <c r="L68" s="16"/>
      <c r="M68" s="93"/>
      <c r="N68" s="93"/>
      <c r="O68" s="93"/>
      <c r="P68" s="93"/>
      <c r="Q68" s="93"/>
      <c r="R68" s="93"/>
      <c r="S68" s="93"/>
      <c r="T68" s="93"/>
      <c r="U68" s="93"/>
      <c r="V68" s="93"/>
      <c r="W68" s="93"/>
      <c r="X68" s="93"/>
      <c r="Y68" s="93"/>
      <c r="Z68" s="93"/>
      <c r="AA68" s="93"/>
      <c r="AB68" s="93"/>
      <c r="AC68" s="93"/>
      <c r="AD68" s="93"/>
      <c r="AE68" s="93"/>
      <c r="AF68" s="93"/>
      <c r="AG68" s="93"/>
      <c r="AH68" s="93"/>
      <c r="AI68" s="93"/>
      <c r="AJ68" s="93"/>
      <c r="AK68" s="93"/>
      <c r="AL68" s="93"/>
      <c r="AM68" s="93"/>
      <c r="AN68" s="93"/>
      <c r="AO68" s="93"/>
      <c r="AP68" s="93"/>
      <c r="AQ68" s="93"/>
    </row>
    <row r="69" spans="2:107">
      <c r="C69" s="19"/>
      <c r="D69" s="19"/>
      <c r="I69" s="3"/>
      <c r="J69" s="16"/>
      <c r="K69" s="16"/>
      <c r="L69" s="16"/>
      <c r="M69" s="93"/>
      <c r="N69" s="93"/>
      <c r="O69" s="93"/>
      <c r="P69" s="93"/>
      <c r="Q69" s="93"/>
      <c r="R69" s="93"/>
      <c r="S69" s="93"/>
      <c r="T69" s="93"/>
      <c r="U69" s="93"/>
      <c r="V69" s="93"/>
      <c r="W69" s="93"/>
      <c r="X69" s="93"/>
      <c r="Y69" s="93"/>
      <c r="Z69" s="93"/>
      <c r="AA69" s="93"/>
      <c r="AB69" s="93"/>
      <c r="AC69" s="93"/>
      <c r="AD69" s="93"/>
      <c r="AE69" s="93"/>
      <c r="AF69" s="93"/>
      <c r="AG69" s="93"/>
      <c r="AH69" s="93"/>
      <c r="AI69" s="93"/>
      <c r="AJ69" s="93"/>
      <c r="AK69" s="93"/>
      <c r="AL69" s="93"/>
      <c r="AM69" s="93"/>
      <c r="AN69" s="93"/>
      <c r="AO69" s="93"/>
      <c r="AP69" s="93"/>
      <c r="AQ69" s="93"/>
    </row>
    <row r="70" spans="2:107">
      <c r="C70" s="19"/>
      <c r="D70" s="19"/>
      <c r="I70" s="3"/>
      <c r="J70" s="16"/>
      <c r="K70" s="16"/>
      <c r="L70" s="16"/>
      <c r="M70" s="93"/>
      <c r="N70" s="93"/>
      <c r="O70" s="93"/>
      <c r="P70" s="93"/>
      <c r="Q70" s="93"/>
      <c r="R70" s="93"/>
      <c r="S70" s="93"/>
      <c r="T70" s="93"/>
      <c r="U70" s="93"/>
      <c r="V70" s="93"/>
      <c r="W70" s="93"/>
      <c r="X70" s="93"/>
      <c r="Y70" s="93"/>
      <c r="Z70" s="93"/>
      <c r="AA70" s="93"/>
      <c r="AB70" s="93"/>
      <c r="AC70" s="93"/>
      <c r="AD70" s="93"/>
      <c r="AE70" s="93"/>
      <c r="AF70" s="93"/>
      <c r="AG70" s="93"/>
      <c r="AH70" s="93"/>
      <c r="AI70" s="93"/>
      <c r="AJ70" s="93"/>
      <c r="AK70" s="93"/>
      <c r="AL70" s="93"/>
      <c r="AM70" s="93"/>
      <c r="AN70" s="93"/>
      <c r="AO70" s="93"/>
      <c r="AP70" s="93"/>
      <c r="AQ70" s="93"/>
    </row>
    <row r="71" spans="2:107">
      <c r="C71" s="19"/>
      <c r="D71" s="19"/>
      <c r="I71" s="3"/>
      <c r="J71" s="16"/>
      <c r="K71" s="16"/>
      <c r="L71" s="16"/>
      <c r="M71" s="93"/>
      <c r="N71" s="93"/>
      <c r="O71" s="93"/>
      <c r="P71" s="93"/>
      <c r="Q71" s="93"/>
      <c r="R71" s="93"/>
      <c r="S71" s="93"/>
      <c r="T71" s="93"/>
      <c r="U71" s="93"/>
      <c r="V71" s="93"/>
      <c r="W71" s="93"/>
      <c r="X71" s="93"/>
      <c r="Y71" s="93"/>
      <c r="Z71" s="93"/>
      <c r="AA71" s="93"/>
      <c r="AB71" s="93"/>
      <c r="AC71" s="93"/>
      <c r="AD71" s="93"/>
      <c r="AE71" s="93"/>
      <c r="AF71" s="93"/>
      <c r="AG71" s="93"/>
      <c r="AH71" s="93"/>
      <c r="AI71" s="93"/>
      <c r="AJ71" s="93"/>
      <c r="AK71" s="93"/>
      <c r="AL71" s="93"/>
      <c r="AM71" s="93"/>
      <c r="AN71" s="93"/>
      <c r="AO71" s="93"/>
      <c r="AP71" s="93"/>
      <c r="AQ71" s="93"/>
    </row>
    <row r="72" spans="2:107">
      <c r="C72" s="19"/>
      <c r="D72" s="19"/>
      <c r="I72" s="3"/>
      <c r="J72" s="16"/>
      <c r="K72" s="16"/>
      <c r="L72" s="16"/>
      <c r="M72" s="93"/>
      <c r="N72" s="93"/>
      <c r="O72" s="93"/>
      <c r="P72" s="93"/>
      <c r="Q72" s="93"/>
      <c r="R72" s="93"/>
      <c r="S72" s="93"/>
      <c r="T72" s="93"/>
      <c r="U72" s="93"/>
      <c r="V72" s="93"/>
      <c r="W72" s="93"/>
      <c r="X72" s="93"/>
      <c r="Y72" s="93"/>
      <c r="Z72" s="93"/>
      <c r="AA72" s="93"/>
      <c r="AB72" s="93"/>
      <c r="AC72" s="93"/>
      <c r="AD72" s="93"/>
      <c r="AE72" s="93"/>
      <c r="AF72" s="93"/>
      <c r="AG72" s="93"/>
      <c r="AH72" s="93"/>
      <c r="AI72" s="93"/>
      <c r="AJ72" s="93"/>
      <c r="AK72" s="93"/>
      <c r="AL72" s="93"/>
      <c r="AM72" s="93"/>
      <c r="AN72" s="93"/>
      <c r="AO72" s="93"/>
      <c r="AP72" s="93"/>
      <c r="AQ72" s="93"/>
    </row>
    <row r="73" spans="2:107">
      <c r="C73" s="19"/>
      <c r="D73" s="19"/>
      <c r="I73" s="3"/>
      <c r="J73" s="16"/>
      <c r="K73" s="16"/>
      <c r="L73" s="16"/>
      <c r="M73" s="93"/>
      <c r="N73" s="93"/>
      <c r="O73" s="93"/>
      <c r="P73" s="93"/>
      <c r="Q73" s="93"/>
      <c r="R73" s="93"/>
      <c r="S73" s="93"/>
      <c r="T73" s="93"/>
      <c r="U73" s="93"/>
      <c r="V73" s="93"/>
      <c r="W73" s="93"/>
      <c r="X73" s="93"/>
      <c r="Y73" s="93"/>
      <c r="Z73" s="93"/>
      <c r="AA73" s="93"/>
      <c r="AB73" s="93"/>
      <c r="AC73" s="93"/>
      <c r="AD73" s="93"/>
      <c r="AE73" s="93"/>
      <c r="AF73" s="93"/>
      <c r="AG73" s="93"/>
      <c r="AH73" s="93"/>
      <c r="AI73" s="93"/>
      <c r="AJ73" s="93"/>
      <c r="AK73" s="93"/>
      <c r="AL73" s="93"/>
      <c r="AM73" s="93"/>
      <c r="AN73" s="93"/>
      <c r="AO73" s="93"/>
      <c r="AP73" s="93"/>
      <c r="AQ73" s="93"/>
    </row>
    <row r="74" spans="2:107">
      <c r="C74" s="19"/>
      <c r="D74" s="19"/>
      <c r="I74" s="3"/>
      <c r="J74" s="16"/>
      <c r="K74" s="16"/>
      <c r="L74" s="16"/>
      <c r="M74" s="93"/>
      <c r="N74" s="93"/>
      <c r="O74" s="93"/>
      <c r="P74" s="93"/>
      <c r="Q74" s="93"/>
      <c r="R74" s="93"/>
      <c r="S74" s="93"/>
      <c r="T74" s="93"/>
      <c r="U74" s="93"/>
      <c r="V74" s="93"/>
      <c r="W74" s="93"/>
      <c r="X74" s="93"/>
      <c r="Y74" s="93"/>
      <c r="Z74" s="93"/>
      <c r="AA74" s="93"/>
      <c r="AB74" s="93"/>
      <c r="AC74" s="93"/>
      <c r="AD74" s="93"/>
      <c r="AE74" s="93"/>
      <c r="AF74" s="93"/>
      <c r="AG74" s="93"/>
      <c r="AH74" s="93"/>
      <c r="AI74" s="93"/>
      <c r="AJ74" s="93"/>
      <c r="AK74" s="93"/>
      <c r="AL74" s="93"/>
      <c r="AM74" s="93"/>
      <c r="AN74" s="93"/>
      <c r="AO74" s="93"/>
      <c r="AP74" s="93"/>
      <c r="AQ74" s="93"/>
    </row>
    <row r="77" spans="2:107" ht="19" thickBot="1">
      <c r="B77" s="9" t="s">
        <v>346</v>
      </c>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row>
    <row r="79" spans="2:107" ht="18" thickBot="1">
      <c r="C79" s="20" t="s">
        <v>347</v>
      </c>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c r="AN79" s="20"/>
      <c r="AO79" s="20"/>
      <c r="AP79" s="20"/>
      <c r="AQ79" s="20"/>
      <c r="AR79" s="20"/>
      <c r="AS79" s="20"/>
      <c r="AT79" s="20"/>
      <c r="AU79" s="20"/>
      <c r="AV79" s="20"/>
      <c r="AW79" s="20"/>
      <c r="AX79" s="20"/>
      <c r="AY79" s="20"/>
      <c r="AZ79" s="20"/>
      <c r="BA79" s="20"/>
      <c r="BB79" s="20"/>
      <c r="BC79" s="20"/>
      <c r="BD79" s="20"/>
      <c r="BE79" s="20"/>
      <c r="BF79" s="20"/>
      <c r="BG79" s="20"/>
      <c r="BH79" s="20"/>
      <c r="BI79" s="20"/>
      <c r="BJ79" s="20"/>
      <c r="BK79" s="20"/>
      <c r="BL79" s="20"/>
      <c r="BM79" s="20"/>
      <c r="BN79" s="20"/>
      <c r="BO79" s="20"/>
      <c r="BP79" s="20"/>
      <c r="BQ79" s="20"/>
      <c r="BR79" s="20"/>
      <c r="BS79" s="20"/>
      <c r="BT79" s="20"/>
      <c r="BU79" s="20"/>
      <c r="BV79" s="20"/>
      <c r="BW79" s="20"/>
      <c r="BX79" s="20"/>
      <c r="BY79" s="20"/>
      <c r="BZ79" s="20"/>
      <c r="CA79" s="20"/>
      <c r="CB79" s="20"/>
      <c r="CC79" s="20"/>
      <c r="CD79" s="20"/>
      <c r="CE79" s="20"/>
      <c r="CF79" s="20"/>
      <c r="CG79" s="20"/>
      <c r="CH79" s="20"/>
      <c r="CI79" s="20"/>
      <c r="CJ79" s="20"/>
      <c r="CK79" s="20"/>
      <c r="CL79" s="20"/>
      <c r="CM79" s="20"/>
      <c r="CN79" s="20"/>
      <c r="CO79" s="20"/>
      <c r="CP79" s="20"/>
      <c r="CQ79" s="20"/>
      <c r="CR79" s="20"/>
      <c r="CS79" s="20"/>
      <c r="CT79" s="20"/>
      <c r="CU79" s="20"/>
      <c r="CV79" s="20"/>
      <c r="CW79" s="20"/>
      <c r="CX79" s="20"/>
      <c r="CY79" s="20"/>
      <c r="CZ79" s="20"/>
      <c r="DA79" s="20"/>
      <c r="DB79" s="20"/>
      <c r="DC79" s="20"/>
    </row>
    <row r="81" spans="3:107">
      <c r="C81" s="27" t="s">
        <v>348</v>
      </c>
      <c r="D81" s="27" t="s">
        <v>318</v>
      </c>
    </row>
    <row r="82" spans="3:107" ht="14">
      <c r="C82" s="6" t="s">
        <v>349</v>
      </c>
      <c r="D82" s="6" t="s">
        <v>305</v>
      </c>
      <c r="I82" s="11" t="s">
        <v>251</v>
      </c>
    </row>
    <row r="83" spans="3:107">
      <c r="C83" s="3"/>
      <c r="D83" s="19"/>
      <c r="I83" s="3"/>
    </row>
    <row r="84" spans="3:107">
      <c r="C84" s="3"/>
      <c r="D84" s="19"/>
      <c r="I84" s="3"/>
    </row>
    <row r="85" spans="3:107">
      <c r="C85" s="3"/>
      <c r="D85" s="19"/>
      <c r="I85" s="3"/>
    </row>
    <row r="86" spans="3:107">
      <c r="C86" s="3"/>
      <c r="D86" s="19"/>
      <c r="I86" s="3"/>
    </row>
    <row r="87" spans="3:107">
      <c r="C87" s="3"/>
      <c r="D87" s="19"/>
      <c r="I87" s="3"/>
    </row>
    <row r="88" spans="3:107">
      <c r="C88" s="3"/>
      <c r="D88" s="19"/>
      <c r="I88" s="3"/>
    </row>
    <row r="89" spans="3:107">
      <c r="C89" s="3"/>
      <c r="D89" s="19"/>
      <c r="I89" s="3"/>
    </row>
    <row r="90" spans="3:107">
      <c r="C90" s="3"/>
      <c r="D90" s="19"/>
      <c r="I90" s="3"/>
    </row>
    <row r="91" spans="3:107">
      <c r="C91" s="3"/>
      <c r="D91" s="19"/>
      <c r="I91" s="3"/>
    </row>
    <row r="94" spans="3:107" ht="18" thickBot="1">
      <c r="C94" s="20" t="s">
        <v>350</v>
      </c>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c r="AI94" s="20"/>
      <c r="AJ94" s="20"/>
      <c r="AK94" s="20"/>
      <c r="AL94" s="20"/>
      <c r="AM94" s="20"/>
      <c r="AN94" s="20"/>
      <c r="AO94" s="20"/>
      <c r="AP94" s="20"/>
      <c r="AQ94" s="20"/>
      <c r="AR94" s="20"/>
      <c r="AS94" s="20"/>
      <c r="AT94" s="20"/>
      <c r="AU94" s="20"/>
      <c r="AV94" s="20"/>
      <c r="AW94" s="20"/>
      <c r="AX94" s="20"/>
      <c r="AY94" s="20"/>
      <c r="AZ94" s="20"/>
      <c r="BA94" s="20"/>
      <c r="BB94" s="20"/>
      <c r="BC94" s="20"/>
      <c r="BD94" s="20"/>
      <c r="BE94" s="20"/>
      <c r="BF94" s="20"/>
      <c r="BG94" s="20"/>
      <c r="BH94" s="20"/>
      <c r="BI94" s="20"/>
      <c r="BJ94" s="20"/>
      <c r="BK94" s="20"/>
      <c r="BL94" s="20"/>
      <c r="BM94" s="20"/>
      <c r="BN94" s="20"/>
      <c r="BO94" s="20"/>
      <c r="BP94" s="20"/>
      <c r="BQ94" s="20"/>
      <c r="BR94" s="20"/>
      <c r="BS94" s="20"/>
      <c r="BT94" s="20"/>
      <c r="BU94" s="20"/>
      <c r="BV94" s="20"/>
      <c r="BW94" s="20"/>
      <c r="BX94" s="20"/>
      <c r="BY94" s="20"/>
      <c r="BZ94" s="20"/>
      <c r="CA94" s="20"/>
      <c r="CB94" s="20"/>
      <c r="CC94" s="20"/>
      <c r="CD94" s="20"/>
      <c r="CE94" s="20"/>
      <c r="CF94" s="20"/>
      <c r="CG94" s="20"/>
      <c r="CH94" s="20"/>
      <c r="CI94" s="20"/>
      <c r="CJ94" s="20"/>
      <c r="CK94" s="20"/>
      <c r="CL94" s="20"/>
      <c r="CM94" s="20"/>
      <c r="CN94" s="20"/>
      <c r="CO94" s="20"/>
      <c r="CP94" s="20"/>
      <c r="CQ94" s="20"/>
      <c r="CR94" s="20"/>
      <c r="CS94" s="20"/>
      <c r="CT94" s="20"/>
      <c r="CU94" s="20"/>
      <c r="CV94" s="20"/>
      <c r="CW94" s="20"/>
      <c r="CX94" s="20"/>
      <c r="CY94" s="20"/>
      <c r="CZ94" s="20"/>
      <c r="DA94" s="20"/>
      <c r="DB94" s="20"/>
      <c r="DC94" s="20"/>
    </row>
    <row r="98" spans="3:107" ht="13">
      <c r="I98" s="16"/>
      <c r="L98" s="16"/>
      <c r="M98" s="6" t="s">
        <v>351</v>
      </c>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S98" s="6" t="s">
        <v>352</v>
      </c>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6"/>
      <c r="BY98" s="6" t="s">
        <v>353</v>
      </c>
      <c r="BZ98" s="6"/>
      <c r="CA98" s="6"/>
      <c r="CB98" s="6"/>
      <c r="CC98" s="6"/>
      <c r="CD98" s="6"/>
      <c r="CE98" s="6"/>
      <c r="CF98" s="6"/>
      <c r="CG98" s="6"/>
      <c r="CH98" s="6"/>
      <c r="CI98" s="6"/>
      <c r="CJ98" s="6"/>
      <c r="CK98" s="6"/>
      <c r="CL98" s="6"/>
      <c r="CM98" s="6"/>
      <c r="CN98" s="6"/>
      <c r="CO98" s="6"/>
      <c r="CP98" s="6"/>
      <c r="CQ98" s="6"/>
      <c r="CR98" s="6"/>
      <c r="CS98" s="6"/>
      <c r="CT98" s="6"/>
      <c r="CU98" s="6"/>
      <c r="CV98" s="6"/>
      <c r="CW98" s="6"/>
      <c r="CX98" s="6"/>
      <c r="CY98" s="6"/>
      <c r="CZ98" s="6"/>
      <c r="DA98" s="6"/>
      <c r="DB98" s="6"/>
      <c r="DC98" s="6"/>
    </row>
    <row r="99" spans="3:107" hidden="1" outlineLevel="1">
      <c r="C99" s="27" t="s">
        <v>348</v>
      </c>
      <c r="D99" s="27"/>
      <c r="E99" s="27"/>
      <c r="G99" s="27"/>
      <c r="I99" s="27"/>
      <c r="L99" s="27"/>
      <c r="M99" s="27" t="s">
        <v>354</v>
      </c>
      <c r="N99" s="27" t="s">
        <v>354</v>
      </c>
      <c r="O99" s="27" t="s">
        <v>354</v>
      </c>
      <c r="P99" s="27" t="s">
        <v>354</v>
      </c>
      <c r="Q99" s="27" t="s">
        <v>354</v>
      </c>
      <c r="R99" s="27" t="s">
        <v>354</v>
      </c>
      <c r="S99" s="27" t="s">
        <v>354</v>
      </c>
      <c r="T99" s="27" t="s">
        <v>354</v>
      </c>
      <c r="U99" s="27" t="s">
        <v>354</v>
      </c>
      <c r="V99" s="27" t="s">
        <v>354</v>
      </c>
      <c r="W99" s="27" t="s">
        <v>354</v>
      </c>
      <c r="X99" s="27" t="s">
        <v>354</v>
      </c>
      <c r="Y99" s="27" t="s">
        <v>354</v>
      </c>
      <c r="Z99" s="27" t="s">
        <v>354</v>
      </c>
      <c r="AA99" s="27" t="s">
        <v>354</v>
      </c>
      <c r="AB99" s="27" t="s">
        <v>354</v>
      </c>
      <c r="AC99" s="27" t="s">
        <v>354</v>
      </c>
      <c r="AD99" s="27" t="s">
        <v>354</v>
      </c>
      <c r="AE99" s="27" t="s">
        <v>354</v>
      </c>
      <c r="AF99" s="27" t="s">
        <v>354</v>
      </c>
      <c r="AG99" s="27" t="s">
        <v>354</v>
      </c>
      <c r="AH99" s="27" t="s">
        <v>354</v>
      </c>
      <c r="AI99" s="27" t="s">
        <v>354</v>
      </c>
      <c r="AJ99" s="27" t="s">
        <v>354</v>
      </c>
      <c r="AK99" s="27" t="s">
        <v>354</v>
      </c>
      <c r="AL99" s="27" t="s">
        <v>354</v>
      </c>
      <c r="AM99" s="27" t="s">
        <v>354</v>
      </c>
      <c r="AN99" s="27" t="s">
        <v>354</v>
      </c>
      <c r="AO99" s="27" t="s">
        <v>354</v>
      </c>
      <c r="AP99" s="27" t="s">
        <v>354</v>
      </c>
      <c r="AQ99" s="27" t="s">
        <v>354</v>
      </c>
      <c r="AS99" s="27" t="s">
        <v>355</v>
      </c>
      <c r="AT99" s="27" t="s">
        <v>355</v>
      </c>
      <c r="AU99" s="27" t="s">
        <v>355</v>
      </c>
      <c r="AV99" s="27" t="s">
        <v>355</v>
      </c>
      <c r="AW99" s="27" t="s">
        <v>355</v>
      </c>
      <c r="AX99" s="27" t="s">
        <v>355</v>
      </c>
      <c r="AY99" s="27" t="s">
        <v>355</v>
      </c>
      <c r="AZ99" s="27" t="s">
        <v>355</v>
      </c>
      <c r="BA99" s="27" t="s">
        <v>355</v>
      </c>
      <c r="BB99" s="27" t="s">
        <v>355</v>
      </c>
      <c r="BC99" s="27" t="s">
        <v>355</v>
      </c>
      <c r="BD99" s="27" t="s">
        <v>355</v>
      </c>
      <c r="BE99" s="27" t="s">
        <v>355</v>
      </c>
      <c r="BF99" s="27" t="s">
        <v>355</v>
      </c>
      <c r="BG99" s="27" t="s">
        <v>355</v>
      </c>
      <c r="BH99" s="27" t="s">
        <v>355</v>
      </c>
      <c r="BI99" s="27" t="s">
        <v>355</v>
      </c>
      <c r="BJ99" s="27" t="s">
        <v>355</v>
      </c>
      <c r="BK99" s="27" t="s">
        <v>355</v>
      </c>
      <c r="BL99" s="27" t="s">
        <v>355</v>
      </c>
      <c r="BM99" s="27" t="s">
        <v>355</v>
      </c>
      <c r="BN99" s="27" t="s">
        <v>355</v>
      </c>
      <c r="BO99" s="27" t="s">
        <v>355</v>
      </c>
      <c r="BP99" s="27" t="s">
        <v>355</v>
      </c>
      <c r="BQ99" s="27" t="s">
        <v>355</v>
      </c>
      <c r="BR99" s="27" t="s">
        <v>355</v>
      </c>
      <c r="BS99" s="27" t="s">
        <v>355</v>
      </c>
      <c r="BT99" s="27" t="s">
        <v>355</v>
      </c>
      <c r="BU99" s="27" t="s">
        <v>355</v>
      </c>
      <c r="BV99" s="27" t="s">
        <v>355</v>
      </c>
      <c r="BW99" s="27" t="s">
        <v>355</v>
      </c>
      <c r="BY99" s="27" t="s">
        <v>356</v>
      </c>
      <c r="BZ99" s="27" t="s">
        <v>356</v>
      </c>
      <c r="CA99" s="27" t="s">
        <v>356</v>
      </c>
      <c r="CB99" s="27" t="s">
        <v>356</v>
      </c>
      <c r="CC99" s="27" t="s">
        <v>356</v>
      </c>
      <c r="CD99" s="27" t="s">
        <v>356</v>
      </c>
      <c r="CE99" s="27" t="s">
        <v>356</v>
      </c>
      <c r="CF99" s="27" t="s">
        <v>356</v>
      </c>
      <c r="CG99" s="27" t="s">
        <v>356</v>
      </c>
      <c r="CH99" s="27" t="s">
        <v>356</v>
      </c>
      <c r="CI99" s="27" t="s">
        <v>356</v>
      </c>
      <c r="CJ99" s="27" t="s">
        <v>356</v>
      </c>
      <c r="CK99" s="27" t="s">
        <v>356</v>
      </c>
      <c r="CL99" s="27" t="s">
        <v>356</v>
      </c>
      <c r="CM99" s="27" t="s">
        <v>356</v>
      </c>
      <c r="CN99" s="27" t="s">
        <v>356</v>
      </c>
      <c r="CO99" s="27" t="s">
        <v>356</v>
      </c>
      <c r="CP99" s="27" t="s">
        <v>356</v>
      </c>
      <c r="CQ99" s="27" t="s">
        <v>356</v>
      </c>
      <c r="CR99" s="27" t="s">
        <v>356</v>
      </c>
      <c r="CS99" s="27" t="s">
        <v>356</v>
      </c>
      <c r="CT99" s="27" t="s">
        <v>356</v>
      </c>
      <c r="CU99" s="27" t="s">
        <v>356</v>
      </c>
      <c r="CV99" s="27" t="s">
        <v>356</v>
      </c>
      <c r="CW99" s="27" t="s">
        <v>356</v>
      </c>
      <c r="CX99" s="27" t="s">
        <v>356</v>
      </c>
      <c r="CY99" s="27" t="s">
        <v>356</v>
      </c>
      <c r="CZ99" s="27" t="s">
        <v>356</v>
      </c>
      <c r="DA99" s="27" t="s">
        <v>356</v>
      </c>
      <c r="DB99" s="27" t="s">
        <v>356</v>
      </c>
      <c r="DC99" s="27" t="s">
        <v>356</v>
      </c>
    </row>
    <row r="100" spans="3:107" ht="14" collapsed="1">
      <c r="C100" s="6" t="s">
        <v>349</v>
      </c>
      <c r="D100" s="6" t="s">
        <v>357</v>
      </c>
      <c r="E100" s="6"/>
      <c r="I100" s="11" t="s">
        <v>251</v>
      </c>
      <c r="L100" s="16"/>
      <c r="M100" s="59">
        <f>start_year</f>
        <v>43831</v>
      </c>
      <c r="N100" s="59">
        <f>EDATE(M100,12)</f>
        <v>44197</v>
      </c>
      <c r="O100" s="59">
        <f t="shared" ref="O100:AQ100" si="6">EDATE(N100,12)</f>
        <v>44562</v>
      </c>
      <c r="P100" s="59">
        <f t="shared" si="6"/>
        <v>44927</v>
      </c>
      <c r="Q100" s="59">
        <f t="shared" si="6"/>
        <v>45292</v>
      </c>
      <c r="R100" s="59">
        <f t="shared" si="6"/>
        <v>45658</v>
      </c>
      <c r="S100" s="59">
        <f t="shared" si="6"/>
        <v>46023</v>
      </c>
      <c r="T100" s="59">
        <f t="shared" si="6"/>
        <v>46388</v>
      </c>
      <c r="U100" s="59">
        <f t="shared" si="6"/>
        <v>46753</v>
      </c>
      <c r="V100" s="59">
        <f t="shared" si="6"/>
        <v>47119</v>
      </c>
      <c r="W100" s="59">
        <f t="shared" si="6"/>
        <v>47484</v>
      </c>
      <c r="X100" s="59">
        <f t="shared" si="6"/>
        <v>47849</v>
      </c>
      <c r="Y100" s="59">
        <f t="shared" si="6"/>
        <v>48214</v>
      </c>
      <c r="Z100" s="59">
        <f t="shared" si="6"/>
        <v>48580</v>
      </c>
      <c r="AA100" s="59">
        <f t="shared" si="6"/>
        <v>48945</v>
      </c>
      <c r="AB100" s="59">
        <f t="shared" si="6"/>
        <v>49310</v>
      </c>
      <c r="AC100" s="59">
        <f t="shared" si="6"/>
        <v>49675</v>
      </c>
      <c r="AD100" s="59">
        <f t="shared" si="6"/>
        <v>50041</v>
      </c>
      <c r="AE100" s="59">
        <f t="shared" si="6"/>
        <v>50406</v>
      </c>
      <c r="AF100" s="59">
        <f t="shared" si="6"/>
        <v>50771</v>
      </c>
      <c r="AG100" s="59">
        <f t="shared" si="6"/>
        <v>51136</v>
      </c>
      <c r="AH100" s="59">
        <f t="shared" si="6"/>
        <v>51502</v>
      </c>
      <c r="AI100" s="59">
        <f t="shared" si="6"/>
        <v>51867</v>
      </c>
      <c r="AJ100" s="59">
        <f t="shared" si="6"/>
        <v>52232</v>
      </c>
      <c r="AK100" s="59">
        <f t="shared" si="6"/>
        <v>52597</v>
      </c>
      <c r="AL100" s="59">
        <f t="shared" si="6"/>
        <v>52963</v>
      </c>
      <c r="AM100" s="59">
        <f t="shared" si="6"/>
        <v>53328</v>
      </c>
      <c r="AN100" s="59">
        <f t="shared" si="6"/>
        <v>53693</v>
      </c>
      <c r="AO100" s="59">
        <f t="shared" si="6"/>
        <v>54058</v>
      </c>
      <c r="AP100" s="59">
        <f t="shared" si="6"/>
        <v>54424</v>
      </c>
      <c r="AQ100" s="59">
        <f t="shared" si="6"/>
        <v>54789</v>
      </c>
      <c r="AS100" s="59">
        <f>start_year</f>
        <v>43831</v>
      </c>
      <c r="AT100" s="59">
        <f>EDATE(AS100,12)</f>
        <v>44197</v>
      </c>
      <c r="AU100" s="59">
        <f t="shared" ref="AU100:BW100" si="7">EDATE(AT100,12)</f>
        <v>44562</v>
      </c>
      <c r="AV100" s="59">
        <f t="shared" si="7"/>
        <v>44927</v>
      </c>
      <c r="AW100" s="59">
        <f t="shared" si="7"/>
        <v>45292</v>
      </c>
      <c r="AX100" s="59">
        <f t="shared" si="7"/>
        <v>45658</v>
      </c>
      <c r="AY100" s="59">
        <f t="shared" si="7"/>
        <v>46023</v>
      </c>
      <c r="AZ100" s="59">
        <f t="shared" si="7"/>
        <v>46388</v>
      </c>
      <c r="BA100" s="59">
        <f t="shared" si="7"/>
        <v>46753</v>
      </c>
      <c r="BB100" s="59">
        <f t="shared" si="7"/>
        <v>47119</v>
      </c>
      <c r="BC100" s="59">
        <f t="shared" si="7"/>
        <v>47484</v>
      </c>
      <c r="BD100" s="59">
        <f t="shared" si="7"/>
        <v>47849</v>
      </c>
      <c r="BE100" s="59">
        <f t="shared" si="7"/>
        <v>48214</v>
      </c>
      <c r="BF100" s="59">
        <f t="shared" si="7"/>
        <v>48580</v>
      </c>
      <c r="BG100" s="59">
        <f t="shared" si="7"/>
        <v>48945</v>
      </c>
      <c r="BH100" s="59">
        <f t="shared" si="7"/>
        <v>49310</v>
      </c>
      <c r="BI100" s="59">
        <f t="shared" si="7"/>
        <v>49675</v>
      </c>
      <c r="BJ100" s="59">
        <f t="shared" si="7"/>
        <v>50041</v>
      </c>
      <c r="BK100" s="59">
        <f t="shared" si="7"/>
        <v>50406</v>
      </c>
      <c r="BL100" s="59">
        <f t="shared" si="7"/>
        <v>50771</v>
      </c>
      <c r="BM100" s="59">
        <f t="shared" si="7"/>
        <v>51136</v>
      </c>
      <c r="BN100" s="59">
        <f t="shared" si="7"/>
        <v>51502</v>
      </c>
      <c r="BO100" s="59">
        <f t="shared" si="7"/>
        <v>51867</v>
      </c>
      <c r="BP100" s="59">
        <f t="shared" si="7"/>
        <v>52232</v>
      </c>
      <c r="BQ100" s="59">
        <f t="shared" si="7"/>
        <v>52597</v>
      </c>
      <c r="BR100" s="59">
        <f t="shared" si="7"/>
        <v>52963</v>
      </c>
      <c r="BS100" s="59">
        <f t="shared" si="7"/>
        <v>53328</v>
      </c>
      <c r="BT100" s="59">
        <f t="shared" si="7"/>
        <v>53693</v>
      </c>
      <c r="BU100" s="59">
        <f t="shared" si="7"/>
        <v>54058</v>
      </c>
      <c r="BV100" s="59">
        <f t="shared" si="7"/>
        <v>54424</v>
      </c>
      <c r="BW100" s="59">
        <f t="shared" si="7"/>
        <v>54789</v>
      </c>
      <c r="BY100" s="59">
        <f>start_year</f>
        <v>43831</v>
      </c>
      <c r="BZ100" s="59">
        <f>EDATE(BY100,12)</f>
        <v>44197</v>
      </c>
      <c r="CA100" s="59">
        <f t="shared" ref="CA100:DC100" si="8">EDATE(BZ100,12)</f>
        <v>44562</v>
      </c>
      <c r="CB100" s="59">
        <f t="shared" si="8"/>
        <v>44927</v>
      </c>
      <c r="CC100" s="59">
        <f t="shared" si="8"/>
        <v>45292</v>
      </c>
      <c r="CD100" s="59">
        <f t="shared" si="8"/>
        <v>45658</v>
      </c>
      <c r="CE100" s="59">
        <f t="shared" si="8"/>
        <v>46023</v>
      </c>
      <c r="CF100" s="59">
        <f t="shared" si="8"/>
        <v>46388</v>
      </c>
      <c r="CG100" s="59">
        <f t="shared" si="8"/>
        <v>46753</v>
      </c>
      <c r="CH100" s="59">
        <f t="shared" si="8"/>
        <v>47119</v>
      </c>
      <c r="CI100" s="59">
        <f t="shared" si="8"/>
        <v>47484</v>
      </c>
      <c r="CJ100" s="59">
        <f t="shared" si="8"/>
        <v>47849</v>
      </c>
      <c r="CK100" s="59">
        <f t="shared" si="8"/>
        <v>48214</v>
      </c>
      <c r="CL100" s="59">
        <f t="shared" si="8"/>
        <v>48580</v>
      </c>
      <c r="CM100" s="59">
        <f t="shared" si="8"/>
        <v>48945</v>
      </c>
      <c r="CN100" s="59">
        <f t="shared" si="8"/>
        <v>49310</v>
      </c>
      <c r="CO100" s="59">
        <f t="shared" si="8"/>
        <v>49675</v>
      </c>
      <c r="CP100" s="59">
        <f t="shared" si="8"/>
        <v>50041</v>
      </c>
      <c r="CQ100" s="59">
        <f t="shared" si="8"/>
        <v>50406</v>
      </c>
      <c r="CR100" s="59">
        <f t="shared" si="8"/>
        <v>50771</v>
      </c>
      <c r="CS100" s="59">
        <f t="shared" si="8"/>
        <v>51136</v>
      </c>
      <c r="CT100" s="59">
        <f t="shared" si="8"/>
        <v>51502</v>
      </c>
      <c r="CU100" s="59">
        <f t="shared" si="8"/>
        <v>51867</v>
      </c>
      <c r="CV100" s="59">
        <f t="shared" si="8"/>
        <v>52232</v>
      </c>
      <c r="CW100" s="59">
        <f t="shared" si="8"/>
        <v>52597</v>
      </c>
      <c r="CX100" s="59">
        <f t="shared" si="8"/>
        <v>52963</v>
      </c>
      <c r="CY100" s="59">
        <f t="shared" si="8"/>
        <v>53328</v>
      </c>
      <c r="CZ100" s="59">
        <f t="shared" si="8"/>
        <v>53693</v>
      </c>
      <c r="DA100" s="59">
        <f t="shared" si="8"/>
        <v>54058</v>
      </c>
      <c r="DB100" s="59">
        <f t="shared" si="8"/>
        <v>54424</v>
      </c>
      <c r="DC100" s="59">
        <f t="shared" si="8"/>
        <v>54789</v>
      </c>
    </row>
    <row r="101" spans="3:107">
      <c r="C101" s="3"/>
      <c r="D101" s="3"/>
      <c r="E101" s="34"/>
      <c r="I101" s="3"/>
      <c r="L101" s="16"/>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33"/>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33"/>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row>
    <row r="102" spans="3:107">
      <c r="C102" s="3"/>
      <c r="D102" s="3"/>
      <c r="E102" s="34"/>
      <c r="I102" s="3"/>
      <c r="L102" s="16"/>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33"/>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33"/>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row>
    <row r="103" spans="3:107">
      <c r="C103" s="3"/>
      <c r="D103" s="3"/>
      <c r="E103" s="34"/>
      <c r="I103" s="3"/>
      <c r="L103" s="16"/>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33"/>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33"/>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row>
    <row r="104" spans="3:107">
      <c r="C104" s="3"/>
      <c r="D104" s="3"/>
      <c r="E104" s="34"/>
      <c r="I104" s="3"/>
      <c r="L104" s="16"/>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33"/>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33"/>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row>
    <row r="105" spans="3:107">
      <c r="C105" s="3"/>
      <c r="D105" s="3"/>
      <c r="E105" s="34"/>
      <c r="I105" s="3"/>
      <c r="L105" s="16"/>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33"/>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33"/>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row>
    <row r="106" spans="3:107">
      <c r="C106" s="3"/>
      <c r="D106" s="3"/>
      <c r="E106" s="34"/>
      <c r="I106" s="3"/>
      <c r="L106" s="16"/>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33"/>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33"/>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row>
    <row r="107" spans="3:107">
      <c r="C107" s="3"/>
      <c r="D107" s="3"/>
      <c r="E107" s="34"/>
      <c r="I107" s="3"/>
      <c r="L107" s="16"/>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33"/>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33"/>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row>
    <row r="108" spans="3:107">
      <c r="C108" s="3"/>
      <c r="D108" s="3"/>
      <c r="E108" s="34"/>
      <c r="I108" s="3"/>
      <c r="L108" s="16"/>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33"/>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33"/>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row>
    <row r="109" spans="3:107">
      <c r="C109" s="3"/>
      <c r="D109" s="3"/>
      <c r="E109" s="34"/>
      <c r="I109" s="3"/>
      <c r="L109" s="16"/>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33"/>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33"/>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row>
    <row r="110" spans="3:107">
      <c r="C110" s="3"/>
      <c r="D110" s="3"/>
      <c r="E110" s="34"/>
      <c r="I110" s="3"/>
      <c r="L110" s="16"/>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33"/>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33"/>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row>
    <row r="111" spans="3:107">
      <c r="C111" s="3"/>
      <c r="D111" s="3"/>
      <c r="E111" s="34"/>
      <c r="I111" s="3"/>
      <c r="L111" s="16"/>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33"/>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33"/>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row>
    <row r="112" spans="3:107">
      <c r="C112" s="3"/>
      <c r="D112" s="3"/>
      <c r="E112" s="34"/>
      <c r="I112" s="3"/>
      <c r="L112" s="16"/>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33"/>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33"/>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row>
    <row r="113" spans="3:107">
      <c r="C113" s="3"/>
      <c r="D113" s="3"/>
      <c r="E113" s="34"/>
      <c r="I113" s="3"/>
      <c r="L113" s="16"/>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33"/>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33"/>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row>
    <row r="114" spans="3:107">
      <c r="C114" s="3"/>
      <c r="D114" s="3"/>
      <c r="E114" s="34"/>
      <c r="I114" s="3"/>
      <c r="L114" s="16"/>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33"/>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33"/>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row>
    <row r="115" spans="3:107">
      <c r="C115" s="3"/>
      <c r="D115" s="3"/>
      <c r="E115" s="34"/>
      <c r="I115" s="3"/>
      <c r="L115" s="16"/>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33"/>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33"/>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row>
    <row r="116" spans="3:107">
      <c r="C116" s="3"/>
      <c r="D116" s="3"/>
      <c r="E116" s="34"/>
      <c r="I116" s="3"/>
      <c r="L116" s="16"/>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33"/>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33"/>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row>
    <row r="117" spans="3:107">
      <c r="C117" s="3"/>
      <c r="D117" s="3"/>
      <c r="E117" s="34"/>
      <c r="I117" s="3"/>
      <c r="L117" s="16"/>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33"/>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33"/>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row>
    <row r="118" spans="3:107">
      <c r="C118" s="3"/>
      <c r="D118" s="3"/>
      <c r="E118" s="34"/>
      <c r="I118" s="3"/>
      <c r="L118" s="16"/>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33"/>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33"/>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row>
    <row r="119" spans="3:107">
      <c r="C119" s="3"/>
      <c r="D119" s="3"/>
      <c r="E119" s="34"/>
      <c r="I119" s="3"/>
      <c r="L119" s="16"/>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33"/>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33"/>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row>
    <row r="120" spans="3:107">
      <c r="C120" s="3"/>
      <c r="D120" s="3"/>
      <c r="E120" s="34"/>
      <c r="I120" s="3"/>
      <c r="L120" s="16"/>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33"/>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33"/>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row>
    <row r="121" spans="3:107">
      <c r="C121" s="3"/>
      <c r="D121" s="3"/>
      <c r="E121" s="34"/>
      <c r="I121" s="3"/>
      <c r="L121" s="16"/>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33"/>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33"/>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row>
    <row r="122" spans="3:107">
      <c r="C122" s="3"/>
      <c r="D122" s="3"/>
      <c r="E122" s="34"/>
      <c r="I122" s="3"/>
      <c r="L122" s="16"/>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33"/>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33"/>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row>
    <row r="123" spans="3:107">
      <c r="C123" s="3"/>
      <c r="D123" s="3"/>
      <c r="E123" s="34"/>
      <c r="I123" s="3"/>
      <c r="L123" s="16"/>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33"/>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33"/>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row>
    <row r="124" spans="3:107">
      <c r="C124" s="3"/>
      <c r="D124" s="3"/>
      <c r="E124" s="34"/>
      <c r="I124" s="3"/>
      <c r="L124" s="16"/>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33"/>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33"/>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row>
    <row r="125" spans="3:107">
      <c r="C125" s="3"/>
      <c r="D125" s="3"/>
      <c r="E125" s="34"/>
      <c r="I125" s="3"/>
      <c r="L125" s="16"/>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33"/>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33"/>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row>
    <row r="126" spans="3:107">
      <c r="C126" s="3"/>
      <c r="D126" s="3"/>
      <c r="E126" s="34"/>
      <c r="I126" s="3"/>
      <c r="L126" s="16"/>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33"/>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33"/>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row>
    <row r="127" spans="3:107">
      <c r="C127" s="3"/>
      <c r="D127" s="3"/>
      <c r="E127" s="34"/>
      <c r="I127" s="3"/>
      <c r="L127" s="16"/>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33"/>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33"/>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row>
    <row r="128" spans="3:107">
      <c r="C128" s="3"/>
      <c r="D128" s="3"/>
      <c r="E128" s="34"/>
      <c r="I128" s="3"/>
      <c r="L128" s="16"/>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33"/>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33"/>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row>
    <row r="129" spans="3:107">
      <c r="C129" s="3"/>
      <c r="D129" s="3"/>
      <c r="E129" s="34"/>
      <c r="I129" s="3"/>
      <c r="L129" s="16"/>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33"/>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33"/>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row>
    <row r="130" spans="3:107">
      <c r="C130" s="3"/>
      <c r="D130" s="3"/>
      <c r="E130" s="34"/>
      <c r="I130" s="3"/>
      <c r="L130" s="16"/>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33"/>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33"/>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row>
    <row r="131" spans="3:107">
      <c r="C131" s="3"/>
      <c r="D131" s="3"/>
      <c r="E131" s="34"/>
      <c r="I131" s="3"/>
      <c r="L131" s="16"/>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33"/>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33"/>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row>
    <row r="132" spans="3:107">
      <c r="C132" s="3"/>
      <c r="D132" s="3"/>
      <c r="E132" s="34"/>
      <c r="I132" s="3"/>
      <c r="L132" s="16"/>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33"/>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33"/>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row>
    <row r="133" spans="3:107">
      <c r="C133" s="3"/>
      <c r="D133" s="3"/>
      <c r="E133" s="34"/>
      <c r="I133" s="3"/>
      <c r="L133" s="16"/>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33"/>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33"/>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row>
    <row r="134" spans="3:107">
      <c r="C134" s="3"/>
      <c r="D134" s="3"/>
      <c r="E134" s="34"/>
      <c r="I134" s="3"/>
      <c r="L134" s="16"/>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33"/>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33"/>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row>
    <row r="135" spans="3:107">
      <c r="C135" s="3"/>
      <c r="D135" s="3"/>
      <c r="E135" s="34"/>
      <c r="I135" s="3"/>
      <c r="L135" s="16"/>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33"/>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33"/>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row>
    <row r="136" spans="3:107">
      <c r="C136" s="3"/>
      <c r="D136" s="3"/>
      <c r="E136" s="34"/>
      <c r="I136" s="3"/>
      <c r="L136" s="16"/>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33"/>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33"/>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row>
    <row r="137" spans="3:107">
      <c r="C137" s="3"/>
      <c r="D137" s="3"/>
      <c r="E137" s="34"/>
      <c r="I137" s="3"/>
      <c r="L137" s="16"/>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33"/>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33"/>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row>
    <row r="138" spans="3:107">
      <c r="C138" s="3"/>
      <c r="D138" s="3"/>
      <c r="E138" s="34"/>
      <c r="I138" s="3"/>
      <c r="L138" s="16"/>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33"/>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33"/>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row>
    <row r="139" spans="3:107">
      <c r="C139" s="3"/>
      <c r="D139" s="3"/>
      <c r="E139" s="34"/>
      <c r="I139" s="3"/>
      <c r="L139" s="16"/>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33"/>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33"/>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row>
    <row r="140" spans="3:107">
      <c r="C140" s="3"/>
      <c r="D140" s="3"/>
      <c r="E140" s="34"/>
      <c r="I140" s="3"/>
      <c r="L140" s="16"/>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33"/>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33"/>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row>
    <row r="141" spans="3:107">
      <c r="C141" s="3"/>
      <c r="D141" s="3"/>
      <c r="E141" s="34"/>
      <c r="I141" s="3"/>
      <c r="L141" s="16"/>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33"/>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33"/>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row>
    <row r="142" spans="3:107">
      <c r="C142" s="3"/>
      <c r="D142" s="3"/>
      <c r="E142" s="34"/>
      <c r="I142" s="3"/>
      <c r="L142" s="16"/>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33"/>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33"/>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row>
    <row r="143" spans="3:107">
      <c r="C143" s="3"/>
      <c r="D143" s="3"/>
      <c r="E143" s="34"/>
      <c r="I143" s="3"/>
      <c r="L143" s="16"/>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33"/>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33"/>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row>
    <row r="144" spans="3:107">
      <c r="C144" s="3"/>
      <c r="D144" s="3"/>
      <c r="E144" s="34"/>
      <c r="I144" s="3"/>
      <c r="L144" s="16"/>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33"/>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33"/>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row>
    <row r="145" spans="3:107">
      <c r="C145" s="3"/>
      <c r="D145" s="3"/>
      <c r="E145" s="34"/>
      <c r="I145" s="3"/>
      <c r="L145" s="16"/>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33"/>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33"/>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row>
    <row r="146" spans="3:107">
      <c r="C146" s="3"/>
      <c r="D146" s="3"/>
      <c r="E146" s="34"/>
      <c r="I146" s="3"/>
      <c r="L146" s="16"/>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33"/>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33"/>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row>
    <row r="147" spans="3:107">
      <c r="C147" s="3"/>
      <c r="D147" s="3"/>
      <c r="E147" s="34"/>
      <c r="I147" s="3"/>
      <c r="L147" s="16"/>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33"/>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33"/>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row>
    <row r="148" spans="3:107">
      <c r="C148" s="3"/>
      <c r="D148" s="3"/>
      <c r="E148" s="34"/>
      <c r="I148" s="3"/>
      <c r="L148" s="16"/>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33"/>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33"/>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row>
    <row r="149" spans="3:107">
      <c r="C149" s="3"/>
      <c r="D149" s="3"/>
      <c r="E149" s="34"/>
      <c r="I149" s="3"/>
      <c r="L149" s="16"/>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33"/>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33"/>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row>
    <row r="150" spans="3:107">
      <c r="C150" s="3"/>
      <c r="D150" s="3"/>
      <c r="E150" s="34"/>
      <c r="I150" s="3"/>
      <c r="L150" s="16"/>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33"/>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33"/>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row>
    <row r="152" spans="3:107" ht="18" thickBot="1">
      <c r="C152" s="20" t="s">
        <v>358</v>
      </c>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20"/>
      <c r="AM152" s="20"/>
      <c r="AN152" s="20"/>
      <c r="AO152" s="20"/>
      <c r="AP152" s="20"/>
      <c r="AQ152" s="20"/>
      <c r="AR152" s="20"/>
      <c r="AS152" s="20"/>
      <c r="AT152" s="20"/>
      <c r="AU152" s="20"/>
      <c r="AV152" s="20"/>
      <c r="AW152" s="20"/>
      <c r="AX152" s="20"/>
      <c r="AY152" s="20"/>
      <c r="AZ152" s="20"/>
      <c r="BA152" s="20"/>
      <c r="BB152" s="20"/>
      <c r="BC152" s="20"/>
      <c r="BD152" s="20"/>
      <c r="BE152" s="20"/>
      <c r="BF152" s="20"/>
      <c r="BG152" s="20"/>
      <c r="BH152" s="20"/>
      <c r="BI152" s="20"/>
      <c r="BJ152" s="20"/>
      <c r="BK152" s="20"/>
      <c r="BL152" s="20"/>
      <c r="BM152" s="20"/>
      <c r="BN152" s="20"/>
      <c r="BO152" s="20"/>
      <c r="BP152" s="20"/>
      <c r="BQ152" s="20"/>
      <c r="BR152" s="20"/>
      <c r="BS152" s="20"/>
      <c r="BT152" s="20"/>
      <c r="BU152" s="20"/>
      <c r="BV152" s="20"/>
      <c r="BW152" s="20"/>
      <c r="BX152" s="20"/>
      <c r="BY152" s="20"/>
      <c r="BZ152" s="20"/>
      <c r="CA152" s="20"/>
      <c r="CB152" s="20"/>
      <c r="CC152" s="20"/>
      <c r="CD152" s="20"/>
      <c r="CE152" s="20"/>
      <c r="CF152" s="20"/>
      <c r="CG152" s="20"/>
      <c r="CH152" s="20"/>
      <c r="CI152" s="20"/>
      <c r="CJ152" s="20"/>
      <c r="CK152" s="20"/>
      <c r="CL152" s="20"/>
      <c r="CM152" s="20"/>
      <c r="CN152" s="20"/>
      <c r="CO152" s="20"/>
      <c r="CP152" s="20"/>
      <c r="CQ152" s="20"/>
      <c r="CR152" s="20"/>
      <c r="CS152" s="20"/>
      <c r="CT152" s="20"/>
      <c r="CU152" s="20"/>
      <c r="CV152" s="20"/>
      <c r="CW152" s="20"/>
      <c r="CX152" s="20"/>
      <c r="CY152" s="20"/>
      <c r="CZ152" s="20"/>
      <c r="DA152" s="20"/>
      <c r="DB152" s="20"/>
      <c r="DC152" s="20"/>
    </row>
    <row r="155" spans="3:107" ht="13">
      <c r="I155" s="16"/>
      <c r="J155" s="16"/>
      <c r="K155" s="6" t="s">
        <v>359</v>
      </c>
      <c r="M155" s="6" t="s">
        <v>360</v>
      </c>
      <c r="N155" s="6"/>
      <c r="O155" s="6"/>
      <c r="P155" s="6"/>
      <c r="Q155" s="6"/>
      <c r="R155" s="6"/>
      <c r="S155" s="6"/>
      <c r="T155" s="6"/>
      <c r="U155" s="6"/>
      <c r="V155" s="6"/>
      <c r="W155" s="6"/>
      <c r="X155" s="6"/>
      <c r="Y155" s="6"/>
      <c r="Z155" s="6"/>
      <c r="AA155" s="6"/>
      <c r="AB155" s="6"/>
      <c r="AC155" s="6"/>
      <c r="AD155" s="6"/>
      <c r="AE155" s="6"/>
      <c r="AF155" s="6"/>
      <c r="AG155" s="6"/>
      <c r="AH155" s="6"/>
      <c r="AI155" s="6"/>
      <c r="AJ155" s="6"/>
      <c r="AK155" s="6"/>
      <c r="AL155" s="6"/>
      <c r="AM155" s="6"/>
      <c r="AN155" s="6"/>
      <c r="AO155" s="6"/>
      <c r="AP155" s="6"/>
      <c r="AQ155" s="6"/>
      <c r="AS155" s="6" t="s">
        <v>361</v>
      </c>
      <c r="AT155" s="6"/>
      <c r="AU155" s="6"/>
      <c r="AV155" s="6"/>
      <c r="AW155" s="6"/>
      <c r="AX155" s="6"/>
      <c r="AY155" s="6"/>
      <c r="AZ155" s="6"/>
      <c r="BA155" s="6"/>
      <c r="BB155" s="6"/>
      <c r="BC155" s="6"/>
      <c r="BD155" s="6"/>
      <c r="BE155" s="6"/>
      <c r="BF155" s="6"/>
      <c r="BG155" s="6"/>
      <c r="BH155" s="6"/>
      <c r="BI155" s="6"/>
      <c r="BJ155" s="6"/>
      <c r="BK155" s="6"/>
      <c r="BL155" s="6"/>
      <c r="BM155" s="6"/>
      <c r="BN155" s="6"/>
      <c r="BO155" s="6"/>
      <c r="BP155" s="6"/>
      <c r="BQ155" s="6"/>
      <c r="BR155" s="6"/>
      <c r="BS155" s="6"/>
      <c r="BT155" s="6"/>
      <c r="BU155" s="6"/>
      <c r="BV155" s="6"/>
      <c r="BW155" s="6"/>
    </row>
    <row r="156" spans="3:107" hidden="1" outlineLevel="1">
      <c r="C156" s="27" t="s">
        <v>296</v>
      </c>
      <c r="D156" s="27" t="s">
        <v>348</v>
      </c>
      <c r="G156" s="27"/>
      <c r="I156" s="27"/>
      <c r="J156" s="27"/>
      <c r="K156" s="27" t="s">
        <v>362</v>
      </c>
      <c r="M156" s="27" t="s">
        <v>363</v>
      </c>
      <c r="N156" s="27" t="s">
        <v>363</v>
      </c>
      <c r="O156" s="27" t="s">
        <v>363</v>
      </c>
      <c r="P156" s="27" t="s">
        <v>363</v>
      </c>
      <c r="Q156" s="27" t="s">
        <v>363</v>
      </c>
      <c r="R156" s="27" t="s">
        <v>363</v>
      </c>
      <c r="S156" s="27" t="s">
        <v>363</v>
      </c>
      <c r="T156" s="27" t="s">
        <v>363</v>
      </c>
      <c r="U156" s="27" t="s">
        <v>363</v>
      </c>
      <c r="V156" s="27" t="s">
        <v>363</v>
      </c>
      <c r="W156" s="27" t="s">
        <v>363</v>
      </c>
      <c r="X156" s="27" t="s">
        <v>363</v>
      </c>
      <c r="Y156" s="27" t="s">
        <v>363</v>
      </c>
      <c r="Z156" s="27" t="s">
        <v>363</v>
      </c>
      <c r="AA156" s="27" t="s">
        <v>363</v>
      </c>
      <c r="AB156" s="27" t="s">
        <v>363</v>
      </c>
      <c r="AC156" s="27" t="s">
        <v>363</v>
      </c>
      <c r="AD156" s="27" t="s">
        <v>363</v>
      </c>
      <c r="AE156" s="27" t="s">
        <v>363</v>
      </c>
      <c r="AF156" s="27" t="s">
        <v>363</v>
      </c>
      <c r="AG156" s="27" t="s">
        <v>363</v>
      </c>
      <c r="AH156" s="27" t="s">
        <v>363</v>
      </c>
      <c r="AI156" s="27" t="s">
        <v>363</v>
      </c>
      <c r="AJ156" s="27" t="s">
        <v>363</v>
      </c>
      <c r="AK156" s="27" t="s">
        <v>363</v>
      </c>
      <c r="AL156" s="27" t="s">
        <v>363</v>
      </c>
      <c r="AM156" s="27" t="s">
        <v>363</v>
      </c>
      <c r="AN156" s="27" t="s">
        <v>363</v>
      </c>
      <c r="AO156" s="27" t="s">
        <v>363</v>
      </c>
      <c r="AP156" s="27" t="s">
        <v>363</v>
      </c>
      <c r="AQ156" s="27" t="s">
        <v>363</v>
      </c>
      <c r="AS156" s="27" t="s">
        <v>345</v>
      </c>
      <c r="AT156" s="27" t="s">
        <v>345</v>
      </c>
      <c r="AU156" s="27" t="s">
        <v>345</v>
      </c>
      <c r="AV156" s="27" t="s">
        <v>345</v>
      </c>
      <c r="AW156" s="27" t="s">
        <v>345</v>
      </c>
      <c r="AX156" s="27" t="s">
        <v>345</v>
      </c>
      <c r="AY156" s="27" t="s">
        <v>345</v>
      </c>
      <c r="AZ156" s="27" t="s">
        <v>345</v>
      </c>
      <c r="BA156" s="27" t="s">
        <v>345</v>
      </c>
      <c r="BB156" s="27" t="s">
        <v>345</v>
      </c>
      <c r="BC156" s="27" t="s">
        <v>345</v>
      </c>
      <c r="BD156" s="27" t="s">
        <v>345</v>
      </c>
      <c r="BE156" s="27" t="s">
        <v>345</v>
      </c>
      <c r="BF156" s="27" t="s">
        <v>345</v>
      </c>
      <c r="BG156" s="27" t="s">
        <v>345</v>
      </c>
      <c r="BH156" s="27" t="s">
        <v>345</v>
      </c>
      <c r="BI156" s="27" t="s">
        <v>345</v>
      </c>
      <c r="BJ156" s="27" t="s">
        <v>345</v>
      </c>
      <c r="BK156" s="27" t="s">
        <v>345</v>
      </c>
      <c r="BL156" s="27" t="s">
        <v>345</v>
      </c>
      <c r="BM156" s="27" t="s">
        <v>345</v>
      </c>
      <c r="BN156" s="27" t="s">
        <v>345</v>
      </c>
      <c r="BO156" s="27" t="s">
        <v>345</v>
      </c>
      <c r="BP156" s="27" t="s">
        <v>345</v>
      </c>
      <c r="BQ156" s="27" t="s">
        <v>345</v>
      </c>
      <c r="BR156" s="27" t="s">
        <v>345</v>
      </c>
      <c r="BS156" s="27" t="s">
        <v>345</v>
      </c>
      <c r="BT156" s="27" t="s">
        <v>345</v>
      </c>
      <c r="BU156" s="27" t="s">
        <v>345</v>
      </c>
      <c r="BV156" s="27" t="s">
        <v>345</v>
      </c>
      <c r="BW156" s="27" t="s">
        <v>345</v>
      </c>
    </row>
    <row r="157" spans="3:107" ht="14" collapsed="1">
      <c r="C157" s="6" t="s">
        <v>296</v>
      </c>
      <c r="D157" s="6" t="s">
        <v>349</v>
      </c>
      <c r="I157" s="11" t="s">
        <v>251</v>
      </c>
      <c r="J157" s="16"/>
      <c r="K157" s="59" t="s">
        <v>277</v>
      </c>
      <c r="M157" s="59">
        <f>start_year</f>
        <v>43831</v>
      </c>
      <c r="N157" s="59">
        <f>EDATE(M157,12)</f>
        <v>44197</v>
      </c>
      <c r="O157" s="59">
        <f t="shared" ref="O157" si="9">EDATE(N157,12)</f>
        <v>44562</v>
      </c>
      <c r="P157" s="59">
        <f t="shared" ref="P157" si="10">EDATE(O157,12)</f>
        <v>44927</v>
      </c>
      <c r="Q157" s="59">
        <f t="shared" ref="Q157" si="11">EDATE(P157,12)</f>
        <v>45292</v>
      </c>
      <c r="R157" s="59">
        <f t="shared" ref="R157" si="12">EDATE(Q157,12)</f>
        <v>45658</v>
      </c>
      <c r="S157" s="59">
        <f t="shared" ref="S157" si="13">EDATE(R157,12)</f>
        <v>46023</v>
      </c>
      <c r="T157" s="59">
        <f t="shared" ref="T157" si="14">EDATE(S157,12)</f>
        <v>46388</v>
      </c>
      <c r="U157" s="59">
        <f t="shared" ref="U157" si="15">EDATE(T157,12)</f>
        <v>46753</v>
      </c>
      <c r="V157" s="59">
        <f t="shared" ref="V157" si="16">EDATE(U157,12)</f>
        <v>47119</v>
      </c>
      <c r="W157" s="59">
        <f t="shared" ref="W157" si="17">EDATE(V157,12)</f>
        <v>47484</v>
      </c>
      <c r="X157" s="59">
        <f t="shared" ref="X157" si="18">EDATE(W157,12)</f>
        <v>47849</v>
      </c>
      <c r="Y157" s="59">
        <f t="shared" ref="Y157" si="19">EDATE(X157,12)</f>
        <v>48214</v>
      </c>
      <c r="Z157" s="59">
        <f t="shared" ref="Z157" si="20">EDATE(Y157,12)</f>
        <v>48580</v>
      </c>
      <c r="AA157" s="59">
        <f t="shared" ref="AA157" si="21">EDATE(Z157,12)</f>
        <v>48945</v>
      </c>
      <c r="AB157" s="59">
        <f t="shared" ref="AB157" si="22">EDATE(AA157,12)</f>
        <v>49310</v>
      </c>
      <c r="AC157" s="59">
        <f t="shared" ref="AC157" si="23">EDATE(AB157,12)</f>
        <v>49675</v>
      </c>
      <c r="AD157" s="59">
        <f t="shared" ref="AD157" si="24">EDATE(AC157,12)</f>
        <v>50041</v>
      </c>
      <c r="AE157" s="59">
        <f t="shared" ref="AE157" si="25">EDATE(AD157,12)</f>
        <v>50406</v>
      </c>
      <c r="AF157" s="59">
        <f t="shared" ref="AF157" si="26">EDATE(AE157,12)</f>
        <v>50771</v>
      </c>
      <c r="AG157" s="59">
        <f t="shared" ref="AG157" si="27">EDATE(AF157,12)</f>
        <v>51136</v>
      </c>
      <c r="AH157" s="59">
        <f t="shared" ref="AH157" si="28">EDATE(AG157,12)</f>
        <v>51502</v>
      </c>
      <c r="AI157" s="59">
        <f t="shared" ref="AI157" si="29">EDATE(AH157,12)</f>
        <v>51867</v>
      </c>
      <c r="AJ157" s="59">
        <f t="shared" ref="AJ157" si="30">EDATE(AI157,12)</f>
        <v>52232</v>
      </c>
      <c r="AK157" s="59">
        <f t="shared" ref="AK157" si="31">EDATE(AJ157,12)</f>
        <v>52597</v>
      </c>
      <c r="AL157" s="59">
        <f t="shared" ref="AL157" si="32">EDATE(AK157,12)</f>
        <v>52963</v>
      </c>
      <c r="AM157" s="59">
        <f t="shared" ref="AM157" si="33">EDATE(AL157,12)</f>
        <v>53328</v>
      </c>
      <c r="AN157" s="59">
        <f t="shared" ref="AN157" si="34">EDATE(AM157,12)</f>
        <v>53693</v>
      </c>
      <c r="AO157" s="59">
        <f t="shared" ref="AO157" si="35">EDATE(AN157,12)</f>
        <v>54058</v>
      </c>
      <c r="AP157" s="59">
        <f t="shared" ref="AP157" si="36">EDATE(AO157,12)</f>
        <v>54424</v>
      </c>
      <c r="AQ157" s="59">
        <f t="shared" ref="AQ157" si="37">EDATE(AP157,12)</f>
        <v>54789</v>
      </c>
      <c r="AS157" s="86">
        <f>start_year</f>
        <v>43831</v>
      </c>
      <c r="AT157" s="86">
        <f t="shared" ref="AT157" si="38">EDATE(AS157,12)</f>
        <v>44197</v>
      </c>
      <c r="AU157" s="86">
        <f t="shared" ref="AU157" si="39">EDATE(AT157,12)</f>
        <v>44562</v>
      </c>
      <c r="AV157" s="86">
        <f t="shared" ref="AV157" si="40">EDATE(AU157,12)</f>
        <v>44927</v>
      </c>
      <c r="AW157" s="86">
        <f t="shared" ref="AW157" si="41">EDATE(AV157,12)</f>
        <v>45292</v>
      </c>
      <c r="AX157" s="86">
        <f t="shared" ref="AX157" si="42">EDATE(AW157,12)</f>
        <v>45658</v>
      </c>
      <c r="AY157" s="86">
        <f t="shared" ref="AY157" si="43">EDATE(AX157,12)</f>
        <v>46023</v>
      </c>
      <c r="AZ157" s="86">
        <f t="shared" ref="AZ157" si="44">EDATE(AY157,12)</f>
        <v>46388</v>
      </c>
      <c r="BA157" s="86">
        <f t="shared" ref="BA157" si="45">EDATE(AZ157,12)</f>
        <v>46753</v>
      </c>
      <c r="BB157" s="86">
        <f t="shared" ref="BB157" si="46">EDATE(BA157,12)</f>
        <v>47119</v>
      </c>
      <c r="BC157" s="86">
        <f t="shared" ref="BC157" si="47">EDATE(BB157,12)</f>
        <v>47484</v>
      </c>
      <c r="BD157" s="86">
        <f t="shared" ref="BD157" si="48">EDATE(BC157,12)</f>
        <v>47849</v>
      </c>
      <c r="BE157" s="86">
        <f t="shared" ref="BE157" si="49">EDATE(BD157,12)</f>
        <v>48214</v>
      </c>
      <c r="BF157" s="86">
        <f t="shared" ref="BF157" si="50">EDATE(BE157,12)</f>
        <v>48580</v>
      </c>
      <c r="BG157" s="86">
        <f t="shared" ref="BG157" si="51">EDATE(BF157,12)</f>
        <v>48945</v>
      </c>
      <c r="BH157" s="86">
        <f t="shared" ref="BH157" si="52">EDATE(BG157,12)</f>
        <v>49310</v>
      </c>
      <c r="BI157" s="86">
        <f t="shared" ref="BI157" si="53">EDATE(BH157,12)</f>
        <v>49675</v>
      </c>
      <c r="BJ157" s="86">
        <f t="shared" ref="BJ157" si="54">EDATE(BI157,12)</f>
        <v>50041</v>
      </c>
      <c r="BK157" s="86">
        <f t="shared" ref="BK157" si="55">EDATE(BJ157,12)</f>
        <v>50406</v>
      </c>
      <c r="BL157" s="86">
        <f t="shared" ref="BL157" si="56">EDATE(BK157,12)</f>
        <v>50771</v>
      </c>
      <c r="BM157" s="86">
        <f t="shared" ref="BM157" si="57">EDATE(BL157,12)</f>
        <v>51136</v>
      </c>
      <c r="BN157" s="86">
        <f t="shared" ref="BN157" si="58">EDATE(BM157,12)</f>
        <v>51502</v>
      </c>
      <c r="BO157" s="86">
        <f t="shared" ref="BO157" si="59">EDATE(BN157,12)</f>
        <v>51867</v>
      </c>
      <c r="BP157" s="86">
        <f t="shared" ref="BP157" si="60">EDATE(BO157,12)</f>
        <v>52232</v>
      </c>
      <c r="BQ157" s="86">
        <f t="shared" ref="BQ157" si="61">EDATE(BP157,12)</f>
        <v>52597</v>
      </c>
      <c r="BR157" s="86">
        <f t="shared" ref="BR157" si="62">EDATE(BQ157,12)</f>
        <v>52963</v>
      </c>
      <c r="BS157" s="86">
        <f t="shared" ref="BS157" si="63">EDATE(BR157,12)</f>
        <v>53328</v>
      </c>
      <c r="BT157" s="86">
        <f t="shared" ref="BT157" si="64">EDATE(BS157,12)</f>
        <v>53693</v>
      </c>
      <c r="BU157" s="86">
        <f t="shared" ref="BU157" si="65">EDATE(BT157,12)</f>
        <v>54058</v>
      </c>
      <c r="BV157" s="86">
        <f t="shared" ref="BV157" si="66">EDATE(BU157,12)</f>
        <v>54424</v>
      </c>
      <c r="BW157" s="86">
        <f t="shared" ref="BW157" si="67">EDATE(BV157,12)</f>
        <v>54789</v>
      </c>
    </row>
    <row r="158" spans="3:107">
      <c r="C158" s="19"/>
      <c r="D158" s="19"/>
      <c r="G158" s="96"/>
      <c r="I158" s="3"/>
      <c r="J158" s="16"/>
      <c r="K158" s="42"/>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row>
    <row r="159" spans="3:107">
      <c r="C159" s="19"/>
      <c r="D159" s="19"/>
      <c r="G159" s="96"/>
      <c r="I159" s="3"/>
      <c r="J159" s="16"/>
      <c r="K159" s="42"/>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row>
    <row r="160" spans="3:107">
      <c r="C160" s="19"/>
      <c r="D160" s="19"/>
      <c r="G160" s="96"/>
      <c r="I160" s="3"/>
      <c r="J160" s="16"/>
      <c r="K160" s="42"/>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row>
    <row r="161" spans="3:75">
      <c r="C161" s="19"/>
      <c r="D161" s="19"/>
      <c r="G161" s="96"/>
      <c r="I161" s="3"/>
      <c r="J161" s="16"/>
      <c r="K161" s="42"/>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row>
    <row r="162" spans="3:75">
      <c r="C162" s="19"/>
      <c r="D162" s="19"/>
      <c r="G162" s="96"/>
      <c r="I162" s="3"/>
      <c r="J162" s="16"/>
      <c r="K162" s="42"/>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row>
    <row r="163" spans="3:75">
      <c r="C163" s="19"/>
      <c r="D163" s="19"/>
      <c r="G163" s="96"/>
      <c r="I163" s="3"/>
      <c r="J163" s="16"/>
      <c r="K163" s="42"/>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row>
    <row r="164" spans="3:75">
      <c r="C164" s="19"/>
      <c r="D164" s="19"/>
      <c r="G164" s="96"/>
      <c r="I164" s="3"/>
      <c r="J164" s="16"/>
      <c r="K164" s="42"/>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row>
    <row r="165" spans="3:75">
      <c r="C165" s="19"/>
      <c r="D165" s="19"/>
      <c r="G165" s="96"/>
      <c r="I165" s="3"/>
      <c r="J165" s="16"/>
      <c r="K165" s="42"/>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row>
    <row r="166" spans="3:75">
      <c r="C166" s="19"/>
      <c r="D166" s="19"/>
      <c r="G166" s="96"/>
      <c r="I166" s="3"/>
      <c r="J166" s="16"/>
      <c r="K166" s="42"/>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row>
    <row r="167" spans="3:75">
      <c r="C167" s="19"/>
      <c r="D167" s="19"/>
      <c r="G167" s="96"/>
      <c r="I167" s="3"/>
      <c r="J167" s="16"/>
      <c r="K167" s="42"/>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row>
    <row r="168" spans="3:75">
      <c r="C168" s="19"/>
      <c r="D168" s="19"/>
      <c r="G168" s="96"/>
      <c r="I168" s="3"/>
      <c r="J168" s="16"/>
      <c r="K168" s="42"/>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row>
    <row r="169" spans="3:75">
      <c r="C169" s="19"/>
      <c r="D169" s="19"/>
      <c r="G169" s="96"/>
      <c r="I169" s="3"/>
      <c r="J169" s="16"/>
      <c r="K169" s="42"/>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row>
    <row r="170" spans="3:75">
      <c r="C170" s="19"/>
      <c r="D170" s="19"/>
      <c r="G170" s="96"/>
      <c r="I170" s="3"/>
      <c r="J170" s="16"/>
      <c r="K170" s="42"/>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row>
    <row r="171" spans="3:75">
      <c r="C171" s="19"/>
      <c r="D171" s="19"/>
      <c r="G171" s="96"/>
      <c r="I171" s="3"/>
      <c r="J171" s="16"/>
      <c r="K171" s="42"/>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row>
    <row r="172" spans="3:75">
      <c r="C172" s="19"/>
      <c r="D172" s="19"/>
      <c r="G172" s="96"/>
      <c r="I172" s="3"/>
      <c r="J172" s="16"/>
      <c r="K172" s="42"/>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row>
    <row r="173" spans="3:75">
      <c r="C173" s="19"/>
      <c r="D173" s="19"/>
      <c r="G173" s="96"/>
      <c r="I173" s="3"/>
      <c r="J173" s="16"/>
      <c r="K173" s="42"/>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row>
    <row r="174" spans="3:75">
      <c r="C174" s="19"/>
      <c r="D174" s="19"/>
      <c r="G174" s="96"/>
      <c r="I174" s="3"/>
      <c r="J174" s="16"/>
      <c r="K174" s="42"/>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row>
    <row r="175" spans="3:75">
      <c r="C175" s="19"/>
      <c r="D175" s="19"/>
      <c r="G175" s="96"/>
      <c r="I175" s="3"/>
      <c r="J175" s="16"/>
      <c r="K175" s="42"/>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row>
    <row r="176" spans="3:75">
      <c r="C176" s="19"/>
      <c r="D176" s="19"/>
      <c r="G176" s="96"/>
      <c r="I176" s="3"/>
      <c r="J176" s="16"/>
      <c r="K176" s="42"/>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row>
    <row r="177" spans="3:75">
      <c r="C177" s="19"/>
      <c r="D177" s="19"/>
      <c r="G177" s="96"/>
      <c r="I177" s="3"/>
      <c r="J177" s="16"/>
      <c r="K177" s="42"/>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row>
    <row r="178" spans="3:75">
      <c r="C178" s="19"/>
      <c r="D178" s="19"/>
      <c r="G178" s="96"/>
      <c r="I178" s="3"/>
      <c r="J178" s="16"/>
      <c r="K178" s="42"/>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row>
    <row r="179" spans="3:75">
      <c r="C179" s="19"/>
      <c r="D179" s="19"/>
      <c r="G179" s="96"/>
      <c r="I179" s="3"/>
      <c r="J179" s="16"/>
      <c r="K179" s="42"/>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row>
    <row r="180" spans="3:75">
      <c r="C180" s="19"/>
      <c r="D180" s="19"/>
      <c r="G180" s="96"/>
      <c r="I180" s="3"/>
      <c r="J180" s="16"/>
      <c r="K180" s="42"/>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row>
    <row r="181" spans="3:75">
      <c r="C181" s="19"/>
      <c r="D181" s="19"/>
      <c r="G181" s="96"/>
      <c r="I181" s="3"/>
      <c r="J181" s="16"/>
      <c r="K181" s="42"/>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row>
    <row r="182" spans="3:75">
      <c r="C182" s="19"/>
      <c r="D182" s="19"/>
      <c r="G182" s="96"/>
      <c r="I182" s="3"/>
      <c r="J182" s="16"/>
      <c r="K182" s="42"/>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row>
    <row r="183" spans="3:75">
      <c r="C183" s="19"/>
      <c r="D183" s="19"/>
      <c r="G183" s="96"/>
      <c r="I183" s="3"/>
      <c r="J183" s="16"/>
      <c r="K183" s="42"/>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row>
    <row r="184" spans="3:75">
      <c r="C184" s="19"/>
      <c r="D184" s="19"/>
      <c r="G184" s="96"/>
      <c r="I184" s="3"/>
      <c r="J184" s="16"/>
      <c r="K184" s="42"/>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row>
    <row r="185" spans="3:75">
      <c r="C185" s="19"/>
      <c r="D185" s="19"/>
      <c r="G185" s="96"/>
      <c r="I185" s="3"/>
      <c r="J185" s="16"/>
      <c r="K185" s="42"/>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row>
    <row r="186" spans="3:75">
      <c r="C186" s="19"/>
      <c r="D186" s="19"/>
      <c r="G186" s="96"/>
      <c r="I186" s="3"/>
      <c r="J186" s="16"/>
      <c r="K186" s="42"/>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row>
    <row r="187" spans="3:75">
      <c r="C187" s="19"/>
      <c r="D187" s="19"/>
      <c r="G187" s="96"/>
      <c r="I187" s="3"/>
      <c r="J187" s="16"/>
      <c r="K187" s="42"/>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row>
    <row r="188" spans="3:75">
      <c r="C188" s="19"/>
      <c r="D188" s="19"/>
      <c r="G188" s="96"/>
      <c r="I188" s="3"/>
      <c r="J188" s="16"/>
      <c r="K188" s="42"/>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row>
    <row r="189" spans="3:75">
      <c r="C189" s="19"/>
      <c r="D189" s="19"/>
      <c r="G189" s="96"/>
      <c r="I189" s="3"/>
      <c r="J189" s="16"/>
      <c r="K189" s="42"/>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row>
    <row r="190" spans="3:75">
      <c r="C190" s="19"/>
      <c r="D190" s="19"/>
      <c r="G190" s="96"/>
      <c r="I190" s="3"/>
      <c r="J190" s="16"/>
      <c r="K190" s="42"/>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row>
    <row r="191" spans="3:75">
      <c r="C191" s="19"/>
      <c r="D191" s="19"/>
      <c r="G191" s="96"/>
      <c r="I191" s="3"/>
      <c r="J191" s="16"/>
      <c r="K191" s="42"/>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row>
    <row r="192" spans="3:75">
      <c r="C192" s="19"/>
      <c r="D192" s="19"/>
      <c r="G192" s="96"/>
      <c r="I192" s="3"/>
      <c r="J192" s="16"/>
      <c r="K192" s="42"/>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row>
    <row r="193" spans="3:75">
      <c r="C193" s="19"/>
      <c r="D193" s="19"/>
      <c r="G193" s="96"/>
      <c r="I193" s="3"/>
      <c r="J193" s="16"/>
      <c r="K193" s="42"/>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row>
    <row r="194" spans="3:75">
      <c r="C194" s="19"/>
      <c r="D194" s="19"/>
      <c r="G194" s="96"/>
      <c r="I194" s="3"/>
      <c r="J194" s="16"/>
      <c r="K194" s="42"/>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row>
    <row r="195" spans="3:75">
      <c r="C195" s="19"/>
      <c r="D195" s="19"/>
      <c r="G195" s="96"/>
      <c r="I195" s="3"/>
      <c r="J195" s="16"/>
      <c r="K195" s="42"/>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row>
    <row r="196" spans="3:75">
      <c r="C196" s="19"/>
      <c r="D196" s="19"/>
      <c r="G196" s="96"/>
      <c r="I196" s="3"/>
      <c r="J196" s="16"/>
      <c r="K196" s="42"/>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row>
    <row r="197" spans="3:75">
      <c r="C197" s="19"/>
      <c r="D197" s="19"/>
      <c r="G197" s="96"/>
      <c r="I197" s="3"/>
      <c r="J197" s="16"/>
      <c r="K197" s="42"/>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row>
    <row r="198" spans="3:75">
      <c r="C198" s="19"/>
      <c r="D198" s="19"/>
      <c r="G198" s="96"/>
      <c r="I198" s="3"/>
      <c r="J198" s="16"/>
      <c r="K198" s="42"/>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row>
    <row r="199" spans="3:75">
      <c r="C199" s="19"/>
      <c r="D199" s="19"/>
      <c r="G199" s="96"/>
      <c r="I199" s="3"/>
      <c r="J199" s="16"/>
      <c r="K199" s="42"/>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row>
    <row r="200" spans="3:75">
      <c r="C200" s="19"/>
      <c r="D200" s="19"/>
      <c r="G200" s="96"/>
      <c r="I200" s="3"/>
      <c r="J200" s="16"/>
      <c r="K200" s="42"/>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row>
    <row r="201" spans="3:75">
      <c r="C201" s="19"/>
      <c r="D201" s="19"/>
      <c r="G201" s="96"/>
      <c r="I201" s="3"/>
      <c r="J201" s="16"/>
      <c r="K201" s="42"/>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row>
    <row r="202" spans="3:75">
      <c r="C202" s="19"/>
      <c r="D202" s="19"/>
      <c r="G202" s="96"/>
      <c r="I202" s="3"/>
      <c r="J202" s="16"/>
      <c r="K202" s="42"/>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row>
    <row r="203" spans="3:75">
      <c r="C203" s="19"/>
      <c r="D203" s="19"/>
      <c r="G203" s="96"/>
      <c r="I203" s="3"/>
      <c r="J203" s="16"/>
      <c r="K203" s="42"/>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row>
    <row r="204" spans="3:75">
      <c r="C204" s="19"/>
      <c r="D204" s="19"/>
      <c r="G204" s="96"/>
      <c r="I204" s="3"/>
      <c r="J204" s="16"/>
      <c r="K204" s="42"/>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row>
    <row r="205" spans="3:75">
      <c r="C205" s="19"/>
      <c r="D205" s="19"/>
      <c r="G205" s="96"/>
      <c r="I205" s="3"/>
      <c r="J205" s="16"/>
      <c r="K205" s="42"/>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row>
    <row r="206" spans="3:75">
      <c r="C206" s="19"/>
      <c r="D206" s="19"/>
      <c r="G206" s="96"/>
      <c r="I206" s="3"/>
      <c r="J206" s="16"/>
      <c r="K206" s="42"/>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row>
    <row r="207" spans="3:75">
      <c r="C207" s="19"/>
      <c r="D207" s="19"/>
      <c r="G207" s="96"/>
      <c r="I207" s="3"/>
      <c r="J207" s="16"/>
      <c r="K207" s="42"/>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row>
  </sheetData>
  <conditionalFormatting sqref="G11:G16 G20:G22">
    <cfRule type="cellIs" dxfId="52" priority="15" operator="equal">
      <formula>FALSE</formula>
    </cfRule>
  </conditionalFormatting>
  <conditionalFormatting sqref="G17:G19">
    <cfRule type="cellIs" dxfId="51" priority="1" operator="equal">
      <formula>FALSE</formula>
    </cfRule>
  </conditionalFormatting>
  <conditionalFormatting sqref="M158:AQ207">
    <cfRule type="colorScale" priority="1722">
      <colorScale>
        <cfvo type="num" val="1"/>
        <cfvo type="max"/>
        <color rgb="FFFCFCFF"/>
        <color rgb="FFF8696B"/>
      </colorScale>
    </cfRule>
  </conditionalFormatting>
  <dataValidations count="4">
    <dataValidation type="list" allowBlank="1" showInputMessage="1" showErrorMessage="1" sqref="D30:D42 D83:D91 D50:D74" xr:uid="{BFFEB156-2159-CE42-87E1-C8418666C4B4}">
      <formula1>OFFSET(lists_prm,0,0,COUNTA(lists_prm))</formula1>
    </dataValidation>
    <dataValidation type="list" allowBlank="1" showInputMessage="1" showErrorMessage="1" sqref="C30:C42 C158:C207 C50:C74" xr:uid="{8136C460-06FD-CF40-B6A8-CE77F74425E8}">
      <formula1>OFFSET(lists_resources,0,0,COUNTA(lists_resources))</formula1>
    </dataValidation>
    <dataValidation type="list" allowBlank="1" showInputMessage="1" showErrorMessage="1" sqref="K11:K22" xr:uid="{551E59D8-C0CB-3542-8E01-C74440C01DF7}">
      <formula1>"absolute,relative"</formula1>
    </dataValidation>
    <dataValidation type="list" allowBlank="1" showInputMessage="1" showErrorMessage="1" sqref="D158:D207" xr:uid="{6A1E3794-688D-4645-9F10-54551CE94407}">
      <formula1>OFFSET(lists_elcc_surfaces,,,COUNTA(lists_elcc_surfaces))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03" id="{82B65E3C-5EEC-1E40-BD9B-601337D1FD96}">
            <xm:f>ISNUMBER(MATCH(I11,'RESOLVE Case Settings'!$C$19:$C$42,0))</xm:f>
            <x14:dxf>
              <font>
                <color rgb="FF006100"/>
              </font>
              <fill>
                <patternFill>
                  <bgColor rgb="FFC6EFCE"/>
                </patternFill>
              </fill>
            </x14:dxf>
          </x14:cfRule>
          <xm:sqref>I11:I22 I83:I91</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97212-3492-334B-BBDD-9F5C261128C8}">
  <sheetPr codeName="Sheet28">
    <tabColor theme="7" tint="0.79998168889431442"/>
  </sheetPr>
  <dimension ref="A1:BX193"/>
  <sheetViews>
    <sheetView showGridLines="0" zoomScale="70" zoomScaleNormal="70" workbookViewId="0">
      <selection activeCell="C60" sqref="C60:D186"/>
    </sheetView>
  </sheetViews>
  <sheetFormatPr baseColWidth="10" defaultColWidth="11" defaultRowHeight="12" outlineLevelRow="1" outlineLevelCol="1"/>
  <cols>
    <col min="1" max="2" width="3" customWidth="1"/>
    <col min="3" max="3" width="34.59765625" bestFit="1" customWidth="1"/>
    <col min="4" max="4" width="7.59765625" bestFit="1" customWidth="1"/>
    <col min="5" max="5" width="3" customWidth="1"/>
    <col min="6" max="6" width="26.59765625" bestFit="1" customWidth="1"/>
    <col min="7" max="7" width="3" customWidth="1"/>
    <col min="8" max="8" width="16.59765625" bestFit="1" customWidth="1"/>
    <col min="9" max="9" width="3" customWidth="1"/>
    <col min="10" max="11" width="13.796875" bestFit="1" customWidth="1"/>
    <col min="12" max="12" width="3" customWidth="1"/>
    <col min="13" max="13" width="16" customWidth="1"/>
    <col min="14" max="15" width="16" hidden="1" customWidth="1" outlineLevel="1"/>
    <col min="16" max="16" width="16" customWidth="1" collapsed="1"/>
    <col min="17" max="19" width="16" customWidth="1"/>
    <col min="20" max="20" width="16" hidden="1" customWidth="1" outlineLevel="1"/>
    <col min="21" max="21" width="16" customWidth="1" collapsed="1"/>
    <col min="22" max="22" width="16" hidden="1" customWidth="1" outlineLevel="1"/>
    <col min="23" max="23" width="16" customWidth="1" collapsed="1"/>
    <col min="24" max="24" width="16" hidden="1" customWidth="1" outlineLevel="1"/>
    <col min="25" max="25" width="16" customWidth="1" collapsed="1"/>
    <col min="26" max="26" width="16" customWidth="1"/>
    <col min="27" max="27" width="16" hidden="1" customWidth="1" outlineLevel="1"/>
    <col min="28" max="28" width="16" customWidth="1" collapsed="1"/>
    <col min="29" max="31" width="16" hidden="1" customWidth="1" outlineLevel="1"/>
    <col min="32" max="32" width="16" customWidth="1" collapsed="1"/>
    <col min="33" max="33" width="16" customWidth="1"/>
    <col min="34" max="37" width="16" hidden="1" customWidth="1" outlineLevel="1"/>
    <col min="38" max="38" width="16" customWidth="1" collapsed="1"/>
    <col min="39" max="42" width="16" hidden="1" customWidth="1" outlineLevel="1"/>
    <col min="43" max="43" width="16" customWidth="1" collapsed="1"/>
    <col min="44" max="44" width="3" customWidth="1"/>
    <col min="45" max="45" width="16" customWidth="1"/>
    <col min="46" max="47" width="16" hidden="1" customWidth="1" outlineLevel="1"/>
    <col min="48" max="48" width="16" customWidth="1" collapsed="1"/>
    <col min="49" max="49" width="16" customWidth="1"/>
    <col min="50" max="50" width="16" customWidth="1" collapsed="1"/>
    <col min="51" max="51" width="16" customWidth="1"/>
    <col min="52" max="52" width="16" hidden="1" customWidth="1" outlineLevel="1"/>
    <col min="53" max="53" width="16" customWidth="1" collapsed="1"/>
    <col min="54" max="54" width="16" hidden="1" customWidth="1" outlineLevel="1"/>
    <col min="55" max="55" width="16" customWidth="1" collapsed="1"/>
    <col min="56" max="56" width="16" hidden="1" customWidth="1" outlineLevel="1"/>
    <col min="57" max="57" width="16" customWidth="1" collapsed="1"/>
    <col min="58" max="58" width="16" customWidth="1"/>
    <col min="59" max="59" width="16" hidden="1" customWidth="1" outlineLevel="1"/>
    <col min="60" max="60" width="16" customWidth="1" collapsed="1"/>
    <col min="61" max="63" width="16" hidden="1" customWidth="1" outlineLevel="1"/>
    <col min="64" max="65" width="16" customWidth="1" collapsed="1"/>
    <col min="66" max="69" width="16" hidden="1" customWidth="1" outlineLevel="1"/>
    <col min="70" max="70" width="16" customWidth="1" collapsed="1"/>
    <col min="71" max="74" width="16" hidden="1" customWidth="1" outlineLevel="1"/>
    <col min="75" max="75" width="16" customWidth="1" collapsed="1"/>
  </cols>
  <sheetData>
    <row r="1" spans="1:76" ht="29" thickBot="1">
      <c r="A1" s="5" t="s">
        <v>364</v>
      </c>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row>
    <row r="5" spans="1:76" ht="19" thickBot="1">
      <c r="B5" s="9" t="s">
        <v>308</v>
      </c>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row>
    <row r="8" spans="1:76" ht="28">
      <c r="E8" s="16"/>
      <c r="G8" s="16"/>
      <c r="I8" s="16"/>
      <c r="J8" s="11" t="s">
        <v>333</v>
      </c>
      <c r="K8" s="11" t="s">
        <v>365</v>
      </c>
      <c r="M8" s="6" t="s">
        <v>334</v>
      </c>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S8" s="6" t="s">
        <v>366</v>
      </c>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row>
    <row r="9" spans="1:76" hidden="1" outlineLevel="1">
      <c r="A9" s="27"/>
      <c r="B9" s="27"/>
      <c r="C9" s="27" t="s">
        <v>367</v>
      </c>
      <c r="D9" s="27"/>
      <c r="E9" s="27"/>
      <c r="F9" s="27"/>
      <c r="G9" s="27"/>
      <c r="I9" s="27"/>
      <c r="J9" s="27" t="s">
        <v>337</v>
      </c>
      <c r="K9" s="27" t="s">
        <v>368</v>
      </c>
      <c r="L9" s="27"/>
      <c r="M9" s="27" t="s">
        <v>312</v>
      </c>
      <c r="N9" s="27" t="s">
        <v>312</v>
      </c>
      <c r="O9" s="27" t="s">
        <v>312</v>
      </c>
      <c r="P9" s="27" t="s">
        <v>312</v>
      </c>
      <c r="Q9" s="27" t="s">
        <v>312</v>
      </c>
      <c r="R9" s="27" t="s">
        <v>312</v>
      </c>
      <c r="S9" s="27" t="s">
        <v>312</v>
      </c>
      <c r="T9" s="27" t="s">
        <v>312</v>
      </c>
      <c r="U9" s="27" t="s">
        <v>312</v>
      </c>
      <c r="V9" s="27" t="s">
        <v>312</v>
      </c>
      <c r="W9" s="27" t="s">
        <v>312</v>
      </c>
      <c r="X9" s="27" t="s">
        <v>312</v>
      </c>
      <c r="Y9" s="27" t="s">
        <v>312</v>
      </c>
      <c r="Z9" s="27" t="s">
        <v>312</v>
      </c>
      <c r="AA9" s="27" t="s">
        <v>312</v>
      </c>
      <c r="AB9" s="27" t="s">
        <v>312</v>
      </c>
      <c r="AC9" s="27" t="s">
        <v>312</v>
      </c>
      <c r="AD9" s="27" t="s">
        <v>312</v>
      </c>
      <c r="AE9" s="27" t="s">
        <v>312</v>
      </c>
      <c r="AF9" s="27" t="s">
        <v>312</v>
      </c>
      <c r="AG9" s="27" t="s">
        <v>312</v>
      </c>
      <c r="AH9" s="27" t="s">
        <v>312</v>
      </c>
      <c r="AI9" s="27" t="s">
        <v>312</v>
      </c>
      <c r="AJ9" s="27" t="s">
        <v>312</v>
      </c>
      <c r="AK9" s="27" t="s">
        <v>312</v>
      </c>
      <c r="AL9" s="27" t="s">
        <v>312</v>
      </c>
      <c r="AM9" s="27" t="s">
        <v>312</v>
      </c>
      <c r="AN9" s="27" t="s">
        <v>312</v>
      </c>
      <c r="AO9" s="27" t="s">
        <v>312</v>
      </c>
      <c r="AP9" s="27" t="s">
        <v>312</v>
      </c>
      <c r="AQ9" s="27" t="s">
        <v>312</v>
      </c>
      <c r="AR9" s="27"/>
      <c r="AS9" s="27" t="s">
        <v>313</v>
      </c>
      <c r="AT9" s="27" t="s">
        <v>313</v>
      </c>
      <c r="AU9" s="27" t="s">
        <v>313</v>
      </c>
      <c r="AV9" s="27" t="s">
        <v>313</v>
      </c>
      <c r="AW9" s="27" t="s">
        <v>313</v>
      </c>
      <c r="AX9" s="27" t="s">
        <v>313</v>
      </c>
      <c r="AY9" s="27" t="s">
        <v>313</v>
      </c>
      <c r="AZ9" s="27" t="s">
        <v>313</v>
      </c>
      <c r="BA9" s="27" t="s">
        <v>313</v>
      </c>
      <c r="BB9" s="27" t="s">
        <v>313</v>
      </c>
      <c r="BC9" s="27" t="s">
        <v>313</v>
      </c>
      <c r="BD9" s="27" t="s">
        <v>313</v>
      </c>
      <c r="BE9" s="27" t="s">
        <v>313</v>
      </c>
      <c r="BF9" s="27" t="s">
        <v>313</v>
      </c>
      <c r="BG9" s="27" t="s">
        <v>313</v>
      </c>
      <c r="BH9" s="27" t="s">
        <v>313</v>
      </c>
      <c r="BI9" s="27" t="s">
        <v>313</v>
      </c>
      <c r="BJ9" s="27" t="s">
        <v>313</v>
      </c>
      <c r="BK9" s="27" t="s">
        <v>313</v>
      </c>
      <c r="BL9" s="27" t="s">
        <v>313</v>
      </c>
      <c r="BM9" s="27" t="s">
        <v>313</v>
      </c>
      <c r="BN9" s="27" t="s">
        <v>313</v>
      </c>
      <c r="BO9" s="27" t="s">
        <v>313</v>
      </c>
      <c r="BP9" s="27" t="s">
        <v>313</v>
      </c>
      <c r="BQ9" s="27" t="s">
        <v>313</v>
      </c>
      <c r="BR9" s="27" t="s">
        <v>313</v>
      </c>
      <c r="BS9" s="27" t="s">
        <v>313</v>
      </c>
      <c r="BT9" s="27" t="s">
        <v>313</v>
      </c>
      <c r="BU9" s="27" t="s">
        <v>313</v>
      </c>
      <c r="BV9" s="27" t="s">
        <v>313</v>
      </c>
      <c r="BW9" s="27" t="s">
        <v>313</v>
      </c>
      <c r="BX9" s="27"/>
    </row>
    <row r="10" spans="1:76" ht="42" collapsed="1">
      <c r="C10" s="6" t="s">
        <v>314</v>
      </c>
      <c r="E10" s="16"/>
      <c r="F10" s="11" t="str">
        <f>"Included in Current System ("&amp;system_name&amp;")"</f>
        <v>Included in Current System (ISONE_toy_system)</v>
      </c>
      <c r="G10" s="16"/>
      <c r="H10" s="11" t="s">
        <v>251</v>
      </c>
      <c r="I10" s="16"/>
      <c r="J10" s="13"/>
      <c r="K10" s="13"/>
      <c r="M10" s="59">
        <f>start_year</f>
        <v>43831</v>
      </c>
      <c r="N10" s="59">
        <f>EDATE(M10,12)</f>
        <v>44197</v>
      </c>
      <c r="O10" s="59">
        <f t="shared" ref="O10:AQ10" si="0">EDATE(N10,12)</f>
        <v>44562</v>
      </c>
      <c r="P10" s="59">
        <f t="shared" si="0"/>
        <v>44927</v>
      </c>
      <c r="Q10" s="59">
        <f t="shared" si="0"/>
        <v>45292</v>
      </c>
      <c r="R10" s="59">
        <f t="shared" si="0"/>
        <v>45658</v>
      </c>
      <c r="S10" s="59">
        <f t="shared" si="0"/>
        <v>46023</v>
      </c>
      <c r="T10" s="59">
        <f t="shared" si="0"/>
        <v>46388</v>
      </c>
      <c r="U10" s="59">
        <f t="shared" si="0"/>
        <v>46753</v>
      </c>
      <c r="V10" s="59">
        <f t="shared" si="0"/>
        <v>47119</v>
      </c>
      <c r="W10" s="59">
        <f t="shared" si="0"/>
        <v>47484</v>
      </c>
      <c r="X10" s="59">
        <f t="shared" si="0"/>
        <v>47849</v>
      </c>
      <c r="Y10" s="59">
        <f t="shared" si="0"/>
        <v>48214</v>
      </c>
      <c r="Z10" s="59">
        <f t="shared" si="0"/>
        <v>48580</v>
      </c>
      <c r="AA10" s="59">
        <f t="shared" si="0"/>
        <v>48945</v>
      </c>
      <c r="AB10" s="59">
        <f t="shared" si="0"/>
        <v>49310</v>
      </c>
      <c r="AC10" s="59">
        <f t="shared" si="0"/>
        <v>49675</v>
      </c>
      <c r="AD10" s="59">
        <f t="shared" si="0"/>
        <v>50041</v>
      </c>
      <c r="AE10" s="59">
        <f t="shared" si="0"/>
        <v>50406</v>
      </c>
      <c r="AF10" s="59">
        <f t="shared" si="0"/>
        <v>50771</v>
      </c>
      <c r="AG10" s="59">
        <f t="shared" si="0"/>
        <v>51136</v>
      </c>
      <c r="AH10" s="59">
        <f t="shared" si="0"/>
        <v>51502</v>
      </c>
      <c r="AI10" s="59">
        <f t="shared" si="0"/>
        <v>51867</v>
      </c>
      <c r="AJ10" s="59">
        <f t="shared" si="0"/>
        <v>52232</v>
      </c>
      <c r="AK10" s="59">
        <f t="shared" si="0"/>
        <v>52597</v>
      </c>
      <c r="AL10" s="59">
        <f t="shared" si="0"/>
        <v>52963</v>
      </c>
      <c r="AM10" s="59">
        <f t="shared" si="0"/>
        <v>53328</v>
      </c>
      <c r="AN10" s="59">
        <f t="shared" si="0"/>
        <v>53693</v>
      </c>
      <c r="AO10" s="59">
        <f t="shared" si="0"/>
        <v>54058</v>
      </c>
      <c r="AP10" s="59">
        <f t="shared" si="0"/>
        <v>54424</v>
      </c>
      <c r="AQ10" s="59">
        <f t="shared" si="0"/>
        <v>54789</v>
      </c>
      <c r="AS10" s="59">
        <f>start_year</f>
        <v>43831</v>
      </c>
      <c r="AT10" s="59">
        <f>EDATE(AS10,12)</f>
        <v>44197</v>
      </c>
      <c r="AU10" s="59">
        <f t="shared" ref="AU10:BW10" si="1">EDATE(AT10,12)</f>
        <v>44562</v>
      </c>
      <c r="AV10" s="59">
        <f t="shared" si="1"/>
        <v>44927</v>
      </c>
      <c r="AW10" s="59">
        <f t="shared" si="1"/>
        <v>45292</v>
      </c>
      <c r="AX10" s="59">
        <f t="shared" si="1"/>
        <v>45658</v>
      </c>
      <c r="AY10" s="59">
        <f t="shared" si="1"/>
        <v>46023</v>
      </c>
      <c r="AZ10" s="59">
        <f t="shared" si="1"/>
        <v>46388</v>
      </c>
      <c r="BA10" s="59">
        <f t="shared" si="1"/>
        <v>46753</v>
      </c>
      <c r="BB10" s="59">
        <f t="shared" si="1"/>
        <v>47119</v>
      </c>
      <c r="BC10" s="59">
        <f t="shared" si="1"/>
        <v>47484</v>
      </c>
      <c r="BD10" s="59">
        <f t="shared" si="1"/>
        <v>47849</v>
      </c>
      <c r="BE10" s="59">
        <f t="shared" si="1"/>
        <v>48214</v>
      </c>
      <c r="BF10" s="59">
        <f t="shared" si="1"/>
        <v>48580</v>
      </c>
      <c r="BG10" s="59">
        <f t="shared" si="1"/>
        <v>48945</v>
      </c>
      <c r="BH10" s="59">
        <f t="shared" si="1"/>
        <v>49310</v>
      </c>
      <c r="BI10" s="59">
        <f t="shared" si="1"/>
        <v>49675</v>
      </c>
      <c r="BJ10" s="59">
        <f t="shared" si="1"/>
        <v>50041</v>
      </c>
      <c r="BK10" s="59">
        <f t="shared" si="1"/>
        <v>50406</v>
      </c>
      <c r="BL10" s="59">
        <f t="shared" si="1"/>
        <v>50771</v>
      </c>
      <c r="BM10" s="59">
        <f t="shared" si="1"/>
        <v>51136</v>
      </c>
      <c r="BN10" s="59">
        <f t="shared" si="1"/>
        <v>51502</v>
      </c>
      <c r="BO10" s="59">
        <f t="shared" si="1"/>
        <v>51867</v>
      </c>
      <c r="BP10" s="59">
        <f t="shared" si="1"/>
        <v>52232</v>
      </c>
      <c r="BQ10" s="59">
        <f t="shared" si="1"/>
        <v>52597</v>
      </c>
      <c r="BR10" s="59">
        <f t="shared" si="1"/>
        <v>52963</v>
      </c>
      <c r="BS10" s="59">
        <f t="shared" si="1"/>
        <v>53328</v>
      </c>
      <c r="BT10" s="59">
        <f t="shared" si="1"/>
        <v>53693</v>
      </c>
      <c r="BU10" s="59">
        <f t="shared" si="1"/>
        <v>54058</v>
      </c>
      <c r="BV10" s="59">
        <f t="shared" si="1"/>
        <v>54424</v>
      </c>
      <c r="BW10" s="59">
        <f t="shared" si="1"/>
        <v>54789</v>
      </c>
    </row>
    <row r="11" spans="1:76">
      <c r="C11" s="3"/>
      <c r="F11" s="39" t="str">
        <f>IF(ISBLANK($C11),"-/-",COUNTIFS(component_names,$C11,component_types,$C$9)&gt;0)</f>
        <v>-/-</v>
      </c>
      <c r="H11" s="3"/>
      <c r="J11" s="21"/>
      <c r="K11" s="21"/>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S11" s="3"/>
      <c r="AT11" s="3"/>
      <c r="AU11" s="3"/>
      <c r="AV11" s="25"/>
      <c r="AW11" s="25"/>
      <c r="AX11" s="25"/>
      <c r="AY11" s="25"/>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row>
    <row r="12" spans="1:76">
      <c r="C12" s="3"/>
      <c r="F12" s="39" t="str">
        <f>IF(ISBLANK($C12),"-/-",COUNTIFS(component_names,$C12,component_types,$C$9)&gt;0)</f>
        <v>-/-</v>
      </c>
      <c r="H12" s="3"/>
      <c r="J12" s="21"/>
      <c r="K12" s="21"/>
      <c r="M12" s="29"/>
      <c r="N12" s="29"/>
      <c r="O12" s="29"/>
      <c r="P12" s="29"/>
      <c r="Q12" s="29"/>
      <c r="R12" s="29"/>
      <c r="S12" s="29"/>
      <c r="T12" s="29"/>
      <c r="U12" s="29"/>
      <c r="V12" s="29"/>
      <c r="W12" s="29"/>
      <c r="X12" s="29"/>
      <c r="Y12" s="29"/>
      <c r="Z12" s="29"/>
      <c r="AA12" s="29"/>
      <c r="AB12" s="29"/>
      <c r="AC12" s="29"/>
      <c r="AD12" s="29"/>
      <c r="AE12" s="29"/>
      <c r="AF12" s="29"/>
      <c r="AG12" s="29"/>
      <c r="AH12" s="29"/>
      <c r="AI12" s="29"/>
      <c r="AJ12" s="29"/>
      <c r="AK12" s="29"/>
      <c r="AL12" s="29"/>
      <c r="AM12" s="29"/>
      <c r="AN12" s="29"/>
      <c r="AO12" s="29"/>
      <c r="AP12" s="29"/>
      <c r="AQ12" s="29"/>
      <c r="AS12" s="3"/>
      <c r="AT12" s="3"/>
      <c r="AU12" s="3"/>
      <c r="AV12" s="25"/>
      <c r="AW12" s="25"/>
      <c r="AX12" s="25"/>
      <c r="AY12" s="25"/>
      <c r="AZ12" s="25"/>
      <c r="BA12" s="25"/>
      <c r="BB12" s="25"/>
      <c r="BC12" s="25"/>
      <c r="BD12" s="25"/>
      <c r="BE12" s="25"/>
      <c r="BF12" s="25"/>
      <c r="BG12" s="25"/>
      <c r="BH12" s="25"/>
      <c r="BI12" s="25"/>
      <c r="BJ12" s="25"/>
      <c r="BK12" s="25"/>
      <c r="BL12" s="25"/>
      <c r="BM12" s="25"/>
      <c r="BN12" s="25"/>
      <c r="BO12" s="25"/>
      <c r="BP12" s="25"/>
      <c r="BQ12" s="25"/>
      <c r="BR12" s="25"/>
      <c r="BS12" s="25"/>
      <c r="BT12" s="25"/>
      <c r="BU12" s="25"/>
      <c r="BV12" s="25"/>
      <c r="BW12" s="25"/>
    </row>
    <row r="13" spans="1:76">
      <c r="C13" s="3"/>
      <c r="F13" s="39" t="str">
        <f>IF(ISBLANK($C13),"-/-",COUNTIFS(component_names,$C13,component_types,$C$9)&gt;0)</f>
        <v>-/-</v>
      </c>
      <c r="H13" s="3"/>
      <c r="J13" s="21"/>
      <c r="K13" s="21"/>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S13" s="3"/>
      <c r="AT13" s="3"/>
      <c r="AU13" s="3"/>
      <c r="AV13" s="25"/>
      <c r="AW13" s="25"/>
      <c r="AX13" s="25"/>
      <c r="AY13" s="25"/>
      <c r="AZ13" s="25"/>
      <c r="BA13" s="25"/>
      <c r="BB13" s="25"/>
      <c r="BC13" s="25"/>
      <c r="BD13" s="25"/>
      <c r="BE13" s="25"/>
      <c r="BF13" s="25"/>
      <c r="BG13" s="25"/>
      <c r="BH13" s="25"/>
      <c r="BI13" s="25"/>
      <c r="BJ13" s="25"/>
      <c r="BK13" s="25"/>
      <c r="BL13" s="25"/>
      <c r="BM13" s="25"/>
      <c r="BN13" s="25"/>
      <c r="BO13" s="25"/>
      <c r="BP13" s="25"/>
      <c r="BQ13" s="25"/>
      <c r="BR13" s="25"/>
      <c r="BS13" s="25"/>
      <c r="BT13" s="25"/>
      <c r="BU13" s="25"/>
      <c r="BV13" s="25"/>
      <c r="BW13" s="25"/>
    </row>
    <row r="14" spans="1:76">
      <c r="C14" s="3"/>
      <c r="F14" s="39" t="str">
        <f>IF(ISBLANK($C14),"-/-",COUNTIFS(component_names,$C14,component_types,$C$9)&gt;0)</f>
        <v>-/-</v>
      </c>
      <c r="H14" s="3"/>
      <c r="J14" s="21"/>
      <c r="K14" s="21"/>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S14" s="3"/>
      <c r="AT14" s="3"/>
      <c r="AU14" s="3"/>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row>
    <row r="15" spans="1:76">
      <c r="C15" s="3"/>
      <c r="F15" s="39" t="str">
        <f>IF(ISBLANK($C15),"-/-",COUNTIFS(component_names,$C15,component_types,$C$9)&gt;0)</f>
        <v>-/-</v>
      </c>
      <c r="H15" s="3"/>
      <c r="J15" s="21"/>
      <c r="K15" s="21"/>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S15" s="3"/>
      <c r="AT15" s="3"/>
      <c r="AU15" s="3"/>
      <c r="AV15" s="25"/>
      <c r="AW15" s="25"/>
      <c r="AX15" s="25"/>
      <c r="AY15" s="25"/>
      <c r="AZ15" s="25"/>
      <c r="BA15" s="25"/>
      <c r="BB15" s="25"/>
      <c r="BC15" s="25"/>
      <c r="BD15" s="25"/>
      <c r="BE15" s="25"/>
      <c r="BF15" s="25"/>
      <c r="BG15" s="25"/>
      <c r="BH15" s="25"/>
      <c r="BI15" s="25"/>
      <c r="BJ15" s="25"/>
      <c r="BK15" s="25"/>
      <c r="BL15" s="25"/>
      <c r="BM15" s="25"/>
      <c r="BN15" s="25"/>
      <c r="BO15" s="25"/>
      <c r="BP15" s="25"/>
      <c r="BQ15" s="25"/>
      <c r="BR15" s="25"/>
      <c r="BS15" s="25"/>
      <c r="BT15" s="25"/>
      <c r="BU15" s="25"/>
      <c r="BV15" s="25"/>
      <c r="BW15" s="25"/>
    </row>
    <row r="17" spans="1:76">
      <c r="P17" s="87"/>
      <c r="Q17" s="87"/>
      <c r="R17" s="87"/>
      <c r="S17" s="87"/>
      <c r="T17" s="87"/>
      <c r="U17" s="87"/>
      <c r="V17" s="87"/>
      <c r="W17" s="87"/>
      <c r="X17" s="87"/>
      <c r="Y17" s="87"/>
      <c r="Z17" s="87"/>
      <c r="AA17" s="87"/>
      <c r="AB17" s="87"/>
      <c r="AC17" s="87"/>
      <c r="AD17" s="87"/>
      <c r="AE17" s="87"/>
      <c r="AF17" s="87"/>
      <c r="AG17" s="87"/>
      <c r="AH17" s="87"/>
      <c r="AI17" s="87"/>
      <c r="AJ17" s="87"/>
      <c r="AK17" s="87"/>
      <c r="AL17" s="87"/>
      <c r="AV17" s="97"/>
      <c r="AW17" s="97"/>
      <c r="AX17" s="97"/>
      <c r="AY17" s="97"/>
      <c r="AZ17" s="97"/>
      <c r="BA17" s="97"/>
      <c r="BB17" s="97"/>
      <c r="BC17" s="97"/>
      <c r="BD17" s="97"/>
      <c r="BE17" s="97"/>
      <c r="BF17" s="97"/>
      <c r="BG17" s="97"/>
      <c r="BH17" s="97"/>
      <c r="BI17" s="97"/>
      <c r="BJ17" s="97"/>
      <c r="BK17" s="97"/>
      <c r="BL17" s="97"/>
      <c r="BM17" s="97"/>
      <c r="BN17" s="97"/>
      <c r="BO17" s="97"/>
      <c r="BP17" s="97"/>
      <c r="BQ17" s="97"/>
      <c r="BR17" s="97"/>
      <c r="BS17" s="97"/>
      <c r="BT17" s="97"/>
      <c r="BU17" s="97"/>
      <c r="BV17" s="97"/>
      <c r="BW17" s="97"/>
    </row>
    <row r="18" spans="1:76" ht="19" thickBot="1">
      <c r="B18" s="9" t="s">
        <v>369</v>
      </c>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row>
    <row r="19" spans="1:76">
      <c r="B19" s="45" t="s">
        <v>339</v>
      </c>
    </row>
    <row r="20" spans="1:76" ht="13">
      <c r="M20" s="6" t="s">
        <v>370</v>
      </c>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S20" s="32"/>
      <c r="AT20" s="32"/>
      <c r="AU20" s="32"/>
    </row>
    <row r="21" spans="1:76" hidden="1" outlineLevel="1">
      <c r="A21" s="27"/>
      <c r="B21" s="27"/>
      <c r="C21" s="27" t="s">
        <v>243</v>
      </c>
      <c r="D21" s="27" t="s">
        <v>318</v>
      </c>
      <c r="E21" s="27"/>
      <c r="G21" s="27"/>
      <c r="H21" s="27"/>
      <c r="I21" s="27"/>
      <c r="J21" s="27"/>
      <c r="K21" s="27"/>
      <c r="L21" s="27"/>
      <c r="M21" s="27" t="s">
        <v>319</v>
      </c>
      <c r="N21" s="27" t="s">
        <v>319</v>
      </c>
      <c r="O21" s="27" t="s">
        <v>319</v>
      </c>
      <c r="P21" s="27" t="s">
        <v>319</v>
      </c>
      <c r="Q21" s="27" t="s">
        <v>319</v>
      </c>
      <c r="R21" s="27" t="s">
        <v>319</v>
      </c>
      <c r="S21" s="27" t="s">
        <v>319</v>
      </c>
      <c r="T21" s="27" t="s">
        <v>319</v>
      </c>
      <c r="U21" s="27" t="s">
        <v>319</v>
      </c>
      <c r="V21" s="27" t="s">
        <v>319</v>
      </c>
      <c r="W21" s="27" t="s">
        <v>319</v>
      </c>
      <c r="X21" s="27" t="s">
        <v>319</v>
      </c>
      <c r="Y21" s="27" t="s">
        <v>319</v>
      </c>
      <c r="Z21" s="27" t="s">
        <v>319</v>
      </c>
      <c r="AA21" s="27" t="s">
        <v>319</v>
      </c>
      <c r="AB21" s="27" t="s">
        <v>319</v>
      </c>
      <c r="AC21" s="27" t="s">
        <v>319</v>
      </c>
      <c r="AD21" s="27" t="s">
        <v>319</v>
      </c>
      <c r="AE21" s="27" t="s">
        <v>319</v>
      </c>
      <c r="AF21" s="27" t="s">
        <v>319</v>
      </c>
      <c r="AG21" s="27" t="s">
        <v>319</v>
      </c>
      <c r="AH21" s="27" t="s">
        <v>319</v>
      </c>
      <c r="AI21" s="27" t="s">
        <v>319</v>
      </c>
      <c r="AJ21" s="27" t="s">
        <v>319</v>
      </c>
      <c r="AK21" s="27" t="s">
        <v>319</v>
      </c>
      <c r="AL21" s="27" t="s">
        <v>319</v>
      </c>
      <c r="AM21" s="27" t="s">
        <v>319</v>
      </c>
      <c r="AN21" s="27" t="s">
        <v>319</v>
      </c>
      <c r="AO21" s="27" t="s">
        <v>319</v>
      </c>
      <c r="AP21" s="27" t="s">
        <v>319</v>
      </c>
      <c r="AQ21" s="27" t="s">
        <v>319</v>
      </c>
      <c r="AR21" s="27"/>
    </row>
    <row r="22" spans="1:76" ht="14" collapsed="1">
      <c r="C22" s="6" t="s">
        <v>341</v>
      </c>
      <c r="D22" s="6" t="s">
        <v>318</v>
      </c>
      <c r="H22" s="11" t="s">
        <v>251</v>
      </c>
      <c r="I22" s="16"/>
      <c r="J22" s="16"/>
      <c r="K22" s="16"/>
      <c r="L22" s="16"/>
      <c r="M22" s="59">
        <f>start_year</f>
        <v>43831</v>
      </c>
      <c r="N22" s="59">
        <f>EDATE(M22,12)</f>
        <v>44197</v>
      </c>
      <c r="O22" s="59">
        <f t="shared" ref="O22" si="2">EDATE(N22,12)</f>
        <v>44562</v>
      </c>
      <c r="P22" s="59">
        <f t="shared" ref="P22" si="3">EDATE(O22,12)</f>
        <v>44927</v>
      </c>
      <c r="Q22" s="59">
        <f t="shared" ref="Q22" si="4">EDATE(P22,12)</f>
        <v>45292</v>
      </c>
      <c r="R22" s="59">
        <f t="shared" ref="R22" si="5">EDATE(Q22,12)</f>
        <v>45658</v>
      </c>
      <c r="S22" s="59">
        <f t="shared" ref="S22" si="6">EDATE(R22,12)</f>
        <v>46023</v>
      </c>
      <c r="T22" s="59">
        <f t="shared" ref="T22" si="7">EDATE(S22,12)</f>
        <v>46388</v>
      </c>
      <c r="U22" s="59">
        <f t="shared" ref="U22" si="8">EDATE(T22,12)</f>
        <v>46753</v>
      </c>
      <c r="V22" s="59">
        <f t="shared" ref="V22" si="9">EDATE(U22,12)</f>
        <v>47119</v>
      </c>
      <c r="W22" s="59">
        <f t="shared" ref="W22" si="10">EDATE(V22,12)</f>
        <v>47484</v>
      </c>
      <c r="X22" s="59">
        <f t="shared" ref="X22" si="11">EDATE(W22,12)</f>
        <v>47849</v>
      </c>
      <c r="Y22" s="59">
        <f t="shared" ref="Y22" si="12">EDATE(X22,12)</f>
        <v>48214</v>
      </c>
      <c r="Z22" s="59">
        <f t="shared" ref="Z22" si="13">EDATE(Y22,12)</f>
        <v>48580</v>
      </c>
      <c r="AA22" s="59">
        <f t="shared" ref="AA22" si="14">EDATE(Z22,12)</f>
        <v>48945</v>
      </c>
      <c r="AB22" s="59">
        <f t="shared" ref="AB22" si="15">EDATE(AA22,12)</f>
        <v>49310</v>
      </c>
      <c r="AC22" s="59">
        <f t="shared" ref="AC22" si="16">EDATE(AB22,12)</f>
        <v>49675</v>
      </c>
      <c r="AD22" s="59">
        <f t="shared" ref="AD22" si="17">EDATE(AC22,12)</f>
        <v>50041</v>
      </c>
      <c r="AE22" s="59">
        <f t="shared" ref="AE22" si="18">EDATE(AD22,12)</f>
        <v>50406</v>
      </c>
      <c r="AF22" s="59">
        <f t="shared" ref="AF22" si="19">EDATE(AE22,12)</f>
        <v>50771</v>
      </c>
      <c r="AG22" s="59">
        <f t="shared" ref="AG22" si="20">EDATE(AF22,12)</f>
        <v>51136</v>
      </c>
      <c r="AH22" s="59">
        <f t="shared" ref="AH22" si="21">EDATE(AG22,12)</f>
        <v>51502</v>
      </c>
      <c r="AI22" s="59">
        <f t="shared" ref="AI22" si="22">EDATE(AH22,12)</f>
        <v>51867</v>
      </c>
      <c r="AJ22" s="59">
        <f t="shared" ref="AJ22" si="23">EDATE(AI22,12)</f>
        <v>52232</v>
      </c>
      <c r="AK22" s="59">
        <f t="shared" ref="AK22" si="24">EDATE(AJ22,12)</f>
        <v>52597</v>
      </c>
      <c r="AL22" s="59">
        <f t="shared" ref="AL22" si="25">EDATE(AK22,12)</f>
        <v>52963</v>
      </c>
      <c r="AM22" s="59">
        <f t="shared" ref="AM22" si="26">EDATE(AL22,12)</f>
        <v>53328</v>
      </c>
      <c r="AN22" s="59">
        <f t="shared" ref="AN22" si="27">EDATE(AM22,12)</f>
        <v>53693</v>
      </c>
      <c r="AO22" s="59">
        <f t="shared" ref="AO22" si="28">EDATE(AN22,12)</f>
        <v>54058</v>
      </c>
      <c r="AP22" s="59">
        <f t="shared" ref="AP22" si="29">EDATE(AO22,12)</f>
        <v>54424</v>
      </c>
      <c r="AQ22" s="59">
        <f t="shared" ref="AQ22" si="30">EDATE(AP22,12)</f>
        <v>54789</v>
      </c>
    </row>
    <row r="23" spans="1:76">
      <c r="C23" s="19"/>
      <c r="D23" s="19"/>
      <c r="H23" s="3"/>
      <c r="I23" s="16"/>
      <c r="J23" s="16"/>
      <c r="K23" s="16"/>
      <c r="L23" s="16"/>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row>
    <row r="24" spans="1:76">
      <c r="C24" s="19"/>
      <c r="D24" s="19"/>
      <c r="H24" s="3"/>
      <c r="I24" s="16"/>
      <c r="J24" s="16"/>
      <c r="K24" s="16"/>
      <c r="L24" s="16"/>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row>
    <row r="25" spans="1:76">
      <c r="C25" s="19"/>
      <c r="D25" s="19"/>
      <c r="H25" s="3"/>
      <c r="I25" s="16"/>
      <c r="J25" s="16"/>
      <c r="K25" s="16"/>
      <c r="L25" s="16"/>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row>
    <row r="26" spans="1:76">
      <c r="C26" s="19"/>
      <c r="D26" s="19"/>
      <c r="H26" s="3"/>
      <c r="I26" s="16"/>
      <c r="J26" s="16"/>
      <c r="K26" s="16"/>
      <c r="L26" s="16"/>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row>
    <row r="27" spans="1:76">
      <c r="C27" s="19"/>
      <c r="D27" s="19"/>
      <c r="H27" s="3"/>
      <c r="I27" s="16"/>
      <c r="J27" s="16"/>
      <c r="K27" s="16"/>
      <c r="L27" s="16"/>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row>
    <row r="28" spans="1:76">
      <c r="C28" s="19"/>
      <c r="D28" s="19"/>
      <c r="H28" s="3"/>
      <c r="I28" s="16"/>
      <c r="J28" s="16"/>
      <c r="K28" s="16"/>
      <c r="L28" s="16"/>
      <c r="M28" s="29"/>
      <c r="N28" s="29"/>
      <c r="O28" s="29"/>
      <c r="P28" s="29"/>
      <c r="Q28" s="29"/>
      <c r="R28" s="29"/>
      <c r="S28" s="29"/>
      <c r="T28" s="29"/>
      <c r="U28" s="29"/>
      <c r="V28" s="29"/>
      <c r="W28" s="29"/>
      <c r="X28" s="29"/>
      <c r="Y28" s="29"/>
      <c r="Z28" s="29"/>
      <c r="AA28" s="29"/>
      <c r="AB28" s="29"/>
      <c r="AC28" s="29"/>
      <c r="AD28" s="29"/>
      <c r="AE28" s="29"/>
      <c r="AF28" s="29"/>
      <c r="AG28" s="29"/>
      <c r="AH28" s="29"/>
      <c r="AI28" s="29"/>
      <c r="AJ28" s="29"/>
      <c r="AK28" s="29"/>
      <c r="AL28" s="29"/>
      <c r="AM28" s="29"/>
      <c r="AN28" s="29"/>
      <c r="AO28" s="29"/>
      <c r="AP28" s="29"/>
      <c r="AQ28" s="29"/>
    </row>
    <row r="29" spans="1:76">
      <c r="C29" s="19"/>
      <c r="D29" s="19"/>
      <c r="H29" s="3"/>
      <c r="I29" s="16"/>
      <c r="J29" s="16"/>
      <c r="K29" s="16"/>
      <c r="L29" s="16"/>
      <c r="M29" s="29"/>
      <c r="N29" s="29"/>
      <c r="O29" s="29"/>
      <c r="P29" s="29"/>
      <c r="Q29" s="29"/>
      <c r="R29" s="29"/>
      <c r="S29" s="29"/>
      <c r="T29" s="29"/>
      <c r="U29" s="29"/>
      <c r="V29" s="29"/>
      <c r="W29" s="29"/>
      <c r="X29" s="29"/>
      <c r="Y29" s="29"/>
      <c r="Z29" s="29"/>
      <c r="AA29" s="29"/>
      <c r="AB29" s="29"/>
      <c r="AC29" s="29"/>
      <c r="AD29" s="29"/>
      <c r="AE29" s="29"/>
      <c r="AF29" s="29"/>
      <c r="AG29" s="29"/>
      <c r="AH29" s="29"/>
      <c r="AI29" s="29"/>
      <c r="AJ29" s="29"/>
      <c r="AK29" s="29"/>
      <c r="AL29" s="29"/>
      <c r="AM29" s="29"/>
      <c r="AN29" s="29"/>
      <c r="AO29" s="29"/>
      <c r="AP29" s="29"/>
      <c r="AQ29" s="29"/>
    </row>
    <row r="30" spans="1:76">
      <c r="C30" s="19"/>
      <c r="D30" s="19"/>
      <c r="H30" s="3"/>
      <c r="I30" s="16"/>
      <c r="J30" s="16"/>
      <c r="K30" s="16"/>
      <c r="L30" s="16"/>
      <c r="M30" s="29"/>
      <c r="N30" s="29"/>
      <c r="O30" s="29"/>
      <c r="P30" s="29"/>
      <c r="Q30" s="29"/>
      <c r="R30" s="29"/>
      <c r="S30" s="29"/>
      <c r="T30" s="29"/>
      <c r="U30" s="29"/>
      <c r="V30" s="29"/>
      <c r="W30" s="29"/>
      <c r="X30" s="29"/>
      <c r="Y30" s="29"/>
      <c r="Z30" s="29"/>
      <c r="AA30" s="29"/>
      <c r="AB30" s="29"/>
      <c r="AC30" s="29"/>
      <c r="AD30" s="29"/>
      <c r="AE30" s="29"/>
      <c r="AF30" s="29"/>
      <c r="AG30" s="29"/>
      <c r="AH30" s="29"/>
      <c r="AI30" s="29"/>
      <c r="AJ30" s="29"/>
      <c r="AK30" s="29"/>
      <c r="AL30" s="29"/>
      <c r="AM30" s="29"/>
      <c r="AN30" s="29"/>
      <c r="AO30" s="29"/>
      <c r="AP30" s="29"/>
      <c r="AQ30" s="29"/>
    </row>
    <row r="31" spans="1:76">
      <c r="C31" s="19"/>
      <c r="D31" s="19"/>
      <c r="H31" s="3"/>
      <c r="I31" s="16"/>
      <c r="J31" s="16"/>
      <c r="K31" s="16"/>
      <c r="L31" s="16"/>
      <c r="M31" s="29"/>
      <c r="N31" s="29"/>
      <c r="O31" s="29"/>
      <c r="P31" s="29"/>
      <c r="Q31" s="29"/>
      <c r="R31" s="29"/>
      <c r="S31" s="29"/>
      <c r="T31" s="29"/>
      <c r="U31" s="29"/>
      <c r="V31" s="29"/>
      <c r="W31" s="29"/>
      <c r="X31" s="29"/>
      <c r="Y31" s="29"/>
      <c r="Z31" s="29"/>
      <c r="AA31" s="29"/>
      <c r="AB31" s="29"/>
      <c r="AC31" s="29"/>
      <c r="AD31" s="29"/>
      <c r="AE31" s="29"/>
      <c r="AF31" s="29"/>
      <c r="AG31" s="29"/>
      <c r="AH31" s="29"/>
      <c r="AI31" s="29"/>
      <c r="AJ31" s="29"/>
      <c r="AK31" s="29"/>
      <c r="AL31" s="29"/>
      <c r="AM31" s="29"/>
      <c r="AN31" s="29"/>
      <c r="AO31" s="29"/>
      <c r="AP31" s="29"/>
      <c r="AQ31" s="29"/>
    </row>
    <row r="32" spans="1:76">
      <c r="C32" s="19"/>
      <c r="D32" s="19"/>
      <c r="H32" s="3"/>
      <c r="I32" s="16"/>
      <c r="J32" s="16"/>
      <c r="K32" s="16"/>
      <c r="L32" s="16"/>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row>
    <row r="33" spans="3:43">
      <c r="C33" s="19"/>
      <c r="D33" s="19"/>
      <c r="H33" s="3"/>
      <c r="I33" s="16"/>
      <c r="J33" s="16"/>
      <c r="K33" s="16"/>
      <c r="L33" s="16"/>
      <c r="M33" s="29"/>
      <c r="N33" s="29"/>
      <c r="O33" s="29"/>
      <c r="P33" s="29"/>
      <c r="Q33" s="29"/>
      <c r="R33" s="29"/>
      <c r="S33" s="29"/>
      <c r="T33" s="29"/>
      <c r="U33" s="29"/>
      <c r="V33" s="29"/>
      <c r="W33" s="29"/>
      <c r="X33" s="29"/>
      <c r="Y33" s="29"/>
      <c r="Z33" s="29"/>
      <c r="AA33" s="29"/>
      <c r="AB33" s="29"/>
      <c r="AC33" s="29"/>
      <c r="AD33" s="29"/>
      <c r="AE33" s="29"/>
      <c r="AF33" s="29"/>
      <c r="AG33" s="29"/>
      <c r="AH33" s="29"/>
      <c r="AI33" s="29"/>
      <c r="AJ33" s="29"/>
      <c r="AK33" s="29"/>
      <c r="AL33" s="29"/>
      <c r="AM33" s="29"/>
      <c r="AN33" s="29"/>
      <c r="AO33" s="29"/>
      <c r="AP33" s="29"/>
      <c r="AQ33" s="29"/>
    </row>
    <row r="34" spans="3:43">
      <c r="C34" s="19"/>
      <c r="D34" s="19"/>
      <c r="H34" s="3"/>
      <c r="I34" s="16"/>
      <c r="J34" s="16"/>
      <c r="K34" s="16"/>
      <c r="L34" s="16"/>
      <c r="M34" s="29"/>
      <c r="N34" s="29"/>
      <c r="O34" s="29"/>
      <c r="P34" s="29"/>
      <c r="Q34" s="29"/>
      <c r="R34" s="29"/>
      <c r="S34" s="29"/>
      <c r="T34" s="29"/>
      <c r="U34" s="29"/>
      <c r="V34" s="29"/>
      <c r="W34" s="29"/>
      <c r="X34" s="29"/>
      <c r="Y34" s="29"/>
      <c r="Z34" s="29"/>
      <c r="AA34" s="29"/>
      <c r="AB34" s="29"/>
      <c r="AC34" s="29"/>
      <c r="AD34" s="29"/>
      <c r="AE34" s="29"/>
      <c r="AF34" s="29"/>
      <c r="AG34" s="29"/>
      <c r="AH34" s="29"/>
      <c r="AI34" s="29"/>
      <c r="AJ34" s="29"/>
      <c r="AK34" s="29"/>
      <c r="AL34" s="29"/>
      <c r="AM34" s="29"/>
      <c r="AN34" s="29"/>
      <c r="AO34" s="29"/>
      <c r="AP34" s="29"/>
      <c r="AQ34" s="29"/>
    </row>
    <row r="35" spans="3:43">
      <c r="C35" s="19"/>
      <c r="D35" s="19"/>
      <c r="H35" s="3"/>
      <c r="I35" s="16"/>
      <c r="J35" s="16"/>
      <c r="K35" s="16"/>
      <c r="L35" s="16"/>
      <c r="M35" s="29"/>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row>
    <row r="36" spans="3:43">
      <c r="C36" s="19"/>
      <c r="D36" s="19"/>
      <c r="H36" s="3"/>
      <c r="I36" s="16"/>
      <c r="J36" s="16"/>
      <c r="K36" s="16"/>
      <c r="L36" s="16"/>
      <c r="M36" s="29"/>
      <c r="N36" s="29"/>
      <c r="O36" s="29"/>
      <c r="P36" s="29"/>
      <c r="Q36" s="29"/>
      <c r="R36" s="29"/>
      <c r="S36" s="29"/>
      <c r="T36" s="29"/>
      <c r="U36" s="29"/>
      <c r="V36" s="29"/>
      <c r="W36" s="29"/>
      <c r="X36" s="29"/>
      <c r="Y36" s="29"/>
      <c r="Z36" s="29"/>
      <c r="AA36" s="29"/>
      <c r="AB36" s="29"/>
      <c r="AC36" s="29"/>
      <c r="AD36" s="29"/>
      <c r="AE36" s="29"/>
      <c r="AF36" s="29"/>
      <c r="AG36" s="29"/>
      <c r="AH36" s="29"/>
      <c r="AI36" s="29"/>
      <c r="AJ36" s="29"/>
      <c r="AK36" s="29"/>
      <c r="AL36" s="29"/>
      <c r="AM36" s="29"/>
      <c r="AN36" s="29"/>
      <c r="AO36" s="29"/>
      <c r="AP36" s="29"/>
      <c r="AQ36" s="29"/>
    </row>
    <row r="37" spans="3:43">
      <c r="C37" s="19"/>
      <c r="D37" s="19"/>
      <c r="H37" s="3"/>
      <c r="I37" s="16"/>
      <c r="J37" s="16"/>
      <c r="K37" s="16"/>
      <c r="L37" s="16"/>
      <c r="M37" s="29"/>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row>
    <row r="38" spans="3:43">
      <c r="C38" s="19"/>
      <c r="D38" s="19"/>
      <c r="H38" s="3"/>
      <c r="I38" s="16"/>
      <c r="J38" s="16"/>
      <c r="K38" s="16"/>
      <c r="L38" s="16"/>
      <c r="M38" s="29"/>
      <c r="N38" s="29"/>
      <c r="O38" s="29"/>
      <c r="P38" s="29"/>
      <c r="Q38" s="29"/>
      <c r="R38" s="29"/>
      <c r="S38" s="29"/>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row>
    <row r="39" spans="3:43">
      <c r="C39" s="19"/>
      <c r="D39" s="19"/>
      <c r="H39" s="3"/>
      <c r="I39" s="16"/>
      <c r="J39" s="16"/>
      <c r="K39" s="16"/>
      <c r="L39" s="16"/>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9"/>
      <c r="AM39" s="29"/>
      <c r="AN39" s="29"/>
      <c r="AO39" s="29"/>
      <c r="AP39" s="29"/>
      <c r="AQ39" s="29"/>
    </row>
    <row r="40" spans="3:43">
      <c r="C40" s="19"/>
      <c r="D40" s="19"/>
      <c r="H40" s="3"/>
      <c r="I40" s="16"/>
      <c r="J40" s="16"/>
      <c r="K40" s="16"/>
      <c r="L40" s="16"/>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9"/>
      <c r="AM40" s="29"/>
      <c r="AN40" s="29"/>
      <c r="AO40" s="29"/>
      <c r="AP40" s="29"/>
      <c r="AQ40" s="29"/>
    </row>
    <row r="41" spans="3:43">
      <c r="C41" s="19"/>
      <c r="D41" s="19"/>
      <c r="H41" s="3"/>
      <c r="I41" s="16"/>
      <c r="J41" s="16"/>
      <c r="K41" s="16"/>
      <c r="L41" s="16"/>
      <c r="M41" s="29"/>
      <c r="N41" s="29"/>
      <c r="O41" s="29"/>
      <c r="P41" s="29"/>
      <c r="Q41" s="29"/>
      <c r="R41" s="29"/>
      <c r="S41" s="29"/>
      <c r="T41" s="29"/>
      <c r="U41" s="29"/>
      <c r="V41" s="29"/>
      <c r="W41" s="29"/>
      <c r="X41" s="29"/>
      <c r="Y41" s="29"/>
      <c r="Z41" s="29"/>
      <c r="AA41" s="29"/>
      <c r="AB41" s="29"/>
      <c r="AC41" s="29"/>
      <c r="AD41" s="29"/>
      <c r="AE41" s="29"/>
      <c r="AF41" s="29"/>
      <c r="AG41" s="29"/>
      <c r="AH41" s="29"/>
      <c r="AI41" s="29"/>
      <c r="AJ41" s="29"/>
      <c r="AK41" s="29"/>
      <c r="AL41" s="29"/>
      <c r="AM41" s="29"/>
      <c r="AN41" s="29"/>
      <c r="AO41" s="29"/>
      <c r="AP41" s="29"/>
      <c r="AQ41" s="29"/>
    </row>
    <row r="42" spans="3:43">
      <c r="C42" s="19"/>
      <c r="D42" s="19"/>
      <c r="H42" s="3"/>
      <c r="I42" s="16"/>
      <c r="J42" s="16"/>
      <c r="K42" s="16"/>
      <c r="L42" s="16"/>
      <c r="M42" s="29"/>
      <c r="N42" s="29"/>
      <c r="O42" s="29"/>
      <c r="P42" s="29"/>
      <c r="Q42" s="29"/>
      <c r="R42" s="29"/>
      <c r="S42" s="29"/>
      <c r="T42" s="29"/>
      <c r="U42" s="29"/>
      <c r="V42" s="29"/>
      <c r="W42" s="29"/>
      <c r="X42" s="29"/>
      <c r="Y42" s="29"/>
      <c r="Z42" s="29"/>
      <c r="AA42" s="29"/>
      <c r="AB42" s="29"/>
      <c r="AC42" s="29"/>
      <c r="AD42" s="29"/>
      <c r="AE42" s="29"/>
      <c r="AF42" s="29"/>
      <c r="AG42" s="29"/>
      <c r="AH42" s="29"/>
      <c r="AI42" s="29"/>
      <c r="AJ42" s="29"/>
      <c r="AK42" s="29"/>
      <c r="AL42" s="29"/>
      <c r="AM42" s="29"/>
      <c r="AN42" s="29"/>
      <c r="AO42" s="29"/>
      <c r="AP42" s="29"/>
      <c r="AQ42" s="29"/>
    </row>
    <row r="43" spans="3:43">
      <c r="C43" s="19"/>
      <c r="D43" s="19"/>
      <c r="H43" s="3"/>
      <c r="I43" s="16"/>
      <c r="J43" s="16"/>
      <c r="K43" s="16"/>
      <c r="L43" s="16"/>
      <c r="M43" s="29"/>
      <c r="N43" s="29"/>
      <c r="O43" s="29"/>
      <c r="P43" s="29"/>
      <c r="Q43" s="29"/>
      <c r="R43" s="29"/>
      <c r="S43" s="29"/>
      <c r="T43" s="29"/>
      <c r="U43" s="29"/>
      <c r="V43" s="29"/>
      <c r="W43" s="29"/>
      <c r="X43" s="29"/>
      <c r="Y43" s="29"/>
      <c r="Z43" s="29"/>
      <c r="AA43" s="29"/>
      <c r="AB43" s="29"/>
      <c r="AC43" s="29"/>
      <c r="AD43" s="29"/>
      <c r="AE43" s="29"/>
      <c r="AF43" s="29"/>
      <c r="AG43" s="29"/>
      <c r="AH43" s="29"/>
      <c r="AI43" s="29"/>
      <c r="AJ43" s="29"/>
      <c r="AK43" s="29"/>
      <c r="AL43" s="29"/>
      <c r="AM43" s="29"/>
      <c r="AN43" s="29"/>
      <c r="AO43" s="29"/>
      <c r="AP43" s="29"/>
      <c r="AQ43" s="29"/>
    </row>
    <row r="44" spans="3:43">
      <c r="C44" s="19"/>
      <c r="D44" s="19"/>
      <c r="H44" s="3"/>
      <c r="I44" s="16"/>
      <c r="J44" s="16"/>
      <c r="K44" s="16"/>
      <c r="L44" s="16"/>
      <c r="M44" s="29"/>
      <c r="N44" s="29"/>
      <c r="O44" s="29"/>
      <c r="P44" s="29"/>
      <c r="Q44" s="29"/>
      <c r="R44" s="29"/>
      <c r="S44" s="29"/>
      <c r="T44" s="29"/>
      <c r="U44" s="29"/>
      <c r="V44" s="29"/>
      <c r="W44" s="29"/>
      <c r="X44" s="29"/>
      <c r="Y44" s="29"/>
      <c r="Z44" s="29"/>
      <c r="AA44" s="29"/>
      <c r="AB44" s="29"/>
      <c r="AC44" s="29"/>
      <c r="AD44" s="29"/>
      <c r="AE44" s="29"/>
      <c r="AF44" s="29"/>
      <c r="AG44" s="29"/>
      <c r="AH44" s="29"/>
      <c r="AI44" s="29"/>
      <c r="AJ44" s="29"/>
      <c r="AK44" s="29"/>
      <c r="AL44" s="29"/>
      <c r="AM44" s="29"/>
      <c r="AN44" s="29"/>
      <c r="AO44" s="29"/>
      <c r="AP44" s="29"/>
      <c r="AQ44" s="29"/>
    </row>
    <row r="45" spans="3:43">
      <c r="C45" s="19"/>
      <c r="D45" s="19"/>
      <c r="H45" s="3"/>
      <c r="I45" s="16"/>
      <c r="J45" s="16"/>
      <c r="K45" s="16"/>
      <c r="L45" s="16"/>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9"/>
      <c r="AM45" s="29"/>
      <c r="AN45" s="29"/>
      <c r="AO45" s="29"/>
      <c r="AP45" s="29"/>
      <c r="AQ45" s="29"/>
    </row>
    <row r="46" spans="3:43">
      <c r="C46" s="19"/>
      <c r="D46" s="19"/>
      <c r="H46" s="3"/>
      <c r="I46" s="16"/>
      <c r="J46" s="16"/>
      <c r="K46" s="16"/>
      <c r="L46" s="16"/>
      <c r="M46" s="42"/>
      <c r="N46" s="42"/>
      <c r="O46" s="29"/>
      <c r="P46" s="29"/>
      <c r="Q46" s="29"/>
      <c r="R46" s="29"/>
      <c r="S46" s="29"/>
      <c r="T46" s="29"/>
      <c r="U46" s="29"/>
      <c r="V46" s="29"/>
      <c r="W46" s="29"/>
      <c r="X46" s="29"/>
      <c r="Y46" s="29"/>
      <c r="Z46" s="29"/>
      <c r="AA46" s="29"/>
      <c r="AB46" s="29"/>
      <c r="AC46" s="29"/>
      <c r="AD46" s="29"/>
      <c r="AE46" s="29"/>
      <c r="AF46" s="29"/>
      <c r="AG46" s="29"/>
      <c r="AH46" s="29"/>
      <c r="AI46" s="29"/>
      <c r="AJ46" s="29"/>
      <c r="AK46" s="29"/>
      <c r="AL46" s="29"/>
      <c r="AM46" s="29"/>
      <c r="AN46" s="29"/>
      <c r="AO46" s="29"/>
      <c r="AP46" s="29"/>
      <c r="AQ46" s="29"/>
    </row>
    <row r="47" spans="3:43">
      <c r="C47" s="19"/>
      <c r="D47" s="19"/>
      <c r="H47" s="3"/>
      <c r="I47" s="16"/>
      <c r="J47" s="16"/>
      <c r="K47" s="16"/>
      <c r="L47" s="16"/>
      <c r="M47" s="42"/>
      <c r="N47" s="42"/>
      <c r="O47" s="29"/>
      <c r="P47" s="29"/>
      <c r="Q47" s="29"/>
      <c r="R47" s="29"/>
      <c r="S47" s="29"/>
      <c r="T47" s="29"/>
      <c r="U47" s="29"/>
      <c r="V47" s="29"/>
      <c r="W47" s="29"/>
      <c r="X47" s="29"/>
      <c r="Y47" s="29"/>
      <c r="Z47" s="29"/>
      <c r="AA47" s="29"/>
      <c r="AB47" s="29"/>
      <c r="AC47" s="29"/>
      <c r="AD47" s="29"/>
      <c r="AE47" s="29"/>
      <c r="AF47" s="29"/>
      <c r="AG47" s="29"/>
      <c r="AH47" s="29"/>
      <c r="AI47" s="29"/>
      <c r="AJ47" s="29"/>
      <c r="AK47" s="29"/>
      <c r="AL47" s="29"/>
      <c r="AM47" s="29"/>
      <c r="AN47" s="29"/>
      <c r="AO47" s="29"/>
      <c r="AP47" s="29"/>
      <c r="AQ47" s="29"/>
    </row>
    <row r="48" spans="3:43">
      <c r="C48" s="19"/>
      <c r="D48" s="19"/>
      <c r="H48" s="3"/>
      <c r="I48" s="16"/>
      <c r="J48" s="16"/>
      <c r="K48" s="16"/>
      <c r="L48" s="16"/>
      <c r="M48" s="42"/>
      <c r="N48" s="42"/>
      <c r="O48" s="29"/>
      <c r="P48" s="29"/>
      <c r="Q48" s="29"/>
      <c r="R48" s="29"/>
      <c r="S48" s="29"/>
      <c r="T48" s="29"/>
      <c r="U48" s="29"/>
      <c r="V48" s="29"/>
      <c r="W48" s="29"/>
      <c r="X48" s="29"/>
      <c r="Y48" s="29"/>
      <c r="Z48" s="29"/>
      <c r="AA48" s="29"/>
      <c r="AB48" s="29"/>
      <c r="AC48" s="29"/>
      <c r="AD48" s="29"/>
      <c r="AE48" s="29"/>
      <c r="AF48" s="29"/>
      <c r="AG48" s="29"/>
      <c r="AH48" s="29"/>
      <c r="AI48" s="29"/>
      <c r="AJ48" s="29"/>
      <c r="AK48" s="29"/>
      <c r="AL48" s="29"/>
      <c r="AM48" s="29"/>
      <c r="AN48" s="29"/>
      <c r="AO48" s="29"/>
      <c r="AP48" s="29"/>
      <c r="AQ48" s="29"/>
    </row>
    <row r="49" spans="1:76">
      <c r="C49" s="19"/>
      <c r="D49" s="19"/>
      <c r="H49" s="3"/>
      <c r="I49" s="16"/>
      <c r="J49" s="16"/>
      <c r="K49" s="16"/>
      <c r="L49" s="16"/>
      <c r="M49" s="42"/>
      <c r="N49" s="42"/>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row>
    <row r="50" spans="1:76">
      <c r="C50" s="19"/>
      <c r="D50" s="19"/>
      <c r="H50" s="3"/>
      <c r="I50" s="16"/>
      <c r="J50" s="16"/>
      <c r="K50" s="16"/>
      <c r="L50" s="16"/>
      <c r="M50" s="42"/>
      <c r="N50" s="42"/>
      <c r="O50" s="29"/>
      <c r="P50" s="29"/>
      <c r="Q50" s="29"/>
      <c r="R50" s="29"/>
      <c r="S50" s="29"/>
      <c r="T50" s="29"/>
      <c r="U50" s="29"/>
      <c r="V50" s="29"/>
      <c r="W50" s="29"/>
      <c r="X50" s="29"/>
      <c r="Y50" s="29"/>
      <c r="Z50" s="29"/>
      <c r="AA50" s="29"/>
      <c r="AB50" s="29"/>
      <c r="AC50" s="29"/>
      <c r="AD50" s="29"/>
      <c r="AE50" s="29"/>
      <c r="AF50" s="29"/>
      <c r="AG50" s="29"/>
      <c r="AH50" s="29"/>
      <c r="AI50" s="29"/>
      <c r="AJ50" s="29"/>
      <c r="AK50" s="29"/>
      <c r="AL50" s="29"/>
      <c r="AM50" s="29"/>
      <c r="AN50" s="29"/>
      <c r="AO50" s="29"/>
      <c r="AP50" s="29"/>
      <c r="AQ50" s="29"/>
    </row>
    <row r="51" spans="1:76">
      <c r="C51" s="19"/>
      <c r="D51" s="19"/>
      <c r="H51" s="3"/>
      <c r="I51" s="16"/>
      <c r="J51" s="16"/>
      <c r="K51" s="16"/>
      <c r="L51" s="16"/>
      <c r="M51" s="42"/>
      <c r="N51" s="42"/>
      <c r="O51" s="29"/>
      <c r="P51" s="29"/>
      <c r="Q51" s="29"/>
      <c r="R51" s="29"/>
      <c r="S51" s="29"/>
      <c r="T51" s="29"/>
      <c r="U51" s="29"/>
      <c r="V51" s="29"/>
      <c r="W51" s="29"/>
      <c r="X51" s="29"/>
      <c r="Y51" s="29"/>
      <c r="Z51" s="29"/>
      <c r="AA51" s="29"/>
      <c r="AB51" s="29"/>
      <c r="AC51" s="29"/>
      <c r="AD51" s="29"/>
      <c r="AE51" s="29"/>
      <c r="AF51" s="29"/>
      <c r="AG51" s="29"/>
      <c r="AH51" s="29"/>
      <c r="AI51" s="29"/>
      <c r="AJ51" s="29"/>
      <c r="AK51" s="29"/>
      <c r="AL51" s="29"/>
      <c r="AM51" s="29"/>
      <c r="AN51" s="29"/>
      <c r="AO51" s="29"/>
      <c r="AP51" s="29"/>
      <c r="AQ51" s="29"/>
    </row>
    <row r="52" spans="1:76">
      <c r="C52" s="19"/>
      <c r="D52" s="19"/>
      <c r="H52" s="3"/>
      <c r="I52" s="16"/>
      <c r="J52" s="16"/>
      <c r="K52" s="16"/>
      <c r="L52" s="16"/>
      <c r="M52" s="42"/>
      <c r="N52" s="42"/>
      <c r="O52" s="29"/>
      <c r="P52" s="29"/>
      <c r="Q52" s="29"/>
      <c r="R52" s="29"/>
      <c r="S52" s="29"/>
      <c r="T52" s="29"/>
      <c r="U52" s="29"/>
      <c r="V52" s="29"/>
      <c r="W52" s="29"/>
      <c r="X52" s="29"/>
      <c r="Y52" s="29"/>
      <c r="Z52" s="29"/>
      <c r="AA52" s="29"/>
      <c r="AB52" s="29"/>
      <c r="AC52" s="29"/>
      <c r="AD52" s="29"/>
      <c r="AE52" s="29"/>
      <c r="AF52" s="29"/>
      <c r="AG52" s="29"/>
      <c r="AH52" s="29"/>
      <c r="AI52" s="29"/>
      <c r="AJ52" s="29"/>
      <c r="AK52" s="29"/>
      <c r="AL52" s="29"/>
      <c r="AM52" s="29"/>
      <c r="AN52" s="29"/>
      <c r="AO52" s="29"/>
      <c r="AP52" s="29"/>
      <c r="AQ52" s="29"/>
    </row>
    <row r="55" spans="1:76" ht="19" thickBot="1">
      <c r="B55" s="9" t="s">
        <v>371</v>
      </c>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row>
    <row r="57" spans="1:76" ht="13">
      <c r="M57" s="6" t="s">
        <v>372</v>
      </c>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S57" s="32"/>
      <c r="AT57" s="32"/>
      <c r="AU57" s="32"/>
    </row>
    <row r="58" spans="1:76" outlineLevel="1">
      <c r="A58" s="27"/>
      <c r="B58" s="27"/>
      <c r="C58" s="27" t="s">
        <v>296</v>
      </c>
      <c r="D58" s="27" t="s">
        <v>318</v>
      </c>
      <c r="E58" s="27"/>
      <c r="G58" s="27"/>
      <c r="H58" s="27"/>
      <c r="I58" s="27"/>
      <c r="J58" s="27"/>
      <c r="K58" s="27"/>
      <c r="L58" s="27"/>
      <c r="M58" s="27" t="s">
        <v>319</v>
      </c>
      <c r="N58" s="27" t="s">
        <v>319</v>
      </c>
      <c r="O58" s="27" t="s">
        <v>319</v>
      </c>
      <c r="P58" s="27" t="s">
        <v>319</v>
      </c>
      <c r="Q58" s="27" t="s">
        <v>319</v>
      </c>
      <c r="R58" s="27" t="s">
        <v>319</v>
      </c>
      <c r="S58" s="27" t="s">
        <v>319</v>
      </c>
      <c r="T58" s="27" t="s">
        <v>319</v>
      </c>
      <c r="U58" s="27" t="s">
        <v>319</v>
      </c>
      <c r="V58" s="27" t="s">
        <v>319</v>
      </c>
      <c r="W58" s="27" t="s">
        <v>319</v>
      </c>
      <c r="X58" s="27" t="s">
        <v>319</v>
      </c>
      <c r="Y58" s="27" t="s">
        <v>319</v>
      </c>
      <c r="Z58" s="27" t="s">
        <v>319</v>
      </c>
      <c r="AA58" s="27" t="s">
        <v>319</v>
      </c>
      <c r="AB58" s="27" t="s">
        <v>319</v>
      </c>
      <c r="AC58" s="27" t="s">
        <v>319</v>
      </c>
      <c r="AD58" s="27" t="s">
        <v>319</v>
      </c>
      <c r="AE58" s="27" t="s">
        <v>319</v>
      </c>
      <c r="AF58" s="27" t="s">
        <v>319</v>
      </c>
      <c r="AG58" s="27" t="s">
        <v>319</v>
      </c>
      <c r="AH58" s="27" t="s">
        <v>319</v>
      </c>
      <c r="AI58" s="27" t="s">
        <v>319</v>
      </c>
      <c r="AJ58" s="27" t="s">
        <v>319</v>
      </c>
      <c r="AK58" s="27" t="s">
        <v>319</v>
      </c>
      <c r="AL58" s="27" t="s">
        <v>319</v>
      </c>
      <c r="AM58" s="27" t="s">
        <v>319</v>
      </c>
      <c r="AN58" s="27" t="s">
        <v>319</v>
      </c>
      <c r="AO58" s="27" t="s">
        <v>319</v>
      </c>
      <c r="AP58" s="27" t="s">
        <v>319</v>
      </c>
      <c r="AQ58" s="27" t="s">
        <v>319</v>
      </c>
      <c r="AR58" s="27"/>
    </row>
    <row r="59" spans="1:76" ht="14">
      <c r="C59" s="6" t="s">
        <v>296</v>
      </c>
      <c r="D59" s="6" t="s">
        <v>318</v>
      </c>
      <c r="H59" s="11" t="s">
        <v>251</v>
      </c>
      <c r="I59" s="16"/>
      <c r="J59" s="16"/>
      <c r="K59" s="16"/>
      <c r="L59" s="16"/>
      <c r="M59" s="59">
        <f>start_year</f>
        <v>43831</v>
      </c>
      <c r="N59" s="59">
        <f>EDATE(M59,12)</f>
        <v>44197</v>
      </c>
      <c r="O59" s="59">
        <f t="shared" ref="O59:AQ59" si="31">EDATE(N59,12)</f>
        <v>44562</v>
      </c>
      <c r="P59" s="59">
        <f t="shared" si="31"/>
        <v>44927</v>
      </c>
      <c r="Q59" s="59">
        <f t="shared" si="31"/>
        <v>45292</v>
      </c>
      <c r="R59" s="59">
        <f t="shared" si="31"/>
        <v>45658</v>
      </c>
      <c r="S59" s="59">
        <f t="shared" si="31"/>
        <v>46023</v>
      </c>
      <c r="T59" s="59">
        <f t="shared" si="31"/>
        <v>46388</v>
      </c>
      <c r="U59" s="59">
        <f t="shared" si="31"/>
        <v>46753</v>
      </c>
      <c r="V59" s="59">
        <f t="shared" si="31"/>
        <v>47119</v>
      </c>
      <c r="W59" s="59">
        <f t="shared" si="31"/>
        <v>47484</v>
      </c>
      <c r="X59" s="59">
        <f t="shared" si="31"/>
        <v>47849</v>
      </c>
      <c r="Y59" s="59">
        <f t="shared" si="31"/>
        <v>48214</v>
      </c>
      <c r="Z59" s="59">
        <f t="shared" si="31"/>
        <v>48580</v>
      </c>
      <c r="AA59" s="59">
        <f t="shared" si="31"/>
        <v>48945</v>
      </c>
      <c r="AB59" s="59">
        <f t="shared" si="31"/>
        <v>49310</v>
      </c>
      <c r="AC59" s="59">
        <f t="shared" si="31"/>
        <v>49675</v>
      </c>
      <c r="AD59" s="59">
        <f t="shared" si="31"/>
        <v>50041</v>
      </c>
      <c r="AE59" s="59">
        <f t="shared" si="31"/>
        <v>50406</v>
      </c>
      <c r="AF59" s="59">
        <f t="shared" si="31"/>
        <v>50771</v>
      </c>
      <c r="AG59" s="59">
        <f t="shared" si="31"/>
        <v>51136</v>
      </c>
      <c r="AH59" s="59">
        <f t="shared" si="31"/>
        <v>51502</v>
      </c>
      <c r="AI59" s="59">
        <f t="shared" si="31"/>
        <v>51867</v>
      </c>
      <c r="AJ59" s="59">
        <f t="shared" si="31"/>
        <v>52232</v>
      </c>
      <c r="AK59" s="59">
        <f t="shared" si="31"/>
        <v>52597</v>
      </c>
      <c r="AL59" s="59">
        <f t="shared" si="31"/>
        <v>52963</v>
      </c>
      <c r="AM59" s="59">
        <f t="shared" si="31"/>
        <v>53328</v>
      </c>
      <c r="AN59" s="59">
        <f t="shared" si="31"/>
        <v>53693</v>
      </c>
      <c r="AO59" s="59">
        <f t="shared" si="31"/>
        <v>54058</v>
      </c>
      <c r="AP59" s="59">
        <f t="shared" si="31"/>
        <v>54424</v>
      </c>
      <c r="AQ59" s="59">
        <f t="shared" si="31"/>
        <v>54789</v>
      </c>
    </row>
    <row r="60" spans="1:76">
      <c r="C60" s="19"/>
      <c r="D60" s="19"/>
      <c r="H60" s="3"/>
      <c r="I60" s="16"/>
      <c r="J60" s="16"/>
      <c r="K60" s="16"/>
      <c r="L60" s="16"/>
      <c r="M60" s="42"/>
      <c r="N60" s="42"/>
      <c r="O60" s="29"/>
      <c r="P60" s="29"/>
      <c r="Q60" s="29"/>
      <c r="R60" s="29"/>
      <c r="S60" s="29"/>
      <c r="T60" s="29"/>
      <c r="U60" s="29"/>
      <c r="V60" s="29"/>
      <c r="W60" s="29"/>
      <c r="X60" s="29"/>
      <c r="Y60" s="29"/>
      <c r="Z60" s="29"/>
      <c r="AA60" s="29"/>
      <c r="AB60" s="29"/>
      <c r="AC60" s="29"/>
      <c r="AD60" s="29"/>
      <c r="AE60" s="29"/>
      <c r="AF60" s="29"/>
      <c r="AG60" s="29"/>
      <c r="AH60" s="29"/>
      <c r="AI60" s="29"/>
      <c r="AJ60" s="29"/>
      <c r="AK60" s="29"/>
      <c r="AL60" s="29"/>
      <c r="AM60" s="29"/>
      <c r="AN60" s="29"/>
      <c r="AO60" s="29"/>
      <c r="AP60" s="29"/>
      <c r="AQ60" s="29"/>
    </row>
    <row r="61" spans="1:76">
      <c r="C61" s="19"/>
      <c r="D61" s="19"/>
      <c r="H61" s="3"/>
      <c r="I61" s="16"/>
      <c r="J61" s="16"/>
      <c r="K61" s="16"/>
      <c r="L61" s="16"/>
      <c r="M61" s="42"/>
      <c r="N61" s="42"/>
      <c r="O61" s="29"/>
      <c r="P61" s="29"/>
      <c r="Q61" s="29"/>
      <c r="R61" s="29"/>
      <c r="S61" s="29"/>
      <c r="T61" s="29"/>
      <c r="U61" s="29"/>
      <c r="V61" s="29"/>
      <c r="W61" s="29"/>
      <c r="X61" s="29"/>
      <c r="Y61" s="29"/>
      <c r="Z61" s="29"/>
      <c r="AA61" s="29"/>
      <c r="AB61" s="29"/>
      <c r="AC61" s="29"/>
      <c r="AD61" s="29"/>
      <c r="AE61" s="29"/>
      <c r="AF61" s="29"/>
      <c r="AG61" s="29"/>
      <c r="AH61" s="29"/>
      <c r="AI61" s="29"/>
      <c r="AJ61" s="29"/>
      <c r="AK61" s="29"/>
      <c r="AL61" s="29"/>
      <c r="AM61" s="29"/>
      <c r="AN61" s="29"/>
      <c r="AO61" s="29"/>
      <c r="AP61" s="29"/>
      <c r="AQ61" s="29"/>
    </row>
    <row r="62" spans="1:76">
      <c r="C62" s="19"/>
      <c r="D62" s="19"/>
      <c r="H62" s="3"/>
      <c r="I62" s="16"/>
      <c r="J62" s="16"/>
      <c r="K62" s="16"/>
      <c r="L62" s="16"/>
      <c r="M62" s="42"/>
      <c r="N62" s="42"/>
      <c r="O62" s="29"/>
      <c r="P62" s="29"/>
      <c r="Q62" s="29"/>
      <c r="R62" s="29"/>
      <c r="S62" s="29"/>
      <c r="T62" s="29"/>
      <c r="U62" s="29"/>
      <c r="V62" s="29"/>
      <c r="W62" s="29"/>
      <c r="X62" s="29"/>
      <c r="Y62" s="29"/>
      <c r="Z62" s="29"/>
      <c r="AA62" s="29"/>
      <c r="AB62" s="29"/>
      <c r="AC62" s="29"/>
      <c r="AD62" s="29"/>
      <c r="AE62" s="29"/>
      <c r="AF62" s="29"/>
      <c r="AG62" s="29"/>
      <c r="AH62" s="29"/>
      <c r="AI62" s="29"/>
      <c r="AJ62" s="29"/>
      <c r="AK62" s="29"/>
      <c r="AL62" s="29"/>
      <c r="AM62" s="29"/>
      <c r="AN62" s="29"/>
      <c r="AO62" s="29"/>
      <c r="AP62" s="29"/>
      <c r="AQ62" s="29"/>
    </row>
    <row r="63" spans="1:76">
      <c r="C63" s="19"/>
      <c r="D63" s="19"/>
      <c r="H63" s="3"/>
      <c r="I63" s="16"/>
      <c r="J63" s="16"/>
      <c r="K63" s="16"/>
      <c r="L63" s="16"/>
      <c r="M63" s="42"/>
      <c r="N63" s="42"/>
      <c r="O63" s="29"/>
      <c r="P63" s="29"/>
      <c r="Q63" s="29"/>
      <c r="R63" s="29"/>
      <c r="S63" s="29"/>
      <c r="T63" s="29"/>
      <c r="U63" s="29"/>
      <c r="V63" s="29"/>
      <c r="W63" s="29"/>
      <c r="X63" s="29"/>
      <c r="Y63" s="29"/>
      <c r="Z63" s="29"/>
      <c r="AA63" s="29"/>
      <c r="AB63" s="29"/>
      <c r="AC63" s="29"/>
      <c r="AD63" s="29"/>
      <c r="AE63" s="29"/>
      <c r="AF63" s="29"/>
      <c r="AG63" s="29"/>
      <c r="AH63" s="29"/>
      <c r="AI63" s="29"/>
      <c r="AJ63" s="29"/>
      <c r="AK63" s="29"/>
      <c r="AL63" s="29"/>
      <c r="AM63" s="29"/>
      <c r="AN63" s="29"/>
      <c r="AO63" s="29"/>
      <c r="AP63" s="29"/>
      <c r="AQ63" s="29"/>
    </row>
    <row r="64" spans="1:76">
      <c r="C64" s="19"/>
      <c r="D64" s="19"/>
      <c r="H64" s="3"/>
      <c r="I64" s="16"/>
      <c r="J64" s="16"/>
      <c r="K64" s="16"/>
      <c r="L64" s="16"/>
      <c r="M64" s="42"/>
      <c r="N64" s="42"/>
      <c r="O64" s="29"/>
      <c r="P64" s="29"/>
      <c r="Q64" s="29"/>
      <c r="R64" s="29"/>
      <c r="S64" s="29"/>
      <c r="T64" s="29"/>
      <c r="U64" s="29"/>
      <c r="V64" s="29"/>
      <c r="W64" s="29"/>
      <c r="X64" s="29"/>
      <c r="Y64" s="29"/>
      <c r="Z64" s="29"/>
      <c r="AA64" s="29"/>
      <c r="AB64" s="29"/>
      <c r="AC64" s="29"/>
      <c r="AD64" s="29"/>
      <c r="AE64" s="29"/>
      <c r="AF64" s="29"/>
      <c r="AG64" s="29"/>
      <c r="AH64" s="29"/>
      <c r="AI64" s="29"/>
      <c r="AJ64" s="29"/>
      <c r="AK64" s="29"/>
      <c r="AL64" s="29"/>
      <c r="AM64" s="29"/>
      <c r="AN64" s="29"/>
      <c r="AO64" s="29"/>
      <c r="AP64" s="29"/>
      <c r="AQ64" s="29"/>
    </row>
    <row r="65" spans="3:43">
      <c r="C65" s="19"/>
      <c r="D65" s="19"/>
      <c r="H65" s="3"/>
      <c r="I65" s="16"/>
      <c r="J65" s="16"/>
      <c r="K65" s="16"/>
      <c r="L65" s="16"/>
      <c r="M65" s="42"/>
      <c r="N65" s="42"/>
      <c r="O65" s="29"/>
      <c r="P65" s="29"/>
      <c r="Q65" s="29"/>
      <c r="R65" s="29"/>
      <c r="S65" s="29"/>
      <c r="T65" s="29"/>
      <c r="U65" s="29"/>
      <c r="V65" s="29"/>
      <c r="W65" s="29"/>
      <c r="X65" s="29"/>
      <c r="Y65" s="29"/>
      <c r="Z65" s="29"/>
      <c r="AA65" s="29"/>
      <c r="AB65" s="29"/>
      <c r="AC65" s="29"/>
      <c r="AD65" s="29"/>
      <c r="AE65" s="29"/>
      <c r="AF65" s="29"/>
      <c r="AG65" s="29"/>
      <c r="AH65" s="29"/>
      <c r="AI65" s="29"/>
      <c r="AJ65" s="29"/>
      <c r="AK65" s="29"/>
      <c r="AL65" s="29"/>
      <c r="AM65" s="29"/>
      <c r="AN65" s="29"/>
      <c r="AO65" s="29"/>
      <c r="AP65" s="29"/>
      <c r="AQ65" s="29"/>
    </row>
    <row r="66" spans="3:43">
      <c r="C66" s="19"/>
      <c r="D66" s="19"/>
      <c r="H66" s="3"/>
      <c r="I66" s="16"/>
      <c r="J66" s="16"/>
      <c r="K66" s="16"/>
      <c r="L66" s="16"/>
      <c r="M66" s="42"/>
      <c r="N66" s="42"/>
      <c r="O66" s="29"/>
      <c r="P66" s="29"/>
      <c r="Q66" s="29"/>
      <c r="R66" s="29"/>
      <c r="S66" s="29"/>
      <c r="T66" s="29"/>
      <c r="U66" s="29"/>
      <c r="V66" s="29"/>
      <c r="W66" s="29"/>
      <c r="X66" s="29"/>
      <c r="Y66" s="29"/>
      <c r="Z66" s="29"/>
      <c r="AA66" s="29"/>
      <c r="AB66" s="29"/>
      <c r="AC66" s="29"/>
      <c r="AD66" s="29"/>
      <c r="AE66" s="29"/>
      <c r="AF66" s="29"/>
      <c r="AG66" s="29"/>
      <c r="AH66" s="29"/>
      <c r="AI66" s="29"/>
      <c r="AJ66" s="29"/>
      <c r="AK66" s="29"/>
      <c r="AL66" s="29"/>
      <c r="AM66" s="29"/>
      <c r="AN66" s="29"/>
      <c r="AO66" s="29"/>
      <c r="AP66" s="29"/>
      <c r="AQ66" s="29"/>
    </row>
    <row r="67" spans="3:43">
      <c r="C67" s="19"/>
      <c r="D67" s="19"/>
      <c r="H67" s="3"/>
      <c r="I67" s="16"/>
      <c r="J67" s="16"/>
      <c r="K67" s="16"/>
      <c r="L67" s="16"/>
      <c r="M67" s="42"/>
      <c r="N67" s="42"/>
      <c r="O67" s="29"/>
      <c r="P67" s="29"/>
      <c r="Q67" s="29"/>
      <c r="R67" s="29"/>
      <c r="S67" s="29"/>
      <c r="T67" s="29"/>
      <c r="U67" s="29"/>
      <c r="V67" s="29"/>
      <c r="W67" s="29"/>
      <c r="X67" s="29"/>
      <c r="Y67" s="29"/>
      <c r="Z67" s="29"/>
      <c r="AA67" s="29"/>
      <c r="AB67" s="29"/>
      <c r="AC67" s="29"/>
      <c r="AD67" s="29"/>
      <c r="AE67" s="29"/>
      <c r="AF67" s="29"/>
      <c r="AG67" s="29"/>
      <c r="AH67" s="29"/>
      <c r="AI67" s="29"/>
      <c r="AJ67" s="29"/>
      <c r="AK67" s="29"/>
      <c r="AL67" s="29"/>
      <c r="AM67" s="29"/>
      <c r="AN67" s="29"/>
      <c r="AO67" s="29"/>
      <c r="AP67" s="29"/>
      <c r="AQ67" s="29"/>
    </row>
    <row r="68" spans="3:43">
      <c r="C68" s="19"/>
      <c r="D68" s="19"/>
      <c r="H68" s="3"/>
      <c r="I68" s="16"/>
      <c r="J68" s="16"/>
      <c r="K68" s="16"/>
      <c r="L68" s="16"/>
      <c r="M68" s="42"/>
      <c r="N68" s="42"/>
      <c r="O68" s="29"/>
      <c r="P68" s="29"/>
      <c r="Q68" s="29"/>
      <c r="R68" s="29"/>
      <c r="S68" s="29"/>
      <c r="T68" s="29"/>
      <c r="U68" s="29"/>
      <c r="V68" s="29"/>
      <c r="W68" s="29"/>
      <c r="X68" s="29"/>
      <c r="Y68" s="29"/>
      <c r="Z68" s="29"/>
      <c r="AA68" s="29"/>
      <c r="AB68" s="29"/>
      <c r="AC68" s="29"/>
      <c r="AD68" s="29"/>
      <c r="AE68" s="29"/>
      <c r="AF68" s="29"/>
      <c r="AG68" s="29"/>
      <c r="AH68" s="29"/>
      <c r="AI68" s="29"/>
      <c r="AJ68" s="29"/>
      <c r="AK68" s="29"/>
      <c r="AL68" s="29"/>
      <c r="AM68" s="29"/>
      <c r="AN68" s="29"/>
      <c r="AO68" s="29"/>
      <c r="AP68" s="29"/>
      <c r="AQ68" s="29"/>
    </row>
    <row r="69" spans="3:43">
      <c r="C69" s="19"/>
      <c r="D69" s="19"/>
      <c r="H69" s="3"/>
      <c r="I69" s="16"/>
      <c r="J69" s="16"/>
      <c r="K69" s="16"/>
      <c r="L69" s="16"/>
      <c r="M69" s="42"/>
      <c r="N69" s="42"/>
      <c r="O69" s="29"/>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row>
    <row r="70" spans="3:43">
      <c r="C70" s="19"/>
      <c r="D70" s="19"/>
      <c r="H70" s="3"/>
      <c r="I70" s="16"/>
      <c r="J70" s="16"/>
      <c r="K70" s="16"/>
      <c r="L70" s="16"/>
      <c r="M70" s="42"/>
      <c r="N70" s="42"/>
      <c r="O70" s="29"/>
      <c r="P70" s="29"/>
      <c r="Q70" s="29"/>
      <c r="R70" s="29"/>
      <c r="S70" s="29"/>
      <c r="T70" s="29"/>
      <c r="U70" s="29"/>
      <c r="V70" s="29"/>
      <c r="W70" s="29"/>
      <c r="X70" s="29"/>
      <c r="Y70" s="29"/>
      <c r="Z70" s="29"/>
      <c r="AA70" s="29"/>
      <c r="AB70" s="29"/>
      <c r="AC70" s="29"/>
      <c r="AD70" s="29"/>
      <c r="AE70" s="29"/>
      <c r="AF70" s="29"/>
      <c r="AG70" s="29"/>
      <c r="AH70" s="29"/>
      <c r="AI70" s="29"/>
      <c r="AJ70" s="29"/>
      <c r="AK70" s="29"/>
      <c r="AL70" s="29"/>
      <c r="AM70" s="29"/>
      <c r="AN70" s="29"/>
      <c r="AO70" s="29"/>
      <c r="AP70" s="29"/>
      <c r="AQ70" s="29"/>
    </row>
    <row r="71" spans="3:43">
      <c r="C71" s="19"/>
      <c r="D71" s="19"/>
      <c r="H71" s="3"/>
      <c r="I71" s="16"/>
      <c r="J71" s="16"/>
      <c r="K71" s="16"/>
      <c r="L71" s="16"/>
      <c r="M71" s="42"/>
      <c r="N71" s="42"/>
      <c r="O71" s="29"/>
      <c r="P71" s="29"/>
      <c r="Q71" s="29"/>
      <c r="R71" s="29"/>
      <c r="S71" s="29"/>
      <c r="T71" s="29"/>
      <c r="U71" s="29"/>
      <c r="V71" s="29"/>
      <c r="W71" s="29"/>
      <c r="X71" s="29"/>
      <c r="Y71" s="29"/>
      <c r="Z71" s="29"/>
      <c r="AA71" s="29"/>
      <c r="AB71" s="29"/>
      <c r="AC71" s="29"/>
      <c r="AD71" s="29"/>
      <c r="AE71" s="29"/>
      <c r="AF71" s="29"/>
      <c r="AG71" s="29"/>
      <c r="AH71" s="29"/>
      <c r="AI71" s="29"/>
      <c r="AJ71" s="29"/>
      <c r="AK71" s="29"/>
      <c r="AL71" s="29"/>
      <c r="AM71" s="29"/>
      <c r="AN71" s="29"/>
      <c r="AO71" s="29"/>
      <c r="AP71" s="29"/>
      <c r="AQ71" s="29"/>
    </row>
    <row r="72" spans="3:43">
      <c r="C72" s="19"/>
      <c r="D72" s="19"/>
      <c r="H72" s="3"/>
      <c r="I72" s="16"/>
      <c r="J72" s="16"/>
      <c r="K72" s="16"/>
      <c r="L72" s="16"/>
      <c r="M72" s="42"/>
      <c r="N72" s="42"/>
      <c r="O72" s="29"/>
      <c r="P72" s="29"/>
      <c r="Q72" s="29"/>
      <c r="R72" s="29"/>
      <c r="S72" s="29"/>
      <c r="T72" s="29"/>
      <c r="U72" s="29"/>
      <c r="V72" s="29"/>
      <c r="W72" s="29"/>
      <c r="X72" s="29"/>
      <c r="Y72" s="29"/>
      <c r="Z72" s="29"/>
      <c r="AA72" s="29"/>
      <c r="AB72" s="29"/>
      <c r="AC72" s="29"/>
      <c r="AD72" s="29"/>
      <c r="AE72" s="29"/>
      <c r="AF72" s="29"/>
      <c r="AG72" s="29"/>
      <c r="AH72" s="29"/>
      <c r="AI72" s="29"/>
      <c r="AJ72" s="29"/>
      <c r="AK72" s="29"/>
      <c r="AL72" s="29"/>
      <c r="AM72" s="29"/>
      <c r="AN72" s="29"/>
      <c r="AO72" s="29"/>
      <c r="AP72" s="29"/>
      <c r="AQ72" s="29"/>
    </row>
    <row r="73" spans="3:43">
      <c r="C73" s="19"/>
      <c r="D73" s="19"/>
      <c r="H73" s="3"/>
      <c r="I73" s="16"/>
      <c r="J73" s="16"/>
      <c r="K73" s="16"/>
      <c r="L73" s="16"/>
      <c r="M73" s="42"/>
      <c r="N73" s="42"/>
      <c r="O73" s="29"/>
      <c r="P73" s="29"/>
      <c r="Q73" s="29"/>
      <c r="R73" s="29"/>
      <c r="S73" s="29"/>
      <c r="T73" s="29"/>
      <c r="U73" s="29"/>
      <c r="V73" s="29"/>
      <c r="W73" s="29"/>
      <c r="X73" s="29"/>
      <c r="Y73" s="29"/>
      <c r="Z73" s="29"/>
      <c r="AA73" s="29"/>
      <c r="AB73" s="29"/>
      <c r="AC73" s="29"/>
      <c r="AD73" s="29"/>
      <c r="AE73" s="29"/>
      <c r="AF73" s="29"/>
      <c r="AG73" s="29"/>
      <c r="AH73" s="29"/>
      <c r="AI73" s="29"/>
      <c r="AJ73" s="29"/>
      <c r="AK73" s="29"/>
      <c r="AL73" s="29"/>
      <c r="AM73" s="29"/>
      <c r="AN73" s="29"/>
      <c r="AO73" s="29"/>
      <c r="AP73" s="29"/>
      <c r="AQ73" s="29"/>
    </row>
    <row r="74" spans="3:43">
      <c r="C74" s="19"/>
      <c r="D74" s="19"/>
      <c r="H74" s="3"/>
      <c r="I74" s="16"/>
      <c r="J74" s="16"/>
      <c r="K74" s="16"/>
      <c r="L74" s="16"/>
      <c r="M74" s="42"/>
      <c r="N74" s="42"/>
      <c r="O74" s="29"/>
      <c r="P74" s="29"/>
      <c r="Q74" s="29"/>
      <c r="R74" s="29"/>
      <c r="S74" s="29"/>
      <c r="T74" s="29"/>
      <c r="U74" s="29"/>
      <c r="V74" s="29"/>
      <c r="W74" s="29"/>
      <c r="X74" s="29"/>
      <c r="Y74" s="29"/>
      <c r="Z74" s="29"/>
      <c r="AA74" s="29"/>
      <c r="AB74" s="29"/>
      <c r="AC74" s="29"/>
      <c r="AD74" s="29"/>
      <c r="AE74" s="29"/>
      <c r="AF74" s="29"/>
      <c r="AG74" s="29"/>
      <c r="AH74" s="29"/>
      <c r="AI74" s="29"/>
      <c r="AJ74" s="29"/>
      <c r="AK74" s="29"/>
      <c r="AL74" s="29"/>
      <c r="AM74" s="29"/>
      <c r="AN74" s="29"/>
      <c r="AO74" s="29"/>
      <c r="AP74" s="29"/>
      <c r="AQ74" s="29"/>
    </row>
    <row r="75" spans="3:43">
      <c r="C75" s="19"/>
      <c r="D75" s="19"/>
      <c r="H75" s="3"/>
      <c r="I75" s="16"/>
      <c r="J75" s="16"/>
      <c r="K75" s="16"/>
      <c r="L75" s="16"/>
      <c r="M75" s="42"/>
      <c r="N75" s="42"/>
      <c r="O75" s="29"/>
      <c r="P75" s="29"/>
      <c r="Q75" s="29"/>
      <c r="R75" s="29"/>
      <c r="S75" s="29"/>
      <c r="T75" s="29"/>
      <c r="U75" s="29"/>
      <c r="V75" s="29"/>
      <c r="W75" s="29"/>
      <c r="X75" s="29"/>
      <c r="Y75" s="29"/>
      <c r="Z75" s="29"/>
      <c r="AA75" s="29"/>
      <c r="AB75" s="29"/>
      <c r="AC75" s="29"/>
      <c r="AD75" s="29"/>
      <c r="AE75" s="29"/>
      <c r="AF75" s="29"/>
      <c r="AG75" s="29"/>
      <c r="AH75" s="29"/>
      <c r="AI75" s="29"/>
      <c r="AJ75" s="29"/>
      <c r="AK75" s="29"/>
      <c r="AL75" s="29"/>
      <c r="AM75" s="29"/>
      <c r="AN75" s="29"/>
      <c r="AO75" s="29"/>
      <c r="AP75" s="29"/>
      <c r="AQ75" s="29"/>
    </row>
    <row r="76" spans="3:43">
      <c r="C76" s="19"/>
      <c r="D76" s="19"/>
      <c r="H76" s="3"/>
      <c r="I76" s="16"/>
      <c r="J76" s="16"/>
      <c r="K76" s="16"/>
      <c r="L76" s="16"/>
      <c r="M76" s="42"/>
      <c r="N76" s="42"/>
      <c r="O76" s="29"/>
      <c r="P76" s="29"/>
      <c r="Q76" s="29"/>
      <c r="R76" s="29"/>
      <c r="S76" s="29"/>
      <c r="T76" s="29"/>
      <c r="U76" s="29"/>
      <c r="V76" s="29"/>
      <c r="W76" s="29"/>
      <c r="X76" s="29"/>
      <c r="Y76" s="29"/>
      <c r="Z76" s="29"/>
      <c r="AA76" s="29"/>
      <c r="AB76" s="29"/>
      <c r="AC76" s="29"/>
      <c r="AD76" s="29"/>
      <c r="AE76" s="29"/>
      <c r="AF76" s="29"/>
      <c r="AG76" s="29"/>
      <c r="AH76" s="29"/>
      <c r="AI76" s="29"/>
      <c r="AJ76" s="29"/>
      <c r="AK76" s="29"/>
      <c r="AL76" s="29"/>
      <c r="AM76" s="29"/>
      <c r="AN76" s="29"/>
      <c r="AO76" s="29"/>
      <c r="AP76" s="29"/>
      <c r="AQ76" s="29"/>
    </row>
    <row r="77" spans="3:43">
      <c r="C77" s="19"/>
      <c r="D77" s="19"/>
      <c r="H77" s="3"/>
      <c r="I77" s="16"/>
      <c r="J77" s="16"/>
      <c r="K77" s="16"/>
      <c r="L77" s="16"/>
      <c r="M77" s="42"/>
      <c r="N77" s="42"/>
      <c r="O77" s="29"/>
      <c r="P77" s="29"/>
      <c r="Q77" s="29"/>
      <c r="R77" s="29"/>
      <c r="S77" s="29"/>
      <c r="T77" s="29"/>
      <c r="U77" s="29"/>
      <c r="V77" s="29"/>
      <c r="W77" s="29"/>
      <c r="X77" s="29"/>
      <c r="Y77" s="29"/>
      <c r="Z77" s="29"/>
      <c r="AA77" s="29"/>
      <c r="AB77" s="29"/>
      <c r="AC77" s="29"/>
      <c r="AD77" s="29"/>
      <c r="AE77" s="29"/>
      <c r="AF77" s="29"/>
      <c r="AG77" s="29"/>
      <c r="AH77" s="29"/>
      <c r="AI77" s="29"/>
      <c r="AJ77" s="29"/>
      <c r="AK77" s="29"/>
      <c r="AL77" s="29"/>
      <c r="AM77" s="29"/>
      <c r="AN77" s="29"/>
      <c r="AO77" s="29"/>
      <c r="AP77" s="29"/>
      <c r="AQ77" s="29"/>
    </row>
    <row r="78" spans="3:43">
      <c r="C78" s="19"/>
      <c r="D78" s="19"/>
      <c r="H78" s="3"/>
      <c r="I78" s="16"/>
      <c r="J78" s="16"/>
      <c r="K78" s="16"/>
      <c r="L78" s="16"/>
      <c r="M78" s="42"/>
      <c r="N78" s="42"/>
      <c r="O78" s="29"/>
      <c r="P78" s="29"/>
      <c r="Q78" s="29"/>
      <c r="R78" s="29"/>
      <c r="S78" s="29"/>
      <c r="T78" s="29"/>
      <c r="U78" s="29"/>
      <c r="V78" s="29"/>
      <c r="W78" s="29"/>
      <c r="X78" s="29"/>
      <c r="Y78" s="29"/>
      <c r="Z78" s="29"/>
      <c r="AA78" s="29"/>
      <c r="AB78" s="29"/>
      <c r="AC78" s="29"/>
      <c r="AD78" s="29"/>
      <c r="AE78" s="29"/>
      <c r="AF78" s="29"/>
      <c r="AG78" s="29"/>
      <c r="AH78" s="29"/>
      <c r="AI78" s="29"/>
      <c r="AJ78" s="29"/>
      <c r="AK78" s="29"/>
      <c r="AL78" s="29"/>
      <c r="AM78" s="29"/>
      <c r="AN78" s="29"/>
      <c r="AO78" s="29"/>
      <c r="AP78" s="29"/>
      <c r="AQ78" s="29"/>
    </row>
    <row r="79" spans="3:43">
      <c r="C79" s="19"/>
      <c r="D79" s="19"/>
      <c r="H79" s="3"/>
      <c r="I79" s="16"/>
      <c r="J79" s="16"/>
      <c r="K79" s="16"/>
      <c r="L79" s="16"/>
      <c r="M79" s="42"/>
      <c r="N79" s="42"/>
      <c r="O79" s="29"/>
      <c r="P79" s="29"/>
      <c r="Q79" s="29"/>
      <c r="R79" s="29"/>
      <c r="S79" s="29"/>
      <c r="T79" s="29"/>
      <c r="U79" s="29"/>
      <c r="V79" s="29"/>
      <c r="W79" s="29"/>
      <c r="X79" s="29"/>
      <c r="Y79" s="29"/>
      <c r="Z79" s="29"/>
      <c r="AA79" s="29"/>
      <c r="AB79" s="29"/>
      <c r="AC79" s="29"/>
      <c r="AD79" s="29"/>
      <c r="AE79" s="29"/>
      <c r="AF79" s="29"/>
      <c r="AG79" s="29"/>
      <c r="AH79" s="29"/>
      <c r="AI79" s="29"/>
      <c r="AJ79" s="29"/>
      <c r="AK79" s="29"/>
      <c r="AL79" s="29"/>
      <c r="AM79" s="29"/>
      <c r="AN79" s="29"/>
      <c r="AO79" s="29"/>
      <c r="AP79" s="29"/>
      <c r="AQ79" s="29"/>
    </row>
    <row r="80" spans="3:43">
      <c r="C80" s="19"/>
      <c r="D80" s="19"/>
      <c r="H80" s="3"/>
      <c r="I80" s="16"/>
      <c r="J80" s="16"/>
      <c r="K80" s="16"/>
      <c r="L80" s="16"/>
      <c r="M80" s="42"/>
      <c r="N80" s="42"/>
      <c r="O80" s="29"/>
      <c r="P80" s="29"/>
      <c r="Q80" s="29"/>
      <c r="R80" s="29"/>
      <c r="S80" s="29"/>
      <c r="T80" s="29"/>
      <c r="U80" s="29"/>
      <c r="V80" s="29"/>
      <c r="W80" s="29"/>
      <c r="X80" s="29"/>
      <c r="Y80" s="29"/>
      <c r="Z80" s="29"/>
      <c r="AA80" s="29"/>
      <c r="AB80" s="29"/>
      <c r="AC80" s="29"/>
      <c r="AD80" s="29"/>
      <c r="AE80" s="29"/>
      <c r="AF80" s="29"/>
      <c r="AG80" s="29"/>
      <c r="AH80" s="29"/>
      <c r="AI80" s="29"/>
      <c r="AJ80" s="29"/>
      <c r="AK80" s="29"/>
      <c r="AL80" s="29"/>
      <c r="AM80" s="29"/>
      <c r="AN80" s="29"/>
      <c r="AO80" s="29"/>
      <c r="AP80" s="29"/>
      <c r="AQ80" s="29"/>
    </row>
    <row r="81" spans="3:43">
      <c r="C81" s="19"/>
      <c r="D81" s="19"/>
      <c r="H81" s="3"/>
      <c r="I81" s="16"/>
      <c r="J81" s="16"/>
      <c r="K81" s="16"/>
      <c r="L81" s="16"/>
      <c r="M81" s="42"/>
      <c r="N81" s="42"/>
      <c r="O81" s="29"/>
      <c r="P81" s="29"/>
      <c r="Q81" s="29"/>
      <c r="R81" s="29"/>
      <c r="S81" s="29"/>
      <c r="T81" s="29"/>
      <c r="U81" s="29"/>
      <c r="V81" s="29"/>
      <c r="W81" s="29"/>
      <c r="X81" s="29"/>
      <c r="Y81" s="29"/>
      <c r="Z81" s="29"/>
      <c r="AA81" s="29"/>
      <c r="AB81" s="29"/>
      <c r="AC81" s="29"/>
      <c r="AD81" s="29"/>
      <c r="AE81" s="29"/>
      <c r="AF81" s="29"/>
      <c r="AG81" s="29"/>
      <c r="AH81" s="29"/>
      <c r="AI81" s="29"/>
      <c r="AJ81" s="29"/>
      <c r="AK81" s="29"/>
      <c r="AL81" s="29"/>
      <c r="AM81" s="29"/>
      <c r="AN81" s="29"/>
      <c r="AO81" s="29"/>
      <c r="AP81" s="29"/>
      <c r="AQ81" s="29"/>
    </row>
    <row r="82" spans="3:43">
      <c r="C82" s="19"/>
      <c r="D82" s="19"/>
      <c r="H82" s="3"/>
      <c r="I82" s="16"/>
      <c r="J82" s="16"/>
      <c r="K82" s="16"/>
      <c r="L82" s="16"/>
      <c r="M82" s="42"/>
      <c r="N82" s="42"/>
      <c r="O82" s="29"/>
      <c r="P82" s="29"/>
      <c r="Q82" s="29"/>
      <c r="R82" s="29"/>
      <c r="S82" s="29"/>
      <c r="T82" s="29"/>
      <c r="U82" s="29"/>
      <c r="V82" s="29"/>
      <c r="W82" s="29"/>
      <c r="X82" s="29"/>
      <c r="Y82" s="29"/>
      <c r="Z82" s="29"/>
      <c r="AA82" s="29"/>
      <c r="AB82" s="29"/>
      <c r="AC82" s="29"/>
      <c r="AD82" s="29"/>
      <c r="AE82" s="29"/>
      <c r="AF82" s="29"/>
      <c r="AG82" s="29"/>
      <c r="AH82" s="29"/>
      <c r="AI82" s="29"/>
      <c r="AJ82" s="29"/>
      <c r="AK82" s="29"/>
      <c r="AL82" s="29"/>
      <c r="AM82" s="29"/>
      <c r="AN82" s="29"/>
      <c r="AO82" s="29"/>
      <c r="AP82" s="29"/>
      <c r="AQ82" s="29"/>
    </row>
    <row r="83" spans="3:43">
      <c r="C83" s="19"/>
      <c r="D83" s="19"/>
      <c r="H83" s="3"/>
      <c r="I83" s="16"/>
      <c r="J83" s="16"/>
      <c r="K83" s="16"/>
      <c r="L83" s="16"/>
      <c r="M83" s="42"/>
      <c r="N83" s="42"/>
      <c r="O83" s="29"/>
      <c r="P83" s="29"/>
      <c r="Q83" s="29"/>
      <c r="R83" s="29"/>
      <c r="S83" s="29"/>
      <c r="T83" s="29"/>
      <c r="U83" s="29"/>
      <c r="V83" s="29"/>
      <c r="W83" s="29"/>
      <c r="X83" s="29"/>
      <c r="Y83" s="29"/>
      <c r="Z83" s="29"/>
      <c r="AA83" s="29"/>
      <c r="AB83" s="29"/>
      <c r="AC83" s="29"/>
      <c r="AD83" s="29"/>
      <c r="AE83" s="29"/>
      <c r="AF83" s="29"/>
      <c r="AG83" s="29"/>
      <c r="AH83" s="29"/>
      <c r="AI83" s="29"/>
      <c r="AJ83" s="29"/>
      <c r="AK83" s="29"/>
      <c r="AL83" s="29"/>
      <c r="AM83" s="29"/>
      <c r="AN83" s="29"/>
      <c r="AO83" s="29"/>
      <c r="AP83" s="29"/>
      <c r="AQ83" s="29"/>
    </row>
    <row r="84" spans="3:43">
      <c r="C84" s="19"/>
      <c r="D84" s="19"/>
      <c r="H84" s="3"/>
      <c r="I84" s="16"/>
      <c r="J84" s="16"/>
      <c r="K84" s="16"/>
      <c r="L84" s="16"/>
      <c r="M84" s="42"/>
      <c r="N84" s="42"/>
      <c r="O84" s="29"/>
      <c r="P84" s="29"/>
      <c r="Q84" s="29"/>
      <c r="R84" s="29"/>
      <c r="S84" s="29"/>
      <c r="T84" s="29"/>
      <c r="U84" s="29"/>
      <c r="V84" s="29"/>
      <c r="W84" s="29"/>
      <c r="X84" s="29"/>
      <c r="Y84" s="29"/>
      <c r="Z84" s="29"/>
      <c r="AA84" s="29"/>
      <c r="AB84" s="29"/>
      <c r="AC84" s="29"/>
      <c r="AD84" s="29"/>
      <c r="AE84" s="29"/>
      <c r="AF84" s="29"/>
      <c r="AG84" s="29"/>
      <c r="AH84" s="29"/>
      <c r="AI84" s="29"/>
      <c r="AJ84" s="29"/>
      <c r="AK84" s="29"/>
      <c r="AL84" s="29"/>
      <c r="AM84" s="29"/>
      <c r="AN84" s="29"/>
      <c r="AO84" s="29"/>
      <c r="AP84" s="29"/>
      <c r="AQ84" s="29"/>
    </row>
    <row r="85" spans="3:43">
      <c r="C85" s="19"/>
      <c r="D85" s="19"/>
      <c r="H85" s="3"/>
      <c r="I85" s="16"/>
      <c r="J85" s="16"/>
      <c r="K85" s="16"/>
      <c r="L85" s="16"/>
      <c r="M85" s="42"/>
      <c r="N85" s="42"/>
      <c r="O85" s="29"/>
      <c r="P85" s="29"/>
      <c r="Q85" s="29"/>
      <c r="R85" s="29"/>
      <c r="S85" s="29"/>
      <c r="T85" s="29"/>
      <c r="U85" s="29"/>
      <c r="V85" s="29"/>
      <c r="W85" s="29"/>
      <c r="X85" s="29"/>
      <c r="Y85" s="29"/>
      <c r="Z85" s="29"/>
      <c r="AA85" s="29"/>
      <c r="AB85" s="29"/>
      <c r="AC85" s="29"/>
      <c r="AD85" s="29"/>
      <c r="AE85" s="29"/>
      <c r="AF85" s="29"/>
      <c r="AG85" s="29"/>
      <c r="AH85" s="29"/>
      <c r="AI85" s="29"/>
      <c r="AJ85" s="29"/>
      <c r="AK85" s="29"/>
      <c r="AL85" s="29"/>
      <c r="AM85" s="29"/>
      <c r="AN85" s="29"/>
      <c r="AO85" s="29"/>
      <c r="AP85" s="29"/>
      <c r="AQ85" s="29"/>
    </row>
    <row r="86" spans="3:43">
      <c r="C86" s="19"/>
      <c r="D86" s="19"/>
      <c r="H86" s="3"/>
      <c r="I86" s="16"/>
      <c r="J86" s="16"/>
      <c r="K86" s="16"/>
      <c r="L86" s="16"/>
      <c r="M86" s="42"/>
      <c r="N86" s="42"/>
      <c r="O86" s="29"/>
      <c r="P86" s="29"/>
      <c r="Q86" s="29"/>
      <c r="R86" s="29"/>
      <c r="S86" s="29"/>
      <c r="T86" s="29"/>
      <c r="U86" s="29"/>
      <c r="V86" s="29"/>
      <c r="W86" s="29"/>
      <c r="X86" s="29"/>
      <c r="Y86" s="29"/>
      <c r="Z86" s="29"/>
      <c r="AA86" s="29"/>
      <c r="AB86" s="29"/>
      <c r="AC86" s="29"/>
      <c r="AD86" s="29"/>
      <c r="AE86" s="29"/>
      <c r="AF86" s="29"/>
      <c r="AG86" s="29"/>
      <c r="AH86" s="29"/>
      <c r="AI86" s="29"/>
      <c r="AJ86" s="29"/>
      <c r="AK86" s="29"/>
      <c r="AL86" s="29"/>
      <c r="AM86" s="29"/>
      <c r="AN86" s="29"/>
      <c r="AO86" s="29"/>
      <c r="AP86" s="29"/>
      <c r="AQ86" s="29"/>
    </row>
    <row r="87" spans="3:43">
      <c r="C87" s="19"/>
      <c r="D87" s="19"/>
      <c r="H87" s="3"/>
      <c r="I87" s="16"/>
      <c r="J87" s="16"/>
      <c r="K87" s="16"/>
      <c r="L87" s="16"/>
      <c r="M87" s="42"/>
      <c r="N87" s="42"/>
      <c r="O87" s="29"/>
      <c r="P87" s="29"/>
      <c r="Q87" s="29"/>
      <c r="R87" s="29"/>
      <c r="S87" s="29"/>
      <c r="T87" s="29"/>
      <c r="U87" s="29"/>
      <c r="V87" s="29"/>
      <c r="W87" s="29"/>
      <c r="X87" s="29"/>
      <c r="Y87" s="29"/>
      <c r="Z87" s="29"/>
      <c r="AA87" s="29"/>
      <c r="AB87" s="29"/>
      <c r="AC87" s="29"/>
      <c r="AD87" s="29"/>
      <c r="AE87" s="29"/>
      <c r="AF87" s="29"/>
      <c r="AG87" s="29"/>
      <c r="AH87" s="29"/>
      <c r="AI87" s="29"/>
      <c r="AJ87" s="29"/>
      <c r="AK87" s="29"/>
      <c r="AL87" s="29"/>
      <c r="AM87" s="29"/>
      <c r="AN87" s="29"/>
      <c r="AO87" s="29"/>
      <c r="AP87" s="29"/>
      <c r="AQ87" s="29"/>
    </row>
    <row r="88" spans="3:43">
      <c r="C88" s="19"/>
      <c r="D88" s="19"/>
      <c r="H88" s="3"/>
      <c r="I88" s="16"/>
      <c r="J88" s="16"/>
      <c r="K88" s="16"/>
      <c r="L88" s="16"/>
      <c r="M88" s="42"/>
      <c r="N88" s="42"/>
      <c r="O88" s="29"/>
      <c r="P88" s="29"/>
      <c r="Q88" s="29"/>
      <c r="R88" s="29"/>
      <c r="S88" s="29"/>
      <c r="T88" s="29"/>
      <c r="U88" s="29"/>
      <c r="V88" s="29"/>
      <c r="W88" s="29"/>
      <c r="X88" s="29"/>
      <c r="Y88" s="29"/>
      <c r="Z88" s="29"/>
      <c r="AA88" s="29"/>
      <c r="AB88" s="29"/>
      <c r="AC88" s="29"/>
      <c r="AD88" s="29"/>
      <c r="AE88" s="29"/>
      <c r="AF88" s="29"/>
      <c r="AG88" s="29"/>
      <c r="AH88" s="29"/>
      <c r="AI88" s="29"/>
      <c r="AJ88" s="29"/>
      <c r="AK88" s="29"/>
      <c r="AL88" s="29"/>
      <c r="AM88" s="29"/>
      <c r="AN88" s="29"/>
      <c r="AO88" s="29"/>
      <c r="AP88" s="29"/>
      <c r="AQ88" s="29"/>
    </row>
    <row r="89" spans="3:43">
      <c r="C89" s="19"/>
      <c r="D89" s="19"/>
      <c r="H89" s="3"/>
      <c r="I89" s="16"/>
      <c r="J89" s="16"/>
      <c r="K89" s="16"/>
      <c r="L89" s="16"/>
      <c r="M89" s="42"/>
      <c r="N89" s="42"/>
      <c r="O89" s="29"/>
      <c r="P89" s="29"/>
      <c r="Q89" s="29"/>
      <c r="R89" s="29"/>
      <c r="S89" s="29"/>
      <c r="T89" s="29"/>
      <c r="U89" s="29"/>
      <c r="V89" s="29"/>
      <c r="W89" s="29"/>
      <c r="X89" s="29"/>
      <c r="Y89" s="29"/>
      <c r="Z89" s="29"/>
      <c r="AA89" s="29"/>
      <c r="AB89" s="29"/>
      <c r="AC89" s="29"/>
      <c r="AD89" s="29"/>
      <c r="AE89" s="29"/>
      <c r="AF89" s="29"/>
      <c r="AG89" s="29"/>
      <c r="AH89" s="29"/>
      <c r="AI89" s="29"/>
      <c r="AJ89" s="29"/>
      <c r="AK89" s="29"/>
      <c r="AL89" s="29"/>
      <c r="AM89" s="29"/>
      <c r="AN89" s="29"/>
      <c r="AO89" s="29"/>
      <c r="AP89" s="29"/>
      <c r="AQ89" s="29"/>
    </row>
    <row r="90" spans="3:43">
      <c r="C90" s="19"/>
      <c r="D90" s="19"/>
      <c r="H90" s="3"/>
      <c r="I90" s="16"/>
      <c r="J90" s="16"/>
      <c r="K90" s="16"/>
      <c r="L90" s="16"/>
      <c r="M90" s="42"/>
      <c r="N90" s="42"/>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row>
    <row r="91" spans="3:43">
      <c r="C91" s="19"/>
      <c r="D91" s="19"/>
      <c r="H91" s="3"/>
      <c r="I91" s="16"/>
      <c r="J91" s="16"/>
      <c r="K91" s="16"/>
      <c r="L91" s="16"/>
      <c r="M91" s="42"/>
      <c r="N91" s="42"/>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row>
    <row r="92" spans="3:43">
      <c r="C92" s="19"/>
      <c r="D92" s="19"/>
      <c r="H92" s="3"/>
      <c r="I92" s="16"/>
      <c r="J92" s="16"/>
      <c r="K92" s="16"/>
      <c r="L92" s="16"/>
      <c r="M92" s="42"/>
      <c r="N92" s="42"/>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row>
    <row r="93" spans="3:43">
      <c r="C93" s="19"/>
      <c r="D93" s="19"/>
      <c r="H93" s="3"/>
      <c r="I93" s="16"/>
      <c r="J93" s="16"/>
      <c r="K93" s="16"/>
      <c r="L93" s="16"/>
      <c r="M93" s="42"/>
      <c r="N93" s="42"/>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row>
    <row r="94" spans="3:43">
      <c r="C94" s="19"/>
      <c r="D94" s="19"/>
      <c r="H94" s="3"/>
      <c r="I94" s="16"/>
      <c r="J94" s="16"/>
      <c r="K94" s="16"/>
      <c r="L94" s="16"/>
      <c r="M94" s="42"/>
      <c r="N94" s="42"/>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row>
    <row r="95" spans="3:43">
      <c r="C95" s="19"/>
      <c r="D95" s="19"/>
      <c r="H95" s="3"/>
      <c r="I95" s="16"/>
      <c r="J95" s="16"/>
      <c r="K95" s="16"/>
      <c r="L95" s="16"/>
      <c r="M95" s="42"/>
      <c r="N95" s="42"/>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row>
    <row r="96" spans="3:43">
      <c r="C96" s="19"/>
      <c r="D96" s="19"/>
      <c r="H96" s="3"/>
      <c r="I96" s="16"/>
      <c r="J96" s="16"/>
      <c r="K96" s="16"/>
      <c r="L96" s="16"/>
      <c r="M96" s="42"/>
      <c r="N96" s="42"/>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row>
    <row r="97" spans="3:43">
      <c r="C97" s="19"/>
      <c r="D97" s="19"/>
      <c r="H97" s="3"/>
      <c r="I97" s="16"/>
      <c r="J97" s="16"/>
      <c r="K97" s="16"/>
      <c r="L97" s="16"/>
      <c r="M97" s="42"/>
      <c r="N97" s="42"/>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row>
    <row r="98" spans="3:43">
      <c r="C98" s="19"/>
      <c r="D98" s="19"/>
      <c r="H98" s="3"/>
      <c r="I98" s="16"/>
      <c r="J98" s="16"/>
      <c r="K98" s="16"/>
      <c r="L98" s="16"/>
      <c r="M98" s="42"/>
      <c r="N98" s="42"/>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row>
    <row r="99" spans="3:43">
      <c r="C99" s="19"/>
      <c r="D99" s="19"/>
      <c r="H99" s="3"/>
      <c r="I99" s="16"/>
      <c r="J99" s="16"/>
      <c r="K99" s="16"/>
      <c r="L99" s="16"/>
      <c r="M99" s="42"/>
      <c r="N99" s="42"/>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row>
    <row r="100" spans="3:43">
      <c r="C100" s="19"/>
      <c r="D100" s="19"/>
      <c r="H100" s="3"/>
      <c r="I100" s="16"/>
      <c r="J100" s="16"/>
      <c r="K100" s="16"/>
      <c r="L100" s="16"/>
      <c r="M100" s="42"/>
      <c r="N100" s="42"/>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row>
    <row r="101" spans="3:43">
      <c r="C101" s="19"/>
      <c r="D101" s="19"/>
      <c r="H101" s="3"/>
      <c r="I101" s="16"/>
      <c r="J101" s="16"/>
      <c r="K101" s="16"/>
      <c r="L101" s="16"/>
      <c r="M101" s="42"/>
      <c r="N101" s="42"/>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row>
    <row r="102" spans="3:43">
      <c r="C102" s="19"/>
      <c r="D102" s="19"/>
      <c r="H102" s="3"/>
      <c r="I102" s="16"/>
      <c r="J102" s="16"/>
      <c r="K102" s="16"/>
      <c r="L102" s="16"/>
      <c r="M102" s="42"/>
      <c r="N102" s="42"/>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row>
    <row r="103" spans="3:43">
      <c r="C103" s="19"/>
      <c r="D103" s="19"/>
      <c r="H103" s="3"/>
      <c r="I103" s="16"/>
      <c r="J103" s="16"/>
      <c r="K103" s="16"/>
      <c r="L103" s="16"/>
      <c r="M103" s="42"/>
      <c r="N103" s="42"/>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row>
    <row r="104" spans="3:43">
      <c r="C104" s="19"/>
      <c r="D104" s="19"/>
      <c r="H104" s="3"/>
      <c r="I104" s="16"/>
      <c r="J104" s="16"/>
      <c r="K104" s="16"/>
      <c r="L104" s="16"/>
      <c r="M104" s="42"/>
      <c r="N104" s="42"/>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row>
    <row r="105" spans="3:43">
      <c r="C105" s="19"/>
      <c r="D105" s="19"/>
      <c r="H105" s="3"/>
      <c r="I105" s="16"/>
      <c r="J105" s="16"/>
      <c r="K105" s="16"/>
      <c r="L105" s="16"/>
      <c r="M105" s="42"/>
      <c r="N105" s="42"/>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row>
    <row r="106" spans="3:43">
      <c r="C106" s="19"/>
      <c r="D106" s="19"/>
      <c r="H106" s="3"/>
      <c r="I106" s="16"/>
      <c r="J106" s="16"/>
      <c r="K106" s="16"/>
      <c r="L106" s="16"/>
      <c r="M106" s="42"/>
      <c r="N106" s="42"/>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row>
    <row r="107" spans="3:43">
      <c r="C107" s="19"/>
      <c r="D107" s="19"/>
      <c r="H107" s="3"/>
      <c r="I107" s="16"/>
      <c r="J107" s="16"/>
      <c r="K107" s="16"/>
      <c r="L107" s="16"/>
      <c r="M107" s="42"/>
      <c r="N107" s="42"/>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row>
    <row r="108" spans="3:43">
      <c r="C108" s="19"/>
      <c r="D108" s="19"/>
      <c r="H108" s="3"/>
      <c r="I108" s="16"/>
      <c r="J108" s="16"/>
      <c r="K108" s="16"/>
      <c r="L108" s="16"/>
      <c r="M108" s="42"/>
      <c r="N108" s="42"/>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row>
    <row r="109" spans="3:43">
      <c r="C109" s="19"/>
      <c r="D109" s="19"/>
      <c r="H109" s="3"/>
      <c r="I109" s="16"/>
      <c r="J109" s="16"/>
      <c r="K109" s="16"/>
      <c r="L109" s="16"/>
      <c r="M109" s="42"/>
      <c r="N109" s="42"/>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row>
    <row r="110" spans="3:43">
      <c r="C110" s="19"/>
      <c r="D110" s="19"/>
      <c r="H110" s="3"/>
      <c r="I110" s="16"/>
      <c r="J110" s="16"/>
      <c r="K110" s="16"/>
      <c r="L110" s="16"/>
      <c r="M110" s="42"/>
      <c r="N110" s="42"/>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row>
    <row r="111" spans="3:43">
      <c r="C111" s="19"/>
      <c r="D111" s="19"/>
      <c r="H111" s="3"/>
      <c r="I111" s="16"/>
      <c r="J111" s="16"/>
      <c r="K111" s="16"/>
      <c r="L111" s="16"/>
      <c r="M111" s="42"/>
      <c r="N111" s="42"/>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row>
    <row r="112" spans="3:43">
      <c r="C112" s="19"/>
      <c r="D112" s="19"/>
      <c r="H112" s="3"/>
      <c r="I112" s="16"/>
      <c r="J112" s="16"/>
      <c r="K112" s="16"/>
      <c r="L112" s="16"/>
      <c r="M112" s="42"/>
      <c r="N112" s="42"/>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row>
    <row r="113" spans="3:43">
      <c r="C113" s="19"/>
      <c r="D113" s="19"/>
      <c r="H113" s="3"/>
      <c r="I113" s="16"/>
      <c r="J113" s="16"/>
      <c r="K113" s="16"/>
      <c r="L113" s="16"/>
      <c r="M113" s="42"/>
      <c r="N113" s="42"/>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row>
    <row r="114" spans="3:43">
      <c r="C114" s="19"/>
      <c r="D114" s="19"/>
      <c r="H114" s="3"/>
      <c r="I114" s="16"/>
      <c r="J114" s="16"/>
      <c r="K114" s="16"/>
      <c r="L114" s="16"/>
      <c r="M114" s="42"/>
      <c r="N114" s="42"/>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row>
    <row r="115" spans="3:43">
      <c r="C115" s="19"/>
      <c r="D115" s="19"/>
      <c r="H115" s="3"/>
      <c r="I115" s="16"/>
      <c r="J115" s="16"/>
      <c r="K115" s="16"/>
      <c r="L115" s="16"/>
      <c r="M115" s="42"/>
      <c r="N115" s="42"/>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row>
    <row r="116" spans="3:43">
      <c r="C116" s="19"/>
      <c r="D116" s="19"/>
      <c r="H116" s="3"/>
      <c r="I116" s="16"/>
      <c r="J116" s="16"/>
      <c r="K116" s="16"/>
      <c r="L116" s="16"/>
      <c r="M116" s="42"/>
      <c r="N116" s="42"/>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row>
    <row r="117" spans="3:43">
      <c r="C117" s="19"/>
      <c r="D117" s="19"/>
      <c r="H117" s="3"/>
      <c r="I117" s="16"/>
      <c r="J117" s="16"/>
      <c r="K117" s="16"/>
      <c r="L117" s="16"/>
      <c r="M117" s="42"/>
      <c r="N117" s="42"/>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row>
    <row r="118" spans="3:43">
      <c r="C118" s="19"/>
      <c r="D118" s="19"/>
      <c r="H118" s="3"/>
      <c r="I118" s="16"/>
      <c r="J118" s="16"/>
      <c r="K118" s="16"/>
      <c r="L118" s="16"/>
      <c r="M118" s="42"/>
      <c r="N118" s="42"/>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row>
    <row r="119" spans="3:43">
      <c r="C119" s="19"/>
      <c r="D119" s="19"/>
      <c r="H119" s="3"/>
      <c r="I119" s="16"/>
      <c r="J119" s="16"/>
      <c r="K119" s="16"/>
      <c r="L119" s="16"/>
      <c r="M119" s="42"/>
      <c r="N119" s="42"/>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row>
    <row r="120" spans="3:43">
      <c r="C120" s="19"/>
      <c r="D120" s="19"/>
      <c r="H120" s="3"/>
      <c r="I120" s="16"/>
      <c r="J120" s="16"/>
      <c r="K120" s="16"/>
      <c r="L120" s="16"/>
      <c r="M120" s="42"/>
      <c r="N120" s="42"/>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row>
    <row r="121" spans="3:43">
      <c r="C121" s="19"/>
      <c r="D121" s="19"/>
      <c r="H121" s="3"/>
      <c r="I121" s="16"/>
      <c r="J121" s="16"/>
      <c r="K121" s="16"/>
      <c r="L121" s="16"/>
      <c r="M121" s="42"/>
      <c r="N121" s="42"/>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row>
    <row r="122" spans="3:43">
      <c r="C122" s="19"/>
      <c r="D122" s="19"/>
      <c r="H122" s="3"/>
      <c r="I122" s="16"/>
      <c r="J122" s="16"/>
      <c r="K122" s="16"/>
      <c r="L122" s="16"/>
      <c r="M122" s="42"/>
      <c r="N122" s="42"/>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row>
    <row r="123" spans="3:43">
      <c r="C123" s="19"/>
      <c r="D123" s="19"/>
      <c r="H123" s="3"/>
      <c r="I123" s="16"/>
      <c r="J123" s="16"/>
      <c r="K123" s="16"/>
      <c r="L123" s="16"/>
      <c r="M123" s="42"/>
      <c r="N123" s="42"/>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row>
    <row r="124" spans="3:43">
      <c r="C124" s="19"/>
      <c r="D124" s="19"/>
      <c r="H124" s="3"/>
      <c r="I124" s="16"/>
      <c r="J124" s="16"/>
      <c r="K124" s="16"/>
      <c r="L124" s="16"/>
      <c r="M124" s="42"/>
      <c r="N124" s="42"/>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row>
    <row r="125" spans="3:43">
      <c r="C125" s="19"/>
      <c r="D125" s="19"/>
      <c r="H125" s="3"/>
      <c r="I125" s="16"/>
      <c r="J125" s="16"/>
      <c r="K125" s="16"/>
      <c r="L125" s="16"/>
      <c r="M125" s="42"/>
      <c r="N125" s="42"/>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row>
    <row r="126" spans="3:43">
      <c r="C126" s="19"/>
      <c r="D126" s="19"/>
      <c r="H126" s="3"/>
      <c r="I126" s="16"/>
      <c r="J126" s="16"/>
      <c r="K126" s="16"/>
      <c r="L126" s="16"/>
      <c r="M126" s="42"/>
      <c r="N126" s="42"/>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row>
    <row r="127" spans="3:43">
      <c r="C127" s="19"/>
      <c r="D127" s="19"/>
      <c r="H127" s="3"/>
      <c r="I127" s="16"/>
      <c r="J127" s="16"/>
      <c r="K127" s="16"/>
      <c r="L127" s="16"/>
      <c r="M127" s="42"/>
      <c r="N127" s="42"/>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row>
    <row r="128" spans="3:43">
      <c r="C128" s="19"/>
      <c r="D128" s="19"/>
      <c r="H128" s="3"/>
      <c r="I128" s="16"/>
      <c r="J128" s="16"/>
      <c r="K128" s="16"/>
      <c r="L128" s="16"/>
      <c r="M128" s="42"/>
      <c r="N128" s="42"/>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row>
    <row r="129" spans="3:43">
      <c r="C129" s="19"/>
      <c r="D129" s="19"/>
      <c r="H129" s="3"/>
      <c r="I129" s="16"/>
      <c r="J129" s="16"/>
      <c r="K129" s="16"/>
      <c r="L129" s="16"/>
      <c r="M129" s="42"/>
      <c r="N129" s="42"/>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row>
    <row r="130" spans="3:43">
      <c r="C130" s="19"/>
      <c r="D130" s="19"/>
      <c r="H130" s="3"/>
      <c r="I130" s="16"/>
      <c r="J130" s="16"/>
      <c r="K130" s="16"/>
      <c r="L130" s="16"/>
      <c r="M130" s="42"/>
      <c r="N130" s="42"/>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row>
    <row r="131" spans="3:43">
      <c r="C131" s="19"/>
      <c r="D131" s="19"/>
      <c r="H131" s="3"/>
      <c r="I131" s="16"/>
      <c r="J131" s="16"/>
      <c r="K131" s="16"/>
      <c r="L131" s="16"/>
      <c r="M131" s="42"/>
      <c r="N131" s="42"/>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row>
    <row r="132" spans="3:43">
      <c r="C132" s="19"/>
      <c r="D132" s="19"/>
      <c r="H132" s="3"/>
      <c r="I132" s="16"/>
      <c r="J132" s="16"/>
      <c r="K132" s="16"/>
      <c r="L132" s="16"/>
      <c r="M132" s="42"/>
      <c r="N132" s="42"/>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row>
    <row r="133" spans="3:43">
      <c r="C133" s="19"/>
      <c r="D133" s="19"/>
      <c r="H133" s="3"/>
      <c r="I133" s="16"/>
      <c r="J133" s="16"/>
      <c r="K133" s="16"/>
      <c r="L133" s="16"/>
      <c r="M133" s="42"/>
      <c r="N133" s="42"/>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row>
    <row r="134" spans="3:43">
      <c r="C134" s="19"/>
      <c r="D134" s="19"/>
      <c r="H134" s="3"/>
      <c r="I134" s="16"/>
      <c r="J134" s="16"/>
      <c r="K134" s="16"/>
      <c r="L134" s="16"/>
      <c r="M134" s="42"/>
      <c r="N134" s="42"/>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row>
    <row r="135" spans="3:43">
      <c r="C135" s="19"/>
      <c r="D135" s="19"/>
      <c r="H135" s="3"/>
      <c r="I135" s="16"/>
      <c r="J135" s="16"/>
      <c r="K135" s="16"/>
      <c r="L135" s="16"/>
      <c r="M135" s="42"/>
      <c r="N135" s="42"/>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row>
    <row r="136" spans="3:43">
      <c r="C136" s="19"/>
      <c r="D136" s="19"/>
      <c r="H136" s="3"/>
      <c r="I136" s="16"/>
      <c r="J136" s="16"/>
      <c r="K136" s="16"/>
      <c r="L136" s="16"/>
      <c r="M136" s="42"/>
      <c r="N136" s="42"/>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row>
    <row r="137" spans="3:43">
      <c r="C137" s="19"/>
      <c r="D137" s="19"/>
      <c r="H137" s="3"/>
      <c r="I137" s="16"/>
      <c r="J137" s="16"/>
      <c r="K137" s="16"/>
      <c r="L137" s="16"/>
      <c r="M137" s="42"/>
      <c r="N137" s="42"/>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row>
    <row r="138" spans="3:43">
      <c r="C138" s="19"/>
      <c r="D138" s="19"/>
      <c r="H138" s="3"/>
      <c r="I138" s="16"/>
      <c r="J138" s="16"/>
      <c r="K138" s="16"/>
      <c r="L138" s="16"/>
      <c r="M138" s="42"/>
      <c r="N138" s="42"/>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row>
    <row r="139" spans="3:43">
      <c r="C139" s="19"/>
      <c r="D139" s="19"/>
      <c r="H139" s="3"/>
      <c r="I139" s="16"/>
      <c r="J139" s="16"/>
      <c r="K139" s="16"/>
      <c r="L139" s="16"/>
      <c r="M139" s="42"/>
      <c r="N139" s="42"/>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row>
    <row r="140" spans="3:43">
      <c r="C140" s="19"/>
      <c r="D140" s="19"/>
      <c r="H140" s="3"/>
      <c r="I140" s="16"/>
      <c r="J140" s="16"/>
      <c r="K140" s="16"/>
      <c r="L140" s="16"/>
      <c r="M140" s="42"/>
      <c r="N140" s="42"/>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row>
    <row r="141" spans="3:43">
      <c r="C141" s="19"/>
      <c r="D141" s="19"/>
      <c r="H141" s="3"/>
      <c r="I141" s="16"/>
      <c r="J141" s="16"/>
      <c r="K141" s="16"/>
      <c r="L141" s="16"/>
      <c r="M141" s="42"/>
      <c r="N141" s="42"/>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row>
    <row r="142" spans="3:43">
      <c r="C142" s="19"/>
      <c r="D142" s="19"/>
      <c r="H142" s="3"/>
      <c r="I142" s="16"/>
      <c r="J142" s="16"/>
      <c r="K142" s="16"/>
      <c r="L142" s="16"/>
      <c r="M142" s="42"/>
      <c r="N142" s="42"/>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row>
    <row r="143" spans="3:43">
      <c r="C143" s="19"/>
      <c r="D143" s="19"/>
      <c r="H143" s="3"/>
      <c r="I143" s="16"/>
      <c r="J143" s="16"/>
      <c r="K143" s="16"/>
      <c r="L143" s="16"/>
      <c r="M143" s="42"/>
      <c r="N143" s="42"/>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row>
    <row r="144" spans="3:43">
      <c r="C144" s="19"/>
      <c r="D144" s="19"/>
      <c r="H144" s="3"/>
      <c r="I144" s="16"/>
      <c r="J144" s="16"/>
      <c r="K144" s="16"/>
      <c r="L144" s="16"/>
      <c r="M144" s="42"/>
      <c r="N144" s="42"/>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row>
    <row r="145" spans="3:43">
      <c r="C145" s="19"/>
      <c r="D145" s="19"/>
      <c r="H145" s="3"/>
      <c r="I145" s="16"/>
      <c r="J145" s="16"/>
      <c r="K145" s="16"/>
      <c r="L145" s="16"/>
      <c r="M145" s="42"/>
      <c r="N145" s="42"/>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row>
    <row r="146" spans="3:43">
      <c r="C146" s="19"/>
      <c r="D146" s="19"/>
      <c r="H146" s="3"/>
      <c r="I146" s="16"/>
      <c r="J146" s="16"/>
      <c r="K146" s="16"/>
      <c r="L146" s="16"/>
      <c r="M146" s="42"/>
      <c r="N146" s="42"/>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row>
    <row r="147" spans="3:43">
      <c r="C147" s="19"/>
      <c r="D147" s="19"/>
      <c r="H147" s="3"/>
      <c r="I147" s="16"/>
      <c r="J147" s="16"/>
      <c r="K147" s="16"/>
      <c r="L147" s="16"/>
      <c r="M147" s="42"/>
      <c r="N147" s="42"/>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row>
    <row r="148" spans="3:43">
      <c r="C148" s="19"/>
      <c r="D148" s="19"/>
      <c r="H148" s="3"/>
      <c r="I148" s="16"/>
      <c r="J148" s="16"/>
      <c r="K148" s="16"/>
      <c r="L148" s="16"/>
      <c r="M148" s="42"/>
      <c r="N148" s="42"/>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row>
    <row r="149" spans="3:43">
      <c r="C149" s="19"/>
      <c r="D149" s="19"/>
      <c r="H149" s="3"/>
      <c r="I149" s="16"/>
      <c r="J149" s="16"/>
      <c r="K149" s="16"/>
      <c r="L149" s="16"/>
      <c r="M149" s="42"/>
      <c r="N149" s="42"/>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row>
    <row r="150" spans="3:43">
      <c r="C150" s="19"/>
      <c r="D150" s="19"/>
      <c r="H150" s="3"/>
      <c r="I150" s="16"/>
      <c r="J150" s="16"/>
      <c r="K150" s="16"/>
      <c r="L150" s="16"/>
      <c r="M150" s="42"/>
      <c r="N150" s="42"/>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row>
    <row r="151" spans="3:43">
      <c r="C151" s="19"/>
      <c r="D151" s="19"/>
      <c r="H151" s="3"/>
      <c r="I151" s="16"/>
      <c r="J151" s="16"/>
      <c r="K151" s="16"/>
      <c r="L151" s="16"/>
      <c r="M151" s="42"/>
      <c r="N151" s="42"/>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row>
    <row r="152" spans="3:43">
      <c r="C152" s="19"/>
      <c r="D152" s="19"/>
      <c r="H152" s="3"/>
      <c r="I152" s="16"/>
      <c r="J152" s="16"/>
      <c r="K152" s="16"/>
      <c r="L152" s="16"/>
      <c r="M152" s="42"/>
      <c r="N152" s="42"/>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row>
    <row r="153" spans="3:43">
      <c r="C153" s="19"/>
      <c r="D153" s="19"/>
      <c r="H153" s="3"/>
      <c r="I153" s="16"/>
      <c r="J153" s="16"/>
      <c r="K153" s="16"/>
      <c r="L153" s="16"/>
      <c r="M153" s="42"/>
      <c r="N153" s="42"/>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row>
    <row r="154" spans="3:43">
      <c r="C154" s="19"/>
      <c r="D154" s="19"/>
      <c r="H154" s="3"/>
      <c r="I154" s="16"/>
      <c r="J154" s="16"/>
      <c r="K154" s="16"/>
      <c r="L154" s="16"/>
      <c r="M154" s="42"/>
      <c r="N154" s="42"/>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row>
    <row r="155" spans="3:43">
      <c r="C155" s="19"/>
      <c r="D155" s="19"/>
      <c r="H155" s="3"/>
      <c r="I155" s="16"/>
      <c r="J155" s="16"/>
      <c r="K155" s="16"/>
      <c r="L155" s="16"/>
      <c r="M155" s="42"/>
      <c r="N155" s="42"/>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row>
    <row r="156" spans="3:43">
      <c r="C156" s="19"/>
      <c r="D156" s="19"/>
      <c r="H156" s="3"/>
      <c r="I156" s="16"/>
      <c r="J156" s="16"/>
      <c r="K156" s="16"/>
      <c r="L156" s="16"/>
      <c r="M156" s="42"/>
      <c r="N156" s="42"/>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row>
    <row r="157" spans="3:43">
      <c r="C157" s="19"/>
      <c r="D157" s="19"/>
      <c r="H157" s="3"/>
      <c r="I157" s="16"/>
      <c r="J157" s="16"/>
      <c r="K157" s="16"/>
      <c r="L157" s="16"/>
      <c r="M157" s="42"/>
      <c r="N157" s="42"/>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row>
    <row r="158" spans="3:43">
      <c r="C158" s="19"/>
      <c r="D158" s="19"/>
      <c r="H158" s="3"/>
      <c r="I158" s="16"/>
      <c r="J158" s="16"/>
      <c r="K158" s="16"/>
      <c r="L158" s="16"/>
      <c r="M158" s="42"/>
      <c r="N158" s="42"/>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row>
    <row r="159" spans="3:43">
      <c r="C159" s="19"/>
      <c r="D159" s="19"/>
      <c r="H159" s="3"/>
      <c r="I159" s="16"/>
      <c r="J159" s="16"/>
      <c r="K159" s="16"/>
      <c r="L159" s="16"/>
      <c r="M159" s="42"/>
      <c r="N159" s="42"/>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row>
    <row r="160" spans="3:43">
      <c r="C160" s="19"/>
      <c r="D160" s="19"/>
      <c r="H160" s="3"/>
      <c r="I160" s="16"/>
      <c r="J160" s="16"/>
      <c r="K160" s="16"/>
      <c r="L160" s="16"/>
      <c r="M160" s="42"/>
      <c r="N160" s="42"/>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row>
    <row r="161" spans="3:43">
      <c r="C161" s="19"/>
      <c r="D161" s="19"/>
      <c r="H161" s="3"/>
      <c r="I161" s="16"/>
      <c r="J161" s="16"/>
      <c r="K161" s="16"/>
      <c r="L161" s="16"/>
      <c r="M161" s="42"/>
      <c r="N161" s="42"/>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row>
    <row r="162" spans="3:43">
      <c r="C162" s="19"/>
      <c r="D162" s="19"/>
      <c r="H162" s="3"/>
      <c r="I162" s="16"/>
      <c r="J162" s="16"/>
      <c r="K162" s="16"/>
      <c r="L162" s="16"/>
      <c r="M162" s="42"/>
      <c r="N162" s="42"/>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row>
    <row r="163" spans="3:43">
      <c r="C163" s="19"/>
      <c r="D163" s="19"/>
      <c r="H163" s="3"/>
      <c r="I163" s="16"/>
      <c r="J163" s="16"/>
      <c r="K163" s="16"/>
      <c r="L163" s="16"/>
      <c r="M163" s="42"/>
      <c r="N163" s="42"/>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row>
    <row r="164" spans="3:43">
      <c r="C164" s="19"/>
      <c r="D164" s="19"/>
      <c r="H164" s="3"/>
      <c r="I164" s="16"/>
      <c r="J164" s="16"/>
      <c r="K164" s="16"/>
      <c r="L164" s="16"/>
      <c r="M164" s="42"/>
      <c r="N164" s="42"/>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row>
    <row r="165" spans="3:43">
      <c r="C165" s="19"/>
      <c r="D165" s="19"/>
      <c r="H165" s="3"/>
      <c r="I165" s="16"/>
      <c r="J165" s="16"/>
      <c r="K165" s="16"/>
      <c r="L165" s="16"/>
      <c r="M165" s="42"/>
      <c r="N165" s="42"/>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row>
    <row r="166" spans="3:43">
      <c r="C166" s="19"/>
      <c r="D166" s="19"/>
      <c r="H166" s="3"/>
      <c r="I166" s="16"/>
      <c r="J166" s="16"/>
      <c r="K166" s="16"/>
      <c r="L166" s="16"/>
      <c r="M166" s="42"/>
      <c r="N166" s="42"/>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row>
    <row r="167" spans="3:43">
      <c r="C167" s="19"/>
      <c r="D167" s="19"/>
      <c r="H167" s="3"/>
      <c r="I167" s="16"/>
      <c r="J167" s="16"/>
      <c r="K167" s="16"/>
      <c r="L167" s="16"/>
      <c r="M167" s="42"/>
      <c r="N167" s="42"/>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row>
    <row r="168" spans="3:43">
      <c r="C168" s="19"/>
      <c r="D168" s="19"/>
      <c r="H168" s="3"/>
      <c r="I168" s="16"/>
      <c r="J168" s="16"/>
      <c r="K168" s="16"/>
      <c r="L168" s="16"/>
      <c r="M168" s="42"/>
      <c r="N168" s="42"/>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row>
    <row r="169" spans="3:43">
      <c r="C169" s="19"/>
      <c r="D169" s="19"/>
      <c r="H169" s="3"/>
      <c r="I169" s="16"/>
      <c r="J169" s="16"/>
      <c r="K169" s="16"/>
      <c r="L169" s="16"/>
      <c r="M169" s="42"/>
      <c r="N169" s="42"/>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row>
    <row r="170" spans="3:43">
      <c r="C170" s="19"/>
      <c r="D170" s="19"/>
      <c r="H170" s="3"/>
      <c r="I170" s="16"/>
      <c r="J170" s="16"/>
      <c r="K170" s="16"/>
      <c r="L170" s="16"/>
      <c r="M170" s="42"/>
      <c r="N170" s="42"/>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row>
    <row r="171" spans="3:43">
      <c r="C171" s="19"/>
      <c r="D171" s="19"/>
      <c r="H171" s="3"/>
      <c r="I171" s="16"/>
      <c r="J171" s="16"/>
      <c r="K171" s="16"/>
      <c r="L171" s="16"/>
      <c r="M171" s="42"/>
      <c r="N171" s="42"/>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row>
    <row r="172" spans="3:43">
      <c r="C172" s="19"/>
      <c r="D172" s="19"/>
      <c r="H172" s="3"/>
      <c r="I172" s="16"/>
      <c r="J172" s="16"/>
      <c r="K172" s="16"/>
      <c r="L172" s="16"/>
      <c r="M172" s="42"/>
      <c r="N172" s="42"/>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row>
    <row r="173" spans="3:43">
      <c r="C173" s="19"/>
      <c r="D173" s="19"/>
      <c r="H173" s="3"/>
      <c r="I173" s="16"/>
      <c r="J173" s="16"/>
      <c r="K173" s="16"/>
      <c r="L173" s="16"/>
      <c r="M173" s="42"/>
      <c r="N173" s="42"/>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row>
    <row r="174" spans="3:43">
      <c r="C174" s="19"/>
      <c r="D174" s="19"/>
      <c r="H174" s="3"/>
      <c r="I174" s="16"/>
      <c r="J174" s="16"/>
      <c r="K174" s="16"/>
      <c r="L174" s="16"/>
      <c r="M174" s="42"/>
      <c r="N174" s="42"/>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row>
    <row r="175" spans="3:43">
      <c r="C175" s="19"/>
      <c r="D175" s="19"/>
      <c r="H175" s="3"/>
      <c r="I175" s="16"/>
      <c r="J175" s="16"/>
      <c r="K175" s="16"/>
      <c r="L175" s="16"/>
      <c r="M175" s="42"/>
      <c r="N175" s="42"/>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row>
    <row r="176" spans="3:43">
      <c r="C176" s="19"/>
      <c r="D176" s="19"/>
      <c r="H176" s="3"/>
      <c r="I176" s="16"/>
      <c r="J176" s="16"/>
      <c r="K176" s="16"/>
      <c r="L176" s="16"/>
      <c r="M176" s="42"/>
      <c r="N176" s="42"/>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row>
    <row r="177" spans="3:43">
      <c r="C177" s="19"/>
      <c r="D177" s="19"/>
      <c r="H177" s="3"/>
      <c r="I177" s="16"/>
      <c r="J177" s="16"/>
      <c r="K177" s="16"/>
      <c r="L177" s="16"/>
      <c r="M177" s="42"/>
      <c r="N177" s="42"/>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row>
    <row r="178" spans="3:43">
      <c r="C178" s="19"/>
      <c r="D178" s="19"/>
      <c r="H178" s="3"/>
      <c r="I178" s="16"/>
      <c r="J178" s="16"/>
      <c r="K178" s="16"/>
      <c r="L178" s="16"/>
      <c r="M178" s="42"/>
      <c r="N178" s="42"/>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row>
    <row r="179" spans="3:43">
      <c r="C179" s="19"/>
      <c r="D179" s="19"/>
      <c r="H179" s="3"/>
      <c r="I179" s="16"/>
      <c r="J179" s="16"/>
      <c r="K179" s="16"/>
      <c r="L179" s="16"/>
      <c r="M179" s="42"/>
      <c r="N179" s="42"/>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row>
    <row r="180" spans="3:43">
      <c r="C180" s="19"/>
      <c r="D180" s="19"/>
      <c r="H180" s="3"/>
      <c r="I180" s="16"/>
      <c r="J180" s="16"/>
      <c r="K180" s="16"/>
      <c r="L180" s="16"/>
      <c r="M180" s="42"/>
      <c r="N180" s="42"/>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row>
    <row r="181" spans="3:43">
      <c r="C181" s="19"/>
      <c r="D181" s="19"/>
      <c r="H181" s="3"/>
      <c r="I181" s="16"/>
      <c r="J181" s="16"/>
      <c r="K181" s="16"/>
      <c r="L181" s="16"/>
      <c r="M181" s="42"/>
      <c r="N181" s="42"/>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row>
    <row r="182" spans="3:43">
      <c r="C182" s="19"/>
      <c r="D182" s="19"/>
      <c r="H182" s="3"/>
      <c r="I182" s="16"/>
      <c r="J182" s="16"/>
      <c r="K182" s="16"/>
      <c r="L182" s="16"/>
      <c r="M182" s="42"/>
      <c r="N182" s="42"/>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row>
    <row r="183" spans="3:43">
      <c r="C183" s="19"/>
      <c r="D183" s="19"/>
      <c r="H183" s="3"/>
      <c r="I183" s="16"/>
      <c r="J183" s="16"/>
      <c r="K183" s="16"/>
      <c r="L183" s="16"/>
      <c r="M183" s="42"/>
      <c r="N183" s="42"/>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row>
    <row r="184" spans="3:43">
      <c r="C184" s="19"/>
      <c r="D184" s="19"/>
      <c r="H184" s="3"/>
      <c r="I184" s="16"/>
      <c r="J184" s="16"/>
      <c r="K184" s="16"/>
      <c r="L184" s="16"/>
      <c r="M184" s="42"/>
      <c r="N184" s="42"/>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row>
    <row r="185" spans="3:43">
      <c r="C185" s="19"/>
      <c r="D185" s="19"/>
      <c r="H185" s="3"/>
      <c r="I185" s="16"/>
      <c r="J185" s="16"/>
      <c r="K185" s="16"/>
      <c r="L185" s="16"/>
      <c r="M185" s="42"/>
      <c r="N185" s="42"/>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row>
    <row r="186" spans="3:43">
      <c r="C186" s="19"/>
      <c r="D186" s="19"/>
      <c r="H186" s="3"/>
      <c r="I186" s="16"/>
      <c r="J186" s="16"/>
      <c r="K186" s="16"/>
      <c r="L186" s="16"/>
      <c r="M186" s="42"/>
      <c r="N186" s="42"/>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row>
    <row r="187" spans="3:43">
      <c r="O187" s="95"/>
      <c r="P187" s="95"/>
      <c r="Q187" s="95"/>
      <c r="R187" s="95"/>
      <c r="S187" s="95"/>
      <c r="T187" s="95"/>
      <c r="U187" s="95"/>
      <c r="V187" s="95"/>
      <c r="W187" s="95"/>
      <c r="X187" s="95"/>
      <c r="Y187" s="95"/>
      <c r="Z187" s="95"/>
      <c r="AA187" s="95"/>
      <c r="AB187" s="95"/>
      <c r="AC187" s="95"/>
      <c r="AD187" s="95"/>
      <c r="AE187" s="95"/>
      <c r="AF187" s="95"/>
      <c r="AG187" s="95"/>
      <c r="AH187" s="95"/>
      <c r="AI187" s="95"/>
      <c r="AJ187" s="95"/>
      <c r="AK187" s="95"/>
      <c r="AL187" s="95"/>
      <c r="AM187" s="95"/>
      <c r="AN187" s="95"/>
      <c r="AO187" s="95"/>
      <c r="AP187" s="95"/>
      <c r="AQ187" s="95"/>
    </row>
    <row r="193" spans="1:1" s="9" customFormat="1" ht="19" thickBot="1">
      <c r="A193" s="9" t="s">
        <v>328</v>
      </c>
    </row>
  </sheetData>
  <phoneticPr fontId="41" type="noConversion"/>
  <conditionalFormatting sqref="F11:F15">
    <cfRule type="cellIs" dxfId="49" priority="8" operator="equal">
      <formula>FALSE</formula>
    </cfRule>
  </conditionalFormatting>
  <dataValidations count="4">
    <dataValidation type="list" allowBlank="1" showInputMessage="1" showErrorMessage="1" sqref="D23:D52 D60:D186" xr:uid="{66DAC57D-468D-9147-BC27-AB58D9F143AA}">
      <formula1>OFFSET(lists_rps,0,0,COUNTA(lists_rps))</formula1>
    </dataValidation>
    <dataValidation type="list" allowBlank="1" showInputMessage="1" showErrorMessage="1" sqref="C23:C52 C60:C186" xr:uid="{49B22188-E73F-7846-A992-0454B7D3147B}">
      <formula1>OFFSET(lists_resources,0,0,COUNTA(lists_resources))</formula1>
    </dataValidation>
    <dataValidation type="list" allowBlank="1" showInputMessage="1" showErrorMessage="1" sqref="K11:K15" xr:uid="{8BFC24CA-DFB3-0A42-9870-C74582672E2E}">
      <formula1>"sales,system load"</formula1>
    </dataValidation>
    <dataValidation type="list" allowBlank="1" showInputMessage="1" showErrorMessage="1" sqref="J11:J15" xr:uid="{FAB1B5F8-B321-2340-87BE-19D9CDEB936C}">
      <formula1>"absolute,relative"</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705" id="{9555B162-8E3C-0640-BFC7-E964F01E7538}">
            <xm:f>ISNUMBER(MATCH(H11,'RESOLVE Case Settings'!$C$19:$C$42,0))</xm:f>
            <x14:dxf>
              <font>
                <color rgb="FF006100"/>
              </font>
              <fill>
                <patternFill>
                  <bgColor rgb="FFC6EFCE"/>
                </patternFill>
              </fill>
            </x14:dxf>
          </x14:cfRule>
          <xm:sqref>H60:H186 H46:H52 H11:H15</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DFD0F-14C9-E443-8C85-38D6498365A1}">
  <sheetPr codeName="Sheet25">
    <tabColor rgb="FF00B050"/>
  </sheetPr>
  <dimension ref="A1:K36"/>
  <sheetViews>
    <sheetView showGridLines="0" topLeftCell="A3" zoomScale="90" zoomScaleNormal="70" workbookViewId="0">
      <selection activeCell="C25" sqref="C25"/>
    </sheetView>
  </sheetViews>
  <sheetFormatPr baseColWidth="10" defaultColWidth="9" defaultRowHeight="12" outlineLevelRow="2"/>
  <cols>
    <col min="3" max="3" width="20.796875" customWidth="1"/>
    <col min="4" max="4" width="3" customWidth="1"/>
    <col min="5" max="5" width="20.796875" customWidth="1"/>
    <col min="6" max="6" width="3" customWidth="1"/>
    <col min="7" max="7" width="11.59765625" customWidth="1"/>
    <col min="8" max="8" width="3" customWidth="1"/>
    <col min="9" max="9" width="12.796875" customWidth="1"/>
    <col min="10" max="10" width="19.796875" bestFit="1" customWidth="1"/>
    <col min="11" max="11" width="14" bestFit="1" customWidth="1"/>
  </cols>
  <sheetData>
    <row r="1" spans="1:11" s="63" customFormat="1" ht="29" thickBot="1">
      <c r="A1" s="63" t="s">
        <v>373</v>
      </c>
    </row>
    <row r="5" spans="1:11">
      <c r="B5" s="15" t="s">
        <v>374</v>
      </c>
    </row>
    <row r="7" spans="1:11">
      <c r="B7" s="8" t="s">
        <v>375</v>
      </c>
      <c r="C7" s="145" t="s">
        <v>376</v>
      </c>
      <c r="D7" s="145"/>
      <c r="E7" s="145"/>
      <c r="F7" s="145"/>
      <c r="G7" s="145"/>
      <c r="H7" s="145"/>
      <c r="I7" s="145"/>
      <c r="J7" s="145"/>
      <c r="K7" s="145"/>
    </row>
    <row r="8" spans="1:11">
      <c r="B8" s="8" t="s">
        <v>377</v>
      </c>
      <c r="C8" s="145" t="s">
        <v>378</v>
      </c>
      <c r="D8" s="145"/>
      <c r="E8" s="145"/>
      <c r="F8" s="145"/>
      <c r="G8" s="145"/>
      <c r="H8" s="145"/>
      <c r="I8" s="145"/>
      <c r="J8" s="145"/>
      <c r="K8" s="145"/>
    </row>
    <row r="9" spans="1:11">
      <c r="B9" s="8" t="s">
        <v>379</v>
      </c>
      <c r="C9" s="145" t="s">
        <v>380</v>
      </c>
      <c r="D9" s="145"/>
      <c r="E9" s="145"/>
      <c r="F9" s="145"/>
      <c r="G9" s="145"/>
      <c r="H9" s="145"/>
      <c r="I9" s="145"/>
      <c r="J9" s="145"/>
      <c r="K9" s="145"/>
    </row>
    <row r="10" spans="1:11">
      <c r="B10" s="8" t="s">
        <v>381</v>
      </c>
      <c r="C10" s="145" t="s">
        <v>382</v>
      </c>
      <c r="D10" s="145"/>
      <c r="E10" s="145"/>
      <c r="F10" s="145"/>
      <c r="G10" s="145"/>
      <c r="H10" s="145"/>
      <c r="I10" s="145"/>
      <c r="J10" s="145"/>
      <c r="K10" s="145"/>
    </row>
    <row r="11" spans="1:11">
      <c r="B11" s="8" t="s">
        <v>383</v>
      </c>
      <c r="C11" s="145" t="s">
        <v>384</v>
      </c>
      <c r="D11" s="145"/>
      <c r="E11" s="145"/>
      <c r="F11" s="145"/>
      <c r="G11" s="145"/>
      <c r="H11" s="145"/>
      <c r="I11" s="145"/>
      <c r="J11" s="145"/>
      <c r="K11" s="145"/>
    </row>
    <row r="12" spans="1:11">
      <c r="B12" s="8"/>
      <c r="C12" s="145"/>
      <c r="D12" s="145"/>
      <c r="E12" s="145"/>
      <c r="F12" s="145"/>
      <c r="G12" s="145"/>
      <c r="H12" s="145"/>
      <c r="I12" s="145"/>
      <c r="J12" s="145"/>
      <c r="K12" s="145"/>
    </row>
    <row r="13" spans="1:11">
      <c r="B13" s="8"/>
      <c r="C13" s="149"/>
      <c r="D13" s="150"/>
      <c r="E13" s="150"/>
      <c r="F13" s="150"/>
      <c r="G13" s="150"/>
      <c r="H13" s="150"/>
      <c r="I13" s="150"/>
      <c r="J13" s="150"/>
      <c r="K13" s="151"/>
    </row>
    <row r="14" spans="1:11">
      <c r="B14" s="8"/>
      <c r="C14" s="146"/>
      <c r="D14" s="147"/>
      <c r="E14" s="147"/>
      <c r="F14" s="147"/>
      <c r="G14" s="147"/>
      <c r="H14" s="147"/>
      <c r="I14" s="147"/>
      <c r="J14" s="147"/>
      <c r="K14" s="148"/>
    </row>
    <row r="17" spans="2:11" ht="19" outlineLevel="1" thickBot="1">
      <c r="B17" s="9" t="s">
        <v>385</v>
      </c>
      <c r="C17" s="9"/>
      <c r="D17" s="9"/>
      <c r="E17" s="9"/>
      <c r="F17" s="9"/>
      <c r="G17" s="9"/>
      <c r="H17" s="9"/>
      <c r="I17" s="9"/>
      <c r="J17" s="9"/>
      <c r="K17" s="9"/>
    </row>
    <row r="18" spans="2:11" outlineLevel="1"/>
    <row r="19" spans="2:11" ht="13" outlineLevel="1">
      <c r="I19" s="64" t="s">
        <v>386</v>
      </c>
      <c r="J19" s="64" t="s">
        <v>387</v>
      </c>
      <c r="K19" s="65" t="s">
        <v>388</v>
      </c>
    </row>
    <row r="20" spans="2:11" s="27" customFormat="1" hidden="1" outlineLevel="2">
      <c r="C20" s="27" t="s">
        <v>204</v>
      </c>
      <c r="I20" s="27" t="s">
        <v>389</v>
      </c>
      <c r="J20" s="27" t="s">
        <v>390</v>
      </c>
      <c r="K20" s="27" t="s">
        <v>391</v>
      </c>
    </row>
    <row r="21" spans="2:11" ht="28" outlineLevel="1" collapsed="1">
      <c r="C21" s="64" t="s">
        <v>392</v>
      </c>
      <c r="E21" s="66" t="s">
        <v>393</v>
      </c>
      <c r="G21" s="11" t="s">
        <v>251</v>
      </c>
      <c r="I21" s="59"/>
      <c r="J21" s="59"/>
      <c r="K21" s="59"/>
    </row>
    <row r="22" spans="2:11" outlineLevel="1">
      <c r="C22" s="67" t="s">
        <v>205</v>
      </c>
      <c r="E22" s="39" t="b">
        <f t="shared" ref="E22:E36" si="0">IF(ISBLANK($C22),"-/-",COUNTIFS(component_names,$C22,component_types,$C$20)&gt;0)</f>
        <v>1</v>
      </c>
      <c r="G22" s="3"/>
      <c r="I22" s="19" t="s">
        <v>394</v>
      </c>
      <c r="J22" s="19"/>
      <c r="K22" s="3">
        <v>1</v>
      </c>
    </row>
    <row r="23" spans="2:11" outlineLevel="1">
      <c r="C23" s="67" t="s">
        <v>206</v>
      </c>
      <c r="E23" s="39" t="b">
        <f t="shared" si="0"/>
        <v>1</v>
      </c>
      <c r="G23" s="3"/>
      <c r="I23" s="19" t="s">
        <v>394</v>
      </c>
      <c r="J23" s="19"/>
      <c r="K23" s="3">
        <v>21</v>
      </c>
    </row>
    <row r="24" spans="2:11" outlineLevel="1">
      <c r="C24" s="67" t="s">
        <v>207</v>
      </c>
      <c r="E24" s="39" t="b">
        <f t="shared" si="0"/>
        <v>1</v>
      </c>
      <c r="G24" s="3"/>
      <c r="I24" s="19" t="s">
        <v>394</v>
      </c>
      <c r="J24" s="19"/>
      <c r="K24" s="3">
        <v>22</v>
      </c>
    </row>
    <row r="25" spans="2:11" outlineLevel="1">
      <c r="C25" s="67" t="s">
        <v>208</v>
      </c>
      <c r="E25" s="39" t="b">
        <f t="shared" si="0"/>
        <v>1</v>
      </c>
      <c r="G25" s="3"/>
      <c r="I25" s="19" t="s">
        <v>208</v>
      </c>
      <c r="J25" s="19"/>
      <c r="K25" s="3">
        <v>3</v>
      </c>
    </row>
    <row r="26" spans="2:11" outlineLevel="1">
      <c r="C26" s="67" t="s">
        <v>209</v>
      </c>
      <c r="E26" s="39" t="b">
        <f t="shared" si="0"/>
        <v>1</v>
      </c>
      <c r="G26" s="3"/>
      <c r="I26" s="19" t="s">
        <v>208</v>
      </c>
      <c r="J26" s="19"/>
      <c r="K26" s="3">
        <v>13</v>
      </c>
    </row>
    <row r="27" spans="2:11" outlineLevel="1">
      <c r="C27" s="67" t="s">
        <v>210</v>
      </c>
      <c r="E27" s="39" t="b">
        <f t="shared" si="0"/>
        <v>1</v>
      </c>
      <c r="G27" s="3"/>
      <c r="I27" s="19" t="s">
        <v>210</v>
      </c>
      <c r="J27" s="19"/>
      <c r="K27" s="3">
        <v>6</v>
      </c>
    </row>
    <row r="28" spans="2:11" outlineLevel="1">
      <c r="C28" s="67" t="s">
        <v>211</v>
      </c>
      <c r="E28" s="39" t="b">
        <f t="shared" si="0"/>
        <v>1</v>
      </c>
      <c r="G28" s="3"/>
      <c r="I28" s="19" t="s">
        <v>211</v>
      </c>
      <c r="J28" s="19"/>
      <c r="K28" s="3">
        <v>14</v>
      </c>
    </row>
    <row r="29" spans="2:11" outlineLevel="1">
      <c r="C29" s="67" t="s">
        <v>212</v>
      </c>
      <c r="E29" s="39" t="b">
        <f t="shared" si="0"/>
        <v>1</v>
      </c>
      <c r="G29" s="3"/>
      <c r="I29" s="19" t="s">
        <v>212</v>
      </c>
      <c r="J29" s="19"/>
      <c r="K29" s="3">
        <v>24</v>
      </c>
    </row>
    <row r="30" spans="2:11" outlineLevel="1">
      <c r="C30" s="67" t="s">
        <v>213</v>
      </c>
      <c r="E30" s="39" t="b">
        <f t="shared" si="0"/>
        <v>1</v>
      </c>
      <c r="G30" s="3"/>
      <c r="I30" s="19" t="s">
        <v>395</v>
      </c>
      <c r="J30" s="19"/>
      <c r="K30" s="3">
        <v>25</v>
      </c>
    </row>
    <row r="31" spans="2:11" outlineLevel="1">
      <c r="C31" s="67" t="s">
        <v>214</v>
      </c>
      <c r="E31" s="39" t="b">
        <f t="shared" si="0"/>
        <v>1</v>
      </c>
      <c r="G31" s="3"/>
      <c r="I31" s="19" t="s">
        <v>210</v>
      </c>
      <c r="J31" s="19"/>
      <c r="K31" s="3">
        <v>5</v>
      </c>
    </row>
    <row r="32" spans="2:11" outlineLevel="1">
      <c r="C32" s="67"/>
      <c r="E32" s="39" t="str">
        <f t="shared" si="0"/>
        <v>-/-</v>
      </c>
      <c r="G32" s="3"/>
      <c r="I32" s="19"/>
      <c r="J32" s="19"/>
      <c r="K32" s="3"/>
    </row>
    <row r="33" spans="3:11" outlineLevel="1">
      <c r="C33" s="67"/>
      <c r="E33" s="39" t="str">
        <f t="shared" si="0"/>
        <v>-/-</v>
      </c>
      <c r="G33" s="3"/>
      <c r="I33" s="19"/>
      <c r="J33" s="19"/>
      <c r="K33" s="3"/>
    </row>
    <row r="34" spans="3:11" outlineLevel="1">
      <c r="C34" s="67"/>
      <c r="E34" s="39" t="str">
        <f t="shared" si="0"/>
        <v>-/-</v>
      </c>
      <c r="G34" s="3"/>
      <c r="I34" s="19"/>
      <c r="J34" s="19"/>
      <c r="K34" s="3"/>
    </row>
    <row r="35" spans="3:11" outlineLevel="1">
      <c r="C35" s="67"/>
      <c r="E35" s="39" t="str">
        <f t="shared" si="0"/>
        <v>-/-</v>
      </c>
      <c r="G35" s="3"/>
      <c r="I35" s="19"/>
      <c r="J35" s="19"/>
      <c r="K35" s="3"/>
    </row>
    <row r="36" spans="3:11" outlineLevel="1">
      <c r="C36" s="67"/>
      <c r="E36" s="39" t="str">
        <f t="shared" si="0"/>
        <v>-/-</v>
      </c>
      <c r="G36" s="3"/>
      <c r="I36" s="19"/>
      <c r="J36" s="19"/>
      <c r="K36" s="3"/>
    </row>
  </sheetData>
  <mergeCells count="8">
    <mergeCell ref="C14:K14"/>
    <mergeCell ref="C13:K13"/>
    <mergeCell ref="C7:K7"/>
    <mergeCell ref="C8:K8"/>
    <mergeCell ref="C9:K9"/>
    <mergeCell ref="C10:K10"/>
    <mergeCell ref="C11:K11"/>
    <mergeCell ref="C12:K12"/>
  </mergeCells>
  <conditionalFormatting sqref="E22:E36">
    <cfRule type="cellIs" dxfId="47" priority="1" operator="equal">
      <formula>FALSE</formula>
    </cfRule>
  </conditionalFormatting>
  <dataValidations count="2">
    <dataValidation type="list" allowBlank="1" showInputMessage="1" showErrorMessage="1" sqref="I22:I36" xr:uid="{9ED509B0-B9A6-4FB6-996F-407B0D3592CF}">
      <formula1>OFFSET(list_resourcegroup_categories,0,0,COUNTA(list_resourcegroup_categories))</formula1>
    </dataValidation>
    <dataValidation type="list" allowBlank="1" showInputMessage="1" showErrorMessage="1" sqref="J22:J36" xr:uid="{4FF6D8E1-F74A-4E37-94A4-6FC7013339FD}">
      <formula1>"TRUE,FALSE"</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80C7A-FB62-284B-B211-222FE9712D5F}">
  <sheetPr codeName="Sheet23">
    <tabColor theme="7" tint="0.79998168889431442"/>
  </sheetPr>
  <dimension ref="A1:EM20"/>
  <sheetViews>
    <sheetView showGridLines="0" zoomScale="80" zoomScaleNormal="80" workbookViewId="0">
      <pane xSplit="7" ySplit="10" topLeftCell="H11" activePane="bottomRight" state="frozen"/>
      <selection pane="topRight" activeCell="G8" sqref="G8:G9"/>
      <selection pane="bottomLeft" activeCell="G8" sqref="G8:G9"/>
      <selection pane="bottomRight" activeCell="F20" sqref="F20"/>
    </sheetView>
  </sheetViews>
  <sheetFormatPr baseColWidth="10" defaultColWidth="11" defaultRowHeight="12" outlineLevelRow="1" outlineLevelCol="1"/>
  <cols>
    <col min="2" max="2" width="45" bestFit="1" customWidth="1"/>
    <col min="3" max="3" width="3" customWidth="1" outlineLevel="1"/>
    <col min="4" max="4" width="24" bestFit="1" customWidth="1" outlineLevel="1"/>
    <col min="5" max="5" width="3" customWidth="1" outlineLevel="1"/>
    <col min="6" max="6" width="28" bestFit="1" customWidth="1" outlineLevel="1"/>
    <col min="7" max="7" width="3" customWidth="1"/>
    <col min="8" max="11" width="19.796875" customWidth="1" outlineLevel="1"/>
    <col min="12" max="12" width="3" customWidth="1" outlineLevel="1"/>
    <col min="13" max="13" width="19.796875" customWidth="1" outlineLevel="1"/>
    <col min="14" max="14" width="3" customWidth="1"/>
    <col min="15" max="15" width="11" customWidth="1"/>
    <col min="16" max="19" width="11" hidden="1" customWidth="1" outlineLevel="1"/>
    <col min="20" max="20" width="11" customWidth="1" collapsed="1"/>
    <col min="21" max="24" width="11" hidden="1" customWidth="1" outlineLevel="1"/>
    <col min="25" max="25" width="11" customWidth="1" collapsed="1"/>
    <col min="26" max="29" width="11" hidden="1" customWidth="1" outlineLevel="1"/>
    <col min="30" max="30" width="11" customWidth="1" collapsed="1"/>
    <col min="31" max="34" width="11" hidden="1" customWidth="1" outlineLevel="1"/>
    <col min="35" max="35" width="11" customWidth="1" collapsed="1"/>
    <col min="36" max="39" width="11" hidden="1" customWidth="1" outlineLevel="1"/>
    <col min="40" max="40" width="11" customWidth="1" collapsed="1"/>
    <col min="41" max="44" width="11" hidden="1" customWidth="1" outlineLevel="1"/>
    <col min="45" max="45" width="11" customWidth="1" collapsed="1"/>
    <col min="46" max="46" width="3" customWidth="1"/>
    <col min="47" max="47" width="11" customWidth="1"/>
    <col min="48" max="51" width="11" hidden="1" customWidth="1" outlineLevel="1"/>
    <col min="52" max="52" width="11" customWidth="1" collapsed="1"/>
    <col min="53" max="56" width="11" hidden="1" customWidth="1" outlineLevel="1"/>
    <col min="57" max="57" width="11" customWidth="1" collapsed="1"/>
    <col min="58" max="61" width="11" hidden="1" customWidth="1" outlineLevel="1"/>
    <col min="62" max="62" width="11" customWidth="1" collapsed="1"/>
    <col min="63" max="66" width="11" hidden="1" customWidth="1" outlineLevel="1"/>
    <col min="67" max="67" width="11" customWidth="1" collapsed="1"/>
    <col min="68" max="71" width="11" hidden="1" customWidth="1" outlineLevel="1"/>
    <col min="72" max="72" width="11" customWidth="1" collapsed="1"/>
    <col min="73" max="76" width="11" hidden="1" customWidth="1" outlineLevel="1"/>
    <col min="77" max="77" width="11" customWidth="1" collapsed="1"/>
    <col min="78" max="78" width="3" customWidth="1"/>
    <col min="79" max="79" width="19.796875" customWidth="1"/>
    <col min="80" max="80" width="3" customWidth="1"/>
    <col min="82" max="83" width="11" hidden="1" customWidth="1" outlineLevel="1"/>
    <col min="84" max="84" width="15.3984375" hidden="1" customWidth="1" outlineLevel="1" collapsed="1"/>
    <col min="85" max="85" width="11" hidden="1" customWidth="1" outlineLevel="1"/>
    <col min="86" max="86" width="11" collapsed="1"/>
    <col min="87" max="88" width="11" hidden="1" customWidth="1" outlineLevel="1"/>
    <col min="89" max="89" width="11" hidden="1" customWidth="1" outlineLevel="1" collapsed="1"/>
    <col min="90" max="90" width="11" hidden="1" customWidth="1" outlineLevel="1"/>
    <col min="91" max="91" width="11" collapsed="1"/>
    <col min="92" max="92" width="11" hidden="1" customWidth="1" outlineLevel="1"/>
    <col min="93" max="93" width="11" hidden="1" customWidth="1" outlineLevel="1" collapsed="1"/>
    <col min="94" max="95" width="11" hidden="1" customWidth="1" outlineLevel="1"/>
    <col min="96" max="96" width="11" collapsed="1"/>
    <col min="97" max="99" width="11" hidden="1" customWidth="1" outlineLevel="1"/>
    <col min="100" max="100" width="11" hidden="1" customWidth="1" outlineLevel="1" collapsed="1"/>
    <col min="101" max="101" width="11" collapsed="1"/>
    <col min="102" max="105" width="11" hidden="1" customWidth="1" outlineLevel="1"/>
    <col min="106" max="106" width="11" collapsed="1"/>
    <col min="107" max="110" width="11" hidden="1" customWidth="1" outlineLevel="1"/>
    <col min="111" max="111" width="11" customWidth="1" collapsed="1"/>
    <col min="112" max="112" width="3" customWidth="1"/>
    <col min="114" max="115" width="11" hidden="1" customWidth="1" outlineLevel="1"/>
    <col min="116" max="116" width="11" hidden="1" customWidth="1" outlineLevel="1" collapsed="1"/>
    <col min="117" max="117" width="11" hidden="1" customWidth="1" outlineLevel="1"/>
    <col min="118" max="118" width="11" collapsed="1"/>
    <col min="119" max="120" width="11" hidden="1" customWidth="1" outlineLevel="1"/>
    <col min="121" max="121" width="11" hidden="1" customWidth="1" outlineLevel="1" collapsed="1"/>
    <col min="122" max="122" width="11" hidden="1" customWidth="1" outlineLevel="1"/>
    <col min="123" max="123" width="11" collapsed="1"/>
    <col min="124" max="124" width="11" hidden="1" customWidth="1" outlineLevel="1"/>
    <col min="125" max="125" width="11" hidden="1" customWidth="1" outlineLevel="1" collapsed="1"/>
    <col min="126" max="127" width="11" hidden="1" customWidth="1" outlineLevel="1"/>
    <col min="128" max="128" width="11" collapsed="1"/>
    <col min="129" max="131" width="11" hidden="1" customWidth="1" outlineLevel="1"/>
    <col min="132" max="132" width="11" hidden="1" customWidth="1" outlineLevel="1" collapsed="1"/>
    <col min="133" max="133" width="11" collapsed="1"/>
    <col min="134" max="137" width="11" hidden="1" customWidth="1" outlineLevel="1"/>
    <col min="138" max="138" width="11" collapsed="1"/>
    <col min="139" max="142" width="11" hidden="1" customWidth="1" outlineLevel="1"/>
    <col min="143" max="143" width="11" collapsed="1"/>
  </cols>
  <sheetData>
    <row r="1" spans="1:143" s="5" customFormat="1" ht="29" thickBot="1">
      <c r="A1" s="5" t="s">
        <v>396</v>
      </c>
    </row>
    <row r="2" spans="1:143">
      <c r="A2" s="45"/>
      <c r="D2" s="16"/>
      <c r="E2" s="16"/>
      <c r="F2" s="16"/>
      <c r="G2" s="16"/>
    </row>
    <row r="3" spans="1:143">
      <c r="D3" s="16"/>
      <c r="E3" s="16"/>
      <c r="F3" s="16"/>
      <c r="G3" s="16"/>
      <c r="CC3" s="32"/>
    </row>
    <row r="4" spans="1:143" ht="19" thickBot="1">
      <c r="D4" s="16"/>
      <c r="E4" s="16"/>
      <c r="F4" s="16"/>
      <c r="G4" s="16"/>
      <c r="H4" s="9" t="s">
        <v>259</v>
      </c>
      <c r="I4" s="9"/>
      <c r="J4" s="9"/>
      <c r="K4" s="9"/>
      <c r="L4" s="9"/>
      <c r="M4" s="9"/>
      <c r="O4" s="9" t="s">
        <v>397</v>
      </c>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CA4" s="9" t="s">
        <v>398</v>
      </c>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I4" s="9" t="s">
        <v>399</v>
      </c>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row>
    <row r="5" spans="1:143">
      <c r="D5" s="16"/>
      <c r="E5" s="16"/>
      <c r="G5" s="16"/>
    </row>
    <row r="6" spans="1:143" ht="15" thickBot="1">
      <c r="D6" s="16"/>
      <c r="E6" s="16"/>
      <c r="G6" s="16"/>
      <c r="H6" s="83" t="s">
        <v>302</v>
      </c>
      <c r="I6" s="83"/>
      <c r="J6" s="83"/>
      <c r="K6" s="83"/>
      <c r="L6" s="83"/>
      <c r="M6" s="83"/>
    </row>
    <row r="7" spans="1:143">
      <c r="D7" s="16"/>
      <c r="E7" s="16"/>
      <c r="G7" s="16"/>
    </row>
    <row r="8" spans="1:143" ht="14">
      <c r="D8" s="16"/>
      <c r="E8" s="16"/>
      <c r="G8" s="16"/>
      <c r="H8" s="11" t="e" cm="1" vm="1">
        <f t="array" aca="1" ref="H8" ca="1">TRANSPOSE(OFFSET(lists_prm,,,COUNTA(lists_prm)))</f>
        <v>#VALUE!</v>
      </c>
      <c r="I8" s="11"/>
      <c r="J8" s="11"/>
      <c r="K8" s="11"/>
      <c r="M8" s="11" t="s">
        <v>349</v>
      </c>
      <c r="O8" s="6" t="s">
        <v>400</v>
      </c>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U8" s="6" t="s">
        <v>401</v>
      </c>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CA8" s="11" t="s">
        <v>402</v>
      </c>
      <c r="CC8" s="6" t="s">
        <v>403</v>
      </c>
      <c r="CD8" s="6"/>
      <c r="CE8" s="6"/>
      <c r="CF8" s="6"/>
      <c r="CG8" s="6"/>
      <c r="CH8" s="6"/>
      <c r="CI8" s="6"/>
      <c r="CJ8" s="6"/>
      <c r="CK8" s="6"/>
      <c r="CL8" s="6"/>
      <c r="CM8" s="6"/>
      <c r="CN8" s="6"/>
      <c r="CO8" s="6"/>
      <c r="CP8" s="6"/>
      <c r="CQ8" s="6"/>
      <c r="CR8" s="6"/>
      <c r="CS8" s="6"/>
      <c r="CT8" s="6"/>
      <c r="CU8" s="6"/>
      <c r="CV8" s="6"/>
      <c r="CW8" s="6"/>
      <c r="CX8" s="6"/>
      <c r="CY8" s="6"/>
      <c r="CZ8" s="6"/>
      <c r="DA8" s="6"/>
      <c r="DB8" s="6"/>
      <c r="DC8" s="6"/>
      <c r="DD8" s="6"/>
      <c r="DE8" s="6"/>
      <c r="DF8" s="6"/>
      <c r="DG8" s="6"/>
      <c r="DI8" s="6" t="s">
        <v>404</v>
      </c>
      <c r="DJ8" s="6"/>
      <c r="DK8" s="6"/>
      <c r="DL8" s="6"/>
      <c r="DM8" s="6"/>
      <c r="DN8" s="6"/>
      <c r="DO8" s="6"/>
      <c r="DP8" s="6"/>
      <c r="DQ8" s="6"/>
      <c r="DR8" s="6"/>
      <c r="DS8" s="6"/>
      <c r="DT8" s="6"/>
      <c r="DU8" s="6"/>
      <c r="DV8" s="6"/>
      <c r="DW8" s="6"/>
      <c r="DX8" s="6"/>
      <c r="DY8" s="6"/>
      <c r="DZ8" s="6"/>
      <c r="EA8" s="6"/>
      <c r="EB8" s="6"/>
      <c r="EC8" s="6"/>
      <c r="ED8" s="6"/>
      <c r="EE8" s="6"/>
      <c r="EF8" s="6"/>
      <c r="EG8" s="6"/>
      <c r="EH8" s="6"/>
      <c r="EI8" s="6"/>
      <c r="EJ8" s="6"/>
      <c r="EK8" s="6"/>
      <c r="EL8" s="6"/>
      <c r="EM8" s="6"/>
    </row>
    <row r="9" spans="1:143" s="27" customFormat="1" ht="12.75" hidden="1" customHeight="1" outlineLevel="1">
      <c r="B9" s="27" t="s">
        <v>405</v>
      </c>
      <c r="F9"/>
      <c r="H9" s="30" t="s">
        <v>406</v>
      </c>
      <c r="I9" s="30" t="s">
        <v>406</v>
      </c>
      <c r="J9" s="30" t="s">
        <v>406</v>
      </c>
      <c r="K9" s="30" t="s">
        <v>406</v>
      </c>
      <c r="L9"/>
      <c r="M9" s="30" t="s">
        <v>407</v>
      </c>
      <c r="N9"/>
      <c r="O9" s="27" t="s">
        <v>408</v>
      </c>
      <c r="P9" s="27" t="s">
        <v>408</v>
      </c>
      <c r="Q9" s="27" t="s">
        <v>408</v>
      </c>
      <c r="R9" s="27" t="s">
        <v>408</v>
      </c>
      <c r="S9" s="27" t="s">
        <v>408</v>
      </c>
      <c r="T9" s="27" t="s">
        <v>408</v>
      </c>
      <c r="U9" s="27" t="s">
        <v>408</v>
      </c>
      <c r="V9" s="27" t="s">
        <v>408</v>
      </c>
      <c r="W9" s="27" t="s">
        <v>408</v>
      </c>
      <c r="X9" s="27" t="s">
        <v>408</v>
      </c>
      <c r="Y9" s="27" t="s">
        <v>408</v>
      </c>
      <c r="Z9" s="27" t="s">
        <v>408</v>
      </c>
      <c r="AA9" s="27" t="s">
        <v>408</v>
      </c>
      <c r="AB9" s="27" t="s">
        <v>408</v>
      </c>
      <c r="AC9" s="27" t="s">
        <v>408</v>
      </c>
      <c r="AD9" s="27" t="s">
        <v>408</v>
      </c>
      <c r="AE9" s="27" t="s">
        <v>408</v>
      </c>
      <c r="AF9" s="27" t="s">
        <v>408</v>
      </c>
      <c r="AG9" s="27" t="s">
        <v>408</v>
      </c>
      <c r="AH9" s="27" t="s">
        <v>408</v>
      </c>
      <c r="AI9" s="27" t="s">
        <v>408</v>
      </c>
      <c r="AJ9" s="27" t="s">
        <v>408</v>
      </c>
      <c r="AK9" s="27" t="s">
        <v>408</v>
      </c>
      <c r="AL9" s="27" t="s">
        <v>408</v>
      </c>
      <c r="AM9" s="27" t="s">
        <v>408</v>
      </c>
      <c r="AN9" s="27" t="s">
        <v>408</v>
      </c>
      <c r="AO9" s="27" t="s">
        <v>408</v>
      </c>
      <c r="AP9" s="27" t="s">
        <v>408</v>
      </c>
      <c r="AQ9" s="27" t="s">
        <v>408</v>
      </c>
      <c r="AR9" s="27" t="s">
        <v>408</v>
      </c>
      <c r="AS9" s="27" t="s">
        <v>408</v>
      </c>
      <c r="AT9"/>
      <c r="AU9" s="30" t="s">
        <v>409</v>
      </c>
      <c r="AV9" s="30" t="s">
        <v>409</v>
      </c>
      <c r="AW9" s="30" t="s">
        <v>409</v>
      </c>
      <c r="AX9" s="30" t="s">
        <v>409</v>
      </c>
      <c r="AY9" s="30" t="s">
        <v>409</v>
      </c>
      <c r="AZ9" s="30" t="s">
        <v>409</v>
      </c>
      <c r="BA9" s="30" t="s">
        <v>409</v>
      </c>
      <c r="BB9" s="30" t="s">
        <v>409</v>
      </c>
      <c r="BC9" s="30" t="s">
        <v>409</v>
      </c>
      <c r="BD9" s="30" t="s">
        <v>409</v>
      </c>
      <c r="BE9" s="30" t="s">
        <v>409</v>
      </c>
      <c r="BF9" s="30" t="s">
        <v>409</v>
      </c>
      <c r="BG9" s="30" t="s">
        <v>409</v>
      </c>
      <c r="BH9" s="30" t="s">
        <v>409</v>
      </c>
      <c r="BI9" s="30" t="s">
        <v>409</v>
      </c>
      <c r="BJ9" s="30" t="s">
        <v>409</v>
      </c>
      <c r="BK9" s="30" t="s">
        <v>409</v>
      </c>
      <c r="BL9" s="30" t="s">
        <v>409</v>
      </c>
      <c r="BM9" s="30" t="s">
        <v>409</v>
      </c>
      <c r="BN9" s="30" t="s">
        <v>409</v>
      </c>
      <c r="BO9" s="30" t="s">
        <v>409</v>
      </c>
      <c r="BP9" s="30" t="s">
        <v>409</v>
      </c>
      <c r="BQ9" s="30" t="s">
        <v>409</v>
      </c>
      <c r="BR9" s="30" t="s">
        <v>409</v>
      </c>
      <c r="BS9" s="30" t="s">
        <v>409</v>
      </c>
      <c r="BT9" s="30" t="s">
        <v>409</v>
      </c>
      <c r="BU9" s="30" t="s">
        <v>409</v>
      </c>
      <c r="BV9" s="30" t="s">
        <v>409</v>
      </c>
      <c r="BW9" s="30" t="s">
        <v>409</v>
      </c>
      <c r="BX9" s="30" t="s">
        <v>409</v>
      </c>
      <c r="BY9" s="30" t="s">
        <v>409</v>
      </c>
      <c r="BZ9"/>
      <c r="CA9" s="27" t="s">
        <v>410</v>
      </c>
      <c r="CC9" s="27" t="s">
        <v>411</v>
      </c>
      <c r="CD9" s="27" t="s">
        <v>411</v>
      </c>
      <c r="CE9" s="27" t="s">
        <v>411</v>
      </c>
      <c r="CF9" s="27" t="s">
        <v>411</v>
      </c>
      <c r="CG9" s="27" t="s">
        <v>411</v>
      </c>
      <c r="CH9" s="27" t="s">
        <v>411</v>
      </c>
      <c r="CI9" s="27" t="s">
        <v>411</v>
      </c>
      <c r="CJ9" s="27" t="s">
        <v>411</v>
      </c>
      <c r="CK9" s="27" t="s">
        <v>411</v>
      </c>
      <c r="CL9" s="27" t="s">
        <v>411</v>
      </c>
      <c r="CM9" s="27" t="s">
        <v>411</v>
      </c>
      <c r="CN9" s="27" t="s">
        <v>411</v>
      </c>
      <c r="CO9" s="27" t="s">
        <v>411</v>
      </c>
      <c r="CP9" s="27" t="s">
        <v>411</v>
      </c>
      <c r="CQ9" s="27" t="s">
        <v>411</v>
      </c>
      <c r="CR9" s="27" t="s">
        <v>411</v>
      </c>
      <c r="CS9" s="27" t="s">
        <v>411</v>
      </c>
      <c r="CT9" s="27" t="s">
        <v>411</v>
      </c>
      <c r="CU9" s="27" t="s">
        <v>411</v>
      </c>
      <c r="CV9" s="27" t="s">
        <v>411</v>
      </c>
      <c r="CW9" s="27" t="s">
        <v>411</v>
      </c>
      <c r="CX9" s="27" t="s">
        <v>411</v>
      </c>
      <c r="CY9" s="27" t="s">
        <v>411</v>
      </c>
      <c r="CZ9" s="27" t="s">
        <v>411</v>
      </c>
      <c r="DA9" s="27" t="s">
        <v>411</v>
      </c>
      <c r="DB9" s="27" t="s">
        <v>411</v>
      </c>
      <c r="DC9" s="27" t="s">
        <v>411</v>
      </c>
      <c r="DD9" s="27" t="s">
        <v>411</v>
      </c>
      <c r="DE9" s="27" t="s">
        <v>411</v>
      </c>
      <c r="DF9" s="27" t="s">
        <v>411</v>
      </c>
      <c r="DG9" s="27" t="s">
        <v>411</v>
      </c>
      <c r="DH9"/>
      <c r="DI9" s="27" t="s">
        <v>412</v>
      </c>
      <c r="DJ9" s="27" t="s">
        <v>412</v>
      </c>
      <c r="DK9" s="27" t="s">
        <v>412</v>
      </c>
      <c r="DL9" s="27" t="s">
        <v>412</v>
      </c>
      <c r="DM9" s="27" t="s">
        <v>412</v>
      </c>
      <c r="DN9" s="27" t="s">
        <v>412</v>
      </c>
      <c r="DO9" s="27" t="s">
        <v>412</v>
      </c>
      <c r="DP9" s="27" t="s">
        <v>412</v>
      </c>
      <c r="DQ9" s="27" t="s">
        <v>412</v>
      </c>
      <c r="DR9" s="27" t="s">
        <v>412</v>
      </c>
      <c r="DS9" s="27" t="s">
        <v>412</v>
      </c>
      <c r="DT9" s="27" t="s">
        <v>412</v>
      </c>
      <c r="DU9" s="27" t="s">
        <v>412</v>
      </c>
      <c r="DV9" s="27" t="s">
        <v>412</v>
      </c>
      <c r="DW9" s="27" t="s">
        <v>412</v>
      </c>
      <c r="DX9" s="27" t="s">
        <v>412</v>
      </c>
      <c r="DY9" s="27" t="s">
        <v>412</v>
      </c>
      <c r="DZ9" s="27" t="s">
        <v>412</v>
      </c>
      <c r="EA9" s="27" t="s">
        <v>412</v>
      </c>
      <c r="EB9" s="27" t="s">
        <v>412</v>
      </c>
      <c r="EC9" s="27" t="s">
        <v>412</v>
      </c>
      <c r="ED9" s="27" t="s">
        <v>412</v>
      </c>
      <c r="EE9" s="27" t="s">
        <v>412</v>
      </c>
      <c r="EF9" s="27" t="s">
        <v>412</v>
      </c>
      <c r="EG9" s="27" t="s">
        <v>412</v>
      </c>
      <c r="EH9" s="27" t="s">
        <v>412</v>
      </c>
      <c r="EI9" s="27" t="s">
        <v>412</v>
      </c>
      <c r="EJ9" s="27" t="s">
        <v>412</v>
      </c>
      <c r="EK9" s="27" t="s">
        <v>412</v>
      </c>
      <c r="EL9" s="27" t="s">
        <v>412</v>
      </c>
      <c r="EM9" s="27" t="s">
        <v>412</v>
      </c>
    </row>
    <row r="10" spans="1:143" ht="42" collapsed="1">
      <c r="B10" s="6" t="s">
        <v>405</v>
      </c>
      <c r="D10" s="11" t="str">
        <f>"Included in Current System ("&amp;system_name&amp;")"</f>
        <v>Included in Current System (ISONE_toy_system)</v>
      </c>
      <c r="E10" s="16"/>
      <c r="F10" s="11" t="s">
        <v>251</v>
      </c>
      <c r="G10" s="16"/>
      <c r="H10" s="26"/>
      <c r="I10" s="26"/>
      <c r="J10" s="26"/>
      <c r="K10" s="26"/>
      <c r="M10" s="26"/>
      <c r="O10" s="59">
        <f>start_year</f>
        <v>43831</v>
      </c>
      <c r="P10" s="59">
        <f>EDATE(O10,12)</f>
        <v>44197</v>
      </c>
      <c r="Q10" s="59">
        <f t="shared" ref="Q10:AS10" si="0">EDATE(P10,12)</f>
        <v>44562</v>
      </c>
      <c r="R10" s="59">
        <f t="shared" si="0"/>
        <v>44927</v>
      </c>
      <c r="S10" s="59">
        <f t="shared" si="0"/>
        <v>45292</v>
      </c>
      <c r="T10" s="59">
        <f t="shared" si="0"/>
        <v>45658</v>
      </c>
      <c r="U10" s="59">
        <f t="shared" si="0"/>
        <v>46023</v>
      </c>
      <c r="V10" s="59">
        <f t="shared" si="0"/>
        <v>46388</v>
      </c>
      <c r="W10" s="59">
        <f t="shared" si="0"/>
        <v>46753</v>
      </c>
      <c r="X10" s="59">
        <f t="shared" si="0"/>
        <v>47119</v>
      </c>
      <c r="Y10" s="59">
        <f t="shared" si="0"/>
        <v>47484</v>
      </c>
      <c r="Z10" s="59">
        <f t="shared" si="0"/>
        <v>47849</v>
      </c>
      <c r="AA10" s="59">
        <f t="shared" si="0"/>
        <v>48214</v>
      </c>
      <c r="AB10" s="59">
        <f t="shared" si="0"/>
        <v>48580</v>
      </c>
      <c r="AC10" s="59">
        <f t="shared" si="0"/>
        <v>48945</v>
      </c>
      <c r="AD10" s="59">
        <f t="shared" si="0"/>
        <v>49310</v>
      </c>
      <c r="AE10" s="59">
        <f t="shared" si="0"/>
        <v>49675</v>
      </c>
      <c r="AF10" s="59">
        <f t="shared" si="0"/>
        <v>50041</v>
      </c>
      <c r="AG10" s="59">
        <f t="shared" si="0"/>
        <v>50406</v>
      </c>
      <c r="AH10" s="59">
        <f t="shared" si="0"/>
        <v>50771</v>
      </c>
      <c r="AI10" s="59">
        <f t="shared" si="0"/>
        <v>51136</v>
      </c>
      <c r="AJ10" s="59">
        <f t="shared" si="0"/>
        <v>51502</v>
      </c>
      <c r="AK10" s="59">
        <f t="shared" si="0"/>
        <v>51867</v>
      </c>
      <c r="AL10" s="59">
        <f t="shared" si="0"/>
        <v>52232</v>
      </c>
      <c r="AM10" s="59">
        <f t="shared" si="0"/>
        <v>52597</v>
      </c>
      <c r="AN10" s="59">
        <f t="shared" si="0"/>
        <v>52963</v>
      </c>
      <c r="AO10" s="59">
        <f t="shared" si="0"/>
        <v>53328</v>
      </c>
      <c r="AP10" s="59">
        <f t="shared" si="0"/>
        <v>53693</v>
      </c>
      <c r="AQ10" s="59">
        <f t="shared" si="0"/>
        <v>54058</v>
      </c>
      <c r="AR10" s="59">
        <f t="shared" si="0"/>
        <v>54424</v>
      </c>
      <c r="AS10" s="59">
        <f t="shared" si="0"/>
        <v>54789</v>
      </c>
      <c r="AU10" s="59">
        <f>start_year</f>
        <v>43831</v>
      </c>
      <c r="AV10" s="59">
        <f>EDATE(AU10,12)</f>
        <v>44197</v>
      </c>
      <c r="AW10" s="59">
        <f t="shared" ref="AW10:BY10" si="1">EDATE(AV10,12)</f>
        <v>44562</v>
      </c>
      <c r="AX10" s="59">
        <f t="shared" si="1"/>
        <v>44927</v>
      </c>
      <c r="AY10" s="59">
        <f t="shared" si="1"/>
        <v>45292</v>
      </c>
      <c r="AZ10" s="59">
        <f t="shared" si="1"/>
        <v>45658</v>
      </c>
      <c r="BA10" s="59">
        <f t="shared" si="1"/>
        <v>46023</v>
      </c>
      <c r="BB10" s="59">
        <f t="shared" si="1"/>
        <v>46388</v>
      </c>
      <c r="BC10" s="59">
        <f t="shared" si="1"/>
        <v>46753</v>
      </c>
      <c r="BD10" s="59">
        <f t="shared" si="1"/>
        <v>47119</v>
      </c>
      <c r="BE10" s="59">
        <f t="shared" si="1"/>
        <v>47484</v>
      </c>
      <c r="BF10" s="59">
        <f t="shared" si="1"/>
        <v>47849</v>
      </c>
      <c r="BG10" s="59">
        <f t="shared" si="1"/>
        <v>48214</v>
      </c>
      <c r="BH10" s="59">
        <f t="shared" si="1"/>
        <v>48580</v>
      </c>
      <c r="BI10" s="59">
        <f t="shared" si="1"/>
        <v>48945</v>
      </c>
      <c r="BJ10" s="59">
        <f t="shared" si="1"/>
        <v>49310</v>
      </c>
      <c r="BK10" s="59">
        <f t="shared" si="1"/>
        <v>49675</v>
      </c>
      <c r="BL10" s="59">
        <f t="shared" si="1"/>
        <v>50041</v>
      </c>
      <c r="BM10" s="59">
        <f t="shared" si="1"/>
        <v>50406</v>
      </c>
      <c r="BN10" s="59">
        <f t="shared" si="1"/>
        <v>50771</v>
      </c>
      <c r="BO10" s="59">
        <f t="shared" si="1"/>
        <v>51136</v>
      </c>
      <c r="BP10" s="59">
        <f t="shared" si="1"/>
        <v>51502</v>
      </c>
      <c r="BQ10" s="59">
        <f t="shared" si="1"/>
        <v>51867</v>
      </c>
      <c r="BR10" s="59">
        <f t="shared" si="1"/>
        <v>52232</v>
      </c>
      <c r="BS10" s="59">
        <f t="shared" si="1"/>
        <v>52597</v>
      </c>
      <c r="BT10" s="59">
        <f t="shared" si="1"/>
        <v>52963</v>
      </c>
      <c r="BU10" s="59">
        <f t="shared" si="1"/>
        <v>53328</v>
      </c>
      <c r="BV10" s="59">
        <f t="shared" si="1"/>
        <v>53693</v>
      </c>
      <c r="BW10" s="59">
        <f t="shared" si="1"/>
        <v>54058</v>
      </c>
      <c r="BX10" s="59">
        <f t="shared" si="1"/>
        <v>54424</v>
      </c>
      <c r="BY10" s="59">
        <f t="shared" si="1"/>
        <v>54789</v>
      </c>
      <c r="CA10" s="26" t="s">
        <v>277</v>
      </c>
      <c r="CC10" s="59">
        <f>start_year</f>
        <v>43831</v>
      </c>
      <c r="CD10" s="59">
        <f>EDATE(CC10,12)</f>
        <v>44197</v>
      </c>
      <c r="CE10" s="59">
        <f t="shared" ref="CE10:DG10" si="2">EDATE(CD10,12)</f>
        <v>44562</v>
      </c>
      <c r="CF10" s="59">
        <f t="shared" si="2"/>
        <v>44927</v>
      </c>
      <c r="CG10" s="59">
        <f t="shared" si="2"/>
        <v>45292</v>
      </c>
      <c r="CH10" s="59">
        <f t="shared" si="2"/>
        <v>45658</v>
      </c>
      <c r="CI10" s="59">
        <f t="shared" si="2"/>
        <v>46023</v>
      </c>
      <c r="CJ10" s="59">
        <f t="shared" si="2"/>
        <v>46388</v>
      </c>
      <c r="CK10" s="59">
        <f t="shared" si="2"/>
        <v>46753</v>
      </c>
      <c r="CL10" s="59">
        <f t="shared" si="2"/>
        <v>47119</v>
      </c>
      <c r="CM10" s="59">
        <f t="shared" si="2"/>
        <v>47484</v>
      </c>
      <c r="CN10" s="59">
        <f t="shared" si="2"/>
        <v>47849</v>
      </c>
      <c r="CO10" s="59">
        <f t="shared" si="2"/>
        <v>48214</v>
      </c>
      <c r="CP10" s="59">
        <f t="shared" si="2"/>
        <v>48580</v>
      </c>
      <c r="CQ10" s="59">
        <f t="shared" si="2"/>
        <v>48945</v>
      </c>
      <c r="CR10" s="59">
        <f t="shared" si="2"/>
        <v>49310</v>
      </c>
      <c r="CS10" s="59">
        <f t="shared" si="2"/>
        <v>49675</v>
      </c>
      <c r="CT10" s="59">
        <f t="shared" si="2"/>
        <v>50041</v>
      </c>
      <c r="CU10" s="59">
        <f t="shared" si="2"/>
        <v>50406</v>
      </c>
      <c r="CV10" s="59">
        <f t="shared" si="2"/>
        <v>50771</v>
      </c>
      <c r="CW10" s="59">
        <f t="shared" si="2"/>
        <v>51136</v>
      </c>
      <c r="CX10" s="59">
        <f t="shared" si="2"/>
        <v>51502</v>
      </c>
      <c r="CY10" s="59">
        <f t="shared" si="2"/>
        <v>51867</v>
      </c>
      <c r="CZ10" s="59">
        <f t="shared" si="2"/>
        <v>52232</v>
      </c>
      <c r="DA10" s="59">
        <f t="shared" si="2"/>
        <v>52597</v>
      </c>
      <c r="DB10" s="59">
        <f t="shared" si="2"/>
        <v>52963</v>
      </c>
      <c r="DC10" s="59">
        <f t="shared" si="2"/>
        <v>53328</v>
      </c>
      <c r="DD10" s="59">
        <f t="shared" si="2"/>
        <v>53693</v>
      </c>
      <c r="DE10" s="59">
        <f t="shared" si="2"/>
        <v>54058</v>
      </c>
      <c r="DF10" s="59">
        <f t="shared" si="2"/>
        <v>54424</v>
      </c>
      <c r="DG10" s="59">
        <f t="shared" si="2"/>
        <v>54789</v>
      </c>
      <c r="DI10" s="59">
        <f>start_year</f>
        <v>43831</v>
      </c>
      <c r="DJ10" s="59">
        <f>EDATE(DI10,12)</f>
        <v>44197</v>
      </c>
      <c r="DK10" s="59">
        <f t="shared" ref="DK10:EM10" si="3">EDATE(DJ10,12)</f>
        <v>44562</v>
      </c>
      <c r="DL10" s="59">
        <f t="shared" si="3"/>
        <v>44927</v>
      </c>
      <c r="DM10" s="59">
        <f t="shared" si="3"/>
        <v>45292</v>
      </c>
      <c r="DN10" s="59">
        <f t="shared" si="3"/>
        <v>45658</v>
      </c>
      <c r="DO10" s="59">
        <f t="shared" si="3"/>
        <v>46023</v>
      </c>
      <c r="DP10" s="59">
        <f t="shared" si="3"/>
        <v>46388</v>
      </c>
      <c r="DQ10" s="59">
        <f t="shared" si="3"/>
        <v>46753</v>
      </c>
      <c r="DR10" s="59">
        <f t="shared" si="3"/>
        <v>47119</v>
      </c>
      <c r="DS10" s="59">
        <f t="shared" si="3"/>
        <v>47484</v>
      </c>
      <c r="DT10" s="59">
        <f t="shared" si="3"/>
        <v>47849</v>
      </c>
      <c r="DU10" s="59">
        <f t="shared" si="3"/>
        <v>48214</v>
      </c>
      <c r="DV10" s="59">
        <f t="shared" si="3"/>
        <v>48580</v>
      </c>
      <c r="DW10" s="59">
        <f t="shared" si="3"/>
        <v>48945</v>
      </c>
      <c r="DX10" s="59">
        <f t="shared" si="3"/>
        <v>49310</v>
      </c>
      <c r="DY10" s="59">
        <f t="shared" si="3"/>
        <v>49675</v>
      </c>
      <c r="DZ10" s="59">
        <f t="shared" si="3"/>
        <v>50041</v>
      </c>
      <c r="EA10" s="59">
        <f t="shared" si="3"/>
        <v>50406</v>
      </c>
      <c r="EB10" s="59">
        <f t="shared" si="3"/>
        <v>50771</v>
      </c>
      <c r="EC10" s="59">
        <f t="shared" si="3"/>
        <v>51136</v>
      </c>
      <c r="ED10" s="59">
        <f t="shared" si="3"/>
        <v>51502</v>
      </c>
      <c r="EE10" s="59">
        <f t="shared" si="3"/>
        <v>51867</v>
      </c>
      <c r="EF10" s="59">
        <f t="shared" si="3"/>
        <v>52232</v>
      </c>
      <c r="EG10" s="59">
        <f t="shared" si="3"/>
        <v>52597</v>
      </c>
      <c r="EH10" s="59">
        <f t="shared" si="3"/>
        <v>52963</v>
      </c>
      <c r="EI10" s="59">
        <f t="shared" si="3"/>
        <v>53328</v>
      </c>
      <c r="EJ10" s="59">
        <f t="shared" si="3"/>
        <v>53693</v>
      </c>
      <c r="EK10" s="59">
        <f t="shared" si="3"/>
        <v>54058</v>
      </c>
      <c r="EL10" s="59">
        <f t="shared" si="3"/>
        <v>54424</v>
      </c>
      <c r="EM10" s="59">
        <f t="shared" si="3"/>
        <v>54789</v>
      </c>
    </row>
    <row r="11" spans="1:143">
      <c r="B11" s="3"/>
      <c r="D11" s="39" t="str">
        <f t="shared" ref="D11:D20" si="4">IF(ISBLANK($B11),"-/-",COUNTIFS(component_names,$B11,component_types,$B$9)&gt;0)</f>
        <v>-/-</v>
      </c>
      <c r="E11" s="16"/>
      <c r="F11" s="3"/>
      <c r="G11" s="16"/>
      <c r="H11" s="118"/>
      <c r="I11" s="118"/>
      <c r="J11" s="118"/>
      <c r="K11" s="118"/>
      <c r="M11" s="118"/>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U11" s="43"/>
      <c r="AV11" s="43"/>
      <c r="AW11" s="43"/>
      <c r="AX11" s="43"/>
      <c r="AY11" s="43"/>
      <c r="AZ11" s="43"/>
      <c r="BA11" s="43"/>
      <c r="BB11" s="43"/>
      <c r="BC11" s="43"/>
      <c r="BD11" s="43"/>
      <c r="BE11" s="43"/>
      <c r="BF11" s="43"/>
      <c r="BG11" s="43"/>
      <c r="BH11" s="43"/>
      <c r="BI11" s="43"/>
      <c r="BJ11" s="43"/>
      <c r="BK11" s="43"/>
      <c r="BL11" s="43"/>
      <c r="BM11" s="43"/>
      <c r="BN11" s="43"/>
      <c r="BO11" s="43"/>
      <c r="BP11" s="43"/>
      <c r="BQ11" s="43"/>
      <c r="BR11" s="43"/>
      <c r="BS11" s="43"/>
      <c r="BT11" s="43"/>
      <c r="BU11" s="43"/>
      <c r="BV11" s="43"/>
      <c r="BW11" s="43"/>
      <c r="BX11" s="43"/>
      <c r="BY11" s="43"/>
      <c r="CA11" s="19"/>
      <c r="CC11" s="43"/>
      <c r="CD11" s="43"/>
      <c r="CE11" s="43"/>
      <c r="CF11" s="43"/>
      <c r="CG11" s="43"/>
      <c r="CH11" s="43"/>
      <c r="CI11" s="43"/>
      <c r="CJ11" s="43"/>
      <c r="CK11" s="43"/>
      <c r="CL11" s="43"/>
      <c r="CM11" s="43"/>
      <c r="CN11" s="43"/>
      <c r="CO11" s="43"/>
      <c r="CP11" s="43"/>
      <c r="CQ11" s="43"/>
      <c r="CR11" s="43"/>
      <c r="CS11" s="43"/>
      <c r="CT11" s="43"/>
      <c r="CU11" s="43"/>
      <c r="CV11" s="43"/>
      <c r="CW11" s="43"/>
      <c r="CX11" s="43"/>
      <c r="CY11" s="43"/>
      <c r="CZ11" s="43"/>
      <c r="DA11" s="43"/>
      <c r="DB11" s="43"/>
      <c r="DC11" s="43"/>
      <c r="DD11" s="43"/>
      <c r="DE11" s="43"/>
      <c r="DF11" s="43"/>
      <c r="DG11" s="43"/>
      <c r="DI11" s="31"/>
      <c r="DJ11" s="31"/>
      <c r="DK11" s="31"/>
      <c r="DL11" s="31"/>
      <c r="DM11" s="31"/>
      <c r="DN11" s="31"/>
      <c r="DO11" s="31"/>
      <c r="DP11" s="31"/>
      <c r="DQ11" s="31"/>
      <c r="DR11" s="31"/>
      <c r="DS11" s="31"/>
      <c r="DT11" s="31"/>
      <c r="DU11" s="31"/>
      <c r="DV11" s="31"/>
      <c r="DW11" s="31"/>
      <c r="DX11" s="31"/>
      <c r="DY11" s="31"/>
      <c r="DZ11" s="31"/>
      <c r="EA11" s="31"/>
      <c r="EB11" s="31"/>
      <c r="EC11" s="31"/>
      <c r="ED11" s="31"/>
      <c r="EE11" s="31"/>
      <c r="EF11" s="31"/>
      <c r="EG11" s="31"/>
      <c r="EH11" s="31"/>
      <c r="EI11" s="31"/>
      <c r="EJ11" s="31"/>
      <c r="EK11" s="31"/>
      <c r="EL11" s="31"/>
      <c r="EM11" s="31"/>
    </row>
    <row r="12" spans="1:143">
      <c r="B12" s="3"/>
      <c r="D12" s="39" t="str">
        <f t="shared" si="4"/>
        <v>-/-</v>
      </c>
      <c r="E12" s="16"/>
      <c r="F12" s="3"/>
      <c r="G12" s="16"/>
      <c r="H12" s="118"/>
      <c r="I12" s="118"/>
      <c r="J12" s="118"/>
      <c r="K12" s="118"/>
      <c r="M12" s="118"/>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CA12" s="19"/>
      <c r="CC12" s="43"/>
      <c r="CD12" s="43"/>
      <c r="CE12" s="43"/>
      <c r="CF12" s="43"/>
      <c r="CG12" s="43"/>
      <c r="CH12" s="43"/>
      <c r="CI12" s="43"/>
      <c r="CJ12" s="43"/>
      <c r="CK12" s="43"/>
      <c r="CL12" s="43"/>
      <c r="CM12" s="43"/>
      <c r="CN12" s="43"/>
      <c r="CO12" s="43"/>
      <c r="CP12" s="43"/>
      <c r="CQ12" s="43"/>
      <c r="CR12" s="43"/>
      <c r="CS12" s="43"/>
      <c r="CT12" s="43"/>
      <c r="CU12" s="43"/>
      <c r="CV12" s="43"/>
      <c r="CW12" s="43"/>
      <c r="CX12" s="43"/>
      <c r="CY12" s="43"/>
      <c r="CZ12" s="43"/>
      <c r="DA12" s="43"/>
      <c r="DB12" s="43"/>
      <c r="DC12" s="43"/>
      <c r="DD12" s="43"/>
      <c r="DE12" s="43"/>
      <c r="DF12" s="43"/>
      <c r="DG12" s="43"/>
      <c r="DI12" s="31"/>
      <c r="DJ12" s="31"/>
      <c r="DK12" s="31"/>
      <c r="DL12" s="31"/>
      <c r="DM12" s="31"/>
      <c r="DN12" s="31"/>
      <c r="DO12" s="31"/>
      <c r="DP12" s="31"/>
      <c r="DQ12" s="31"/>
      <c r="DR12" s="31"/>
      <c r="DS12" s="31"/>
      <c r="DT12" s="31"/>
      <c r="DU12" s="31"/>
      <c r="DV12" s="31"/>
      <c r="DW12" s="31"/>
      <c r="DX12" s="31"/>
      <c r="DY12" s="31"/>
      <c r="DZ12" s="31"/>
      <c r="EA12" s="31"/>
      <c r="EB12" s="31"/>
      <c r="EC12" s="31"/>
      <c r="ED12" s="31"/>
      <c r="EE12" s="31"/>
      <c r="EF12" s="31"/>
      <c r="EG12" s="31"/>
      <c r="EH12" s="31"/>
      <c r="EI12" s="31"/>
      <c r="EJ12" s="31"/>
      <c r="EK12" s="31"/>
      <c r="EL12" s="31"/>
      <c r="EM12" s="31"/>
    </row>
    <row r="13" spans="1:143">
      <c r="B13" s="3"/>
      <c r="D13" s="39" t="str">
        <f t="shared" si="4"/>
        <v>-/-</v>
      </c>
      <c r="E13" s="16"/>
      <c r="F13" s="3"/>
      <c r="G13" s="16"/>
      <c r="H13" s="118"/>
      <c r="I13" s="118"/>
      <c r="J13" s="118"/>
      <c r="K13" s="118"/>
      <c r="M13" s="118"/>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CA13" s="19"/>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I13" s="31"/>
      <c r="DJ13" s="31"/>
      <c r="DK13" s="31"/>
      <c r="DL13" s="31"/>
      <c r="DM13" s="31"/>
      <c r="DN13" s="31"/>
      <c r="DO13" s="31"/>
      <c r="DP13" s="31"/>
      <c r="DQ13" s="31"/>
      <c r="DR13" s="31"/>
      <c r="DS13" s="31"/>
      <c r="DT13" s="31"/>
      <c r="DU13" s="31"/>
      <c r="DV13" s="31"/>
      <c r="DW13" s="31"/>
      <c r="DX13" s="31"/>
      <c r="DY13" s="31"/>
      <c r="DZ13" s="31"/>
      <c r="EA13" s="31"/>
      <c r="EB13" s="31"/>
      <c r="EC13" s="31"/>
      <c r="ED13" s="31"/>
      <c r="EE13" s="31"/>
      <c r="EF13" s="31"/>
      <c r="EG13" s="31"/>
      <c r="EH13" s="31"/>
      <c r="EI13" s="31"/>
      <c r="EJ13" s="31"/>
      <c r="EK13" s="31"/>
      <c r="EL13" s="31"/>
      <c r="EM13" s="31"/>
    </row>
    <row r="14" spans="1:143">
      <c r="B14" s="3"/>
      <c r="D14" s="39" t="str">
        <f t="shared" si="4"/>
        <v>-/-</v>
      </c>
      <c r="E14" s="16"/>
      <c r="F14" s="3"/>
      <c r="G14" s="16"/>
      <c r="H14" s="118"/>
      <c r="I14" s="118"/>
      <c r="J14" s="118"/>
      <c r="K14" s="118"/>
      <c r="M14" s="118"/>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CA14" s="19"/>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3"/>
      <c r="DI14" s="31"/>
      <c r="DJ14" s="31"/>
      <c r="DK14" s="31"/>
      <c r="DL14" s="31"/>
      <c r="DM14" s="31"/>
      <c r="DN14" s="31"/>
      <c r="DO14" s="31"/>
      <c r="DP14" s="31"/>
      <c r="DQ14" s="31"/>
      <c r="DR14" s="31"/>
      <c r="DS14" s="31"/>
      <c r="DT14" s="31"/>
      <c r="DU14" s="31"/>
      <c r="DV14" s="31"/>
      <c r="DW14" s="31"/>
      <c r="DX14" s="31"/>
      <c r="DY14" s="31"/>
      <c r="DZ14" s="31"/>
      <c r="EA14" s="31"/>
      <c r="EB14" s="31"/>
      <c r="EC14" s="31"/>
      <c r="ED14" s="31"/>
      <c r="EE14" s="31"/>
      <c r="EF14" s="31"/>
      <c r="EG14" s="31"/>
      <c r="EH14" s="31"/>
      <c r="EI14" s="31"/>
      <c r="EJ14" s="31"/>
      <c r="EK14" s="31"/>
      <c r="EL14" s="31"/>
      <c r="EM14" s="31"/>
    </row>
    <row r="15" spans="1:143">
      <c r="B15" s="3"/>
      <c r="D15" s="39" t="str">
        <f t="shared" si="4"/>
        <v>-/-</v>
      </c>
      <c r="E15" s="16"/>
      <c r="F15" s="3"/>
      <c r="G15" s="16"/>
      <c r="H15" s="118"/>
      <c r="I15" s="118"/>
      <c r="J15" s="118"/>
      <c r="K15" s="118"/>
      <c r="M15" s="118"/>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c r="AU15" s="43"/>
      <c r="AV15" s="43"/>
      <c r="AW15" s="43"/>
      <c r="AX15" s="43"/>
      <c r="AY15" s="43"/>
      <c r="AZ15" s="43"/>
      <c r="BA15" s="43"/>
      <c r="BB15" s="43"/>
      <c r="BC15" s="43"/>
      <c r="BD15" s="43"/>
      <c r="BE15" s="43"/>
      <c r="BF15" s="43"/>
      <c r="BG15" s="43"/>
      <c r="BH15" s="43"/>
      <c r="BI15" s="43"/>
      <c r="BJ15" s="43"/>
      <c r="BK15" s="43"/>
      <c r="BL15" s="43"/>
      <c r="BM15" s="43"/>
      <c r="BN15" s="43"/>
      <c r="BO15" s="43"/>
      <c r="BP15" s="43"/>
      <c r="BQ15" s="43"/>
      <c r="BR15" s="43"/>
      <c r="BS15" s="43"/>
      <c r="BT15" s="43"/>
      <c r="BU15" s="43"/>
      <c r="BV15" s="43"/>
      <c r="BW15" s="43"/>
      <c r="BX15" s="43"/>
      <c r="BY15" s="43"/>
      <c r="CA15" s="19"/>
      <c r="CC15" s="43"/>
      <c r="CD15" s="43"/>
      <c r="CE15" s="43"/>
      <c r="CF15" s="43"/>
      <c r="CG15" s="43"/>
      <c r="CH15" s="43"/>
      <c r="CI15" s="43"/>
      <c r="CJ15" s="43"/>
      <c r="CK15" s="43"/>
      <c r="CL15" s="43"/>
      <c r="CM15" s="43"/>
      <c r="CN15" s="43"/>
      <c r="CO15" s="43"/>
      <c r="CP15" s="43"/>
      <c r="CQ15" s="43"/>
      <c r="CR15" s="43"/>
      <c r="CS15" s="43"/>
      <c r="CT15" s="43"/>
      <c r="CU15" s="43"/>
      <c r="CV15" s="43"/>
      <c r="CW15" s="43"/>
      <c r="CX15" s="43"/>
      <c r="CY15" s="43"/>
      <c r="CZ15" s="43"/>
      <c r="DA15" s="43"/>
      <c r="DB15" s="43"/>
      <c r="DC15" s="43"/>
      <c r="DD15" s="43"/>
      <c r="DE15" s="43"/>
      <c r="DF15" s="43"/>
      <c r="DG15" s="43"/>
      <c r="DI15" s="31"/>
      <c r="DJ15" s="31"/>
      <c r="DK15" s="31"/>
      <c r="DL15" s="31"/>
      <c r="DM15" s="31"/>
      <c r="DN15" s="31"/>
      <c r="DO15" s="31"/>
      <c r="DP15" s="31"/>
      <c r="DQ15" s="31"/>
      <c r="DR15" s="31"/>
      <c r="DS15" s="31"/>
      <c r="DT15" s="31"/>
      <c r="DU15" s="31"/>
      <c r="DV15" s="31"/>
      <c r="DW15" s="31"/>
      <c r="DX15" s="31"/>
      <c r="DY15" s="31"/>
      <c r="DZ15" s="31"/>
      <c r="EA15" s="31"/>
      <c r="EB15" s="31"/>
      <c r="EC15" s="31"/>
      <c r="ED15" s="31"/>
      <c r="EE15" s="31"/>
      <c r="EF15" s="31"/>
      <c r="EG15" s="31"/>
      <c r="EH15" s="31"/>
      <c r="EI15" s="31"/>
      <c r="EJ15" s="31"/>
      <c r="EK15" s="31"/>
      <c r="EL15" s="31"/>
      <c r="EM15" s="31"/>
    </row>
    <row r="16" spans="1:143">
      <c r="B16" s="3"/>
      <c r="D16" s="39" t="str">
        <f t="shared" si="4"/>
        <v>-/-</v>
      </c>
      <c r="E16" s="16"/>
      <c r="F16" s="3"/>
      <c r="G16" s="16"/>
      <c r="H16" s="118"/>
      <c r="I16" s="118"/>
      <c r="J16" s="118"/>
      <c r="K16" s="118"/>
      <c r="M16" s="118"/>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c r="AU16" s="43"/>
      <c r="AV16" s="43"/>
      <c r="AW16" s="43"/>
      <c r="AX16" s="43"/>
      <c r="AY16" s="43"/>
      <c r="AZ16" s="43"/>
      <c r="BA16" s="43"/>
      <c r="BB16" s="43"/>
      <c r="BC16" s="43"/>
      <c r="BD16" s="43"/>
      <c r="BE16" s="43"/>
      <c r="BF16" s="43"/>
      <c r="BG16" s="43"/>
      <c r="BH16" s="43"/>
      <c r="BI16" s="43"/>
      <c r="BJ16" s="43"/>
      <c r="BK16" s="43"/>
      <c r="BL16" s="43"/>
      <c r="BM16" s="43"/>
      <c r="BN16" s="43"/>
      <c r="BO16" s="43"/>
      <c r="BP16" s="43"/>
      <c r="BQ16" s="43"/>
      <c r="BR16" s="43"/>
      <c r="BS16" s="43"/>
      <c r="BT16" s="43"/>
      <c r="BU16" s="43"/>
      <c r="BV16" s="43"/>
      <c r="BW16" s="43"/>
      <c r="BX16" s="43"/>
      <c r="BY16" s="43"/>
      <c r="CA16" s="19"/>
      <c r="CC16" s="43"/>
      <c r="CD16" s="43"/>
      <c r="CE16" s="43"/>
      <c r="CF16" s="43"/>
      <c r="CG16" s="43"/>
      <c r="CH16" s="43"/>
      <c r="CI16" s="43"/>
      <c r="CJ16" s="43"/>
      <c r="CK16" s="43"/>
      <c r="CL16" s="43"/>
      <c r="CM16" s="43"/>
      <c r="CN16" s="43"/>
      <c r="CO16" s="43"/>
      <c r="CP16" s="43"/>
      <c r="CQ16" s="43"/>
      <c r="CR16" s="43"/>
      <c r="CS16" s="43"/>
      <c r="CT16" s="43"/>
      <c r="CU16" s="43"/>
      <c r="CV16" s="43"/>
      <c r="CW16" s="43"/>
      <c r="CX16" s="43"/>
      <c r="CY16" s="43"/>
      <c r="CZ16" s="43"/>
      <c r="DA16" s="43"/>
      <c r="DB16" s="43"/>
      <c r="DC16" s="43"/>
      <c r="DD16" s="43"/>
      <c r="DE16" s="43"/>
      <c r="DF16" s="43"/>
      <c r="DG16" s="43"/>
      <c r="DI16" s="31"/>
      <c r="DJ16" s="31"/>
      <c r="DK16" s="31"/>
      <c r="DL16" s="31"/>
      <c r="DM16" s="31"/>
      <c r="DN16" s="31"/>
      <c r="DO16" s="31"/>
      <c r="DP16" s="31"/>
      <c r="DQ16" s="31"/>
      <c r="DR16" s="31"/>
      <c r="DS16" s="31"/>
      <c r="DT16" s="31"/>
      <c r="DU16" s="31"/>
      <c r="DV16" s="31"/>
      <c r="DW16" s="31"/>
      <c r="DX16" s="31"/>
      <c r="DY16" s="31"/>
      <c r="DZ16" s="31"/>
      <c r="EA16" s="31"/>
      <c r="EB16" s="31"/>
      <c r="EC16" s="31"/>
      <c r="ED16" s="31"/>
      <c r="EE16" s="31"/>
      <c r="EF16" s="31"/>
      <c r="EG16" s="31"/>
      <c r="EH16" s="31"/>
      <c r="EI16" s="31"/>
      <c r="EJ16" s="31"/>
      <c r="EK16" s="31"/>
      <c r="EL16" s="31"/>
      <c r="EM16" s="31"/>
    </row>
    <row r="17" spans="2:143">
      <c r="B17" s="3"/>
      <c r="D17" s="39" t="str">
        <f t="shared" si="4"/>
        <v>-/-</v>
      </c>
      <c r="E17" s="16"/>
      <c r="F17" s="3"/>
      <c r="G17" s="16"/>
      <c r="H17" s="118"/>
      <c r="I17" s="118"/>
      <c r="J17" s="118"/>
      <c r="K17" s="118"/>
      <c r="M17" s="118"/>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c r="AS17" s="43"/>
      <c r="AU17" s="43"/>
      <c r="AV17" s="43"/>
      <c r="AW17" s="43"/>
      <c r="AX17" s="43"/>
      <c r="AY17" s="43"/>
      <c r="AZ17" s="43"/>
      <c r="BA17" s="43"/>
      <c r="BB17" s="43"/>
      <c r="BC17" s="43"/>
      <c r="BD17" s="43"/>
      <c r="BE17" s="43"/>
      <c r="BF17" s="43"/>
      <c r="BG17" s="43"/>
      <c r="BH17" s="43"/>
      <c r="BI17" s="43"/>
      <c r="BJ17" s="43"/>
      <c r="BK17" s="43"/>
      <c r="BL17" s="43"/>
      <c r="BM17" s="43"/>
      <c r="BN17" s="43"/>
      <c r="BO17" s="43"/>
      <c r="BP17" s="43"/>
      <c r="BQ17" s="43"/>
      <c r="BR17" s="43"/>
      <c r="BS17" s="43"/>
      <c r="BT17" s="43"/>
      <c r="BU17" s="43"/>
      <c r="BV17" s="43"/>
      <c r="BW17" s="43"/>
      <c r="BX17" s="43"/>
      <c r="BY17" s="43"/>
      <c r="CA17" s="19"/>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c r="DA17" s="43"/>
      <c r="DB17" s="43"/>
      <c r="DC17" s="43"/>
      <c r="DD17" s="43"/>
      <c r="DE17" s="43"/>
      <c r="DF17" s="43"/>
      <c r="DG17" s="43"/>
      <c r="DI17" s="31"/>
      <c r="DJ17" s="31"/>
      <c r="DK17" s="31"/>
      <c r="DL17" s="31"/>
      <c r="DM17" s="31"/>
      <c r="DN17" s="31"/>
      <c r="DO17" s="31"/>
      <c r="DP17" s="31"/>
      <c r="DQ17" s="31"/>
      <c r="DR17" s="31"/>
      <c r="DS17" s="31"/>
      <c r="DT17" s="31"/>
      <c r="DU17" s="31"/>
      <c r="DV17" s="31"/>
      <c r="DW17" s="31"/>
      <c r="DX17" s="31"/>
      <c r="DY17" s="31"/>
      <c r="DZ17" s="31"/>
      <c r="EA17" s="31"/>
      <c r="EB17" s="31"/>
      <c r="EC17" s="31"/>
      <c r="ED17" s="31"/>
      <c r="EE17" s="31"/>
      <c r="EF17" s="31"/>
      <c r="EG17" s="31"/>
      <c r="EH17" s="31"/>
      <c r="EI17" s="31"/>
      <c r="EJ17" s="31"/>
      <c r="EK17" s="31"/>
      <c r="EL17" s="31"/>
      <c r="EM17" s="31"/>
    </row>
    <row r="18" spans="2:143">
      <c r="B18" s="3"/>
      <c r="D18" s="39" t="str">
        <f t="shared" si="4"/>
        <v>-/-</v>
      </c>
      <c r="E18" s="16"/>
      <c r="F18" s="3"/>
      <c r="G18" s="16"/>
      <c r="H18" s="118"/>
      <c r="I18" s="118"/>
      <c r="J18" s="118"/>
      <c r="K18" s="118"/>
      <c r="M18" s="118"/>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CA18" s="19"/>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3"/>
      <c r="DI18" s="31"/>
      <c r="DJ18" s="31"/>
      <c r="DK18" s="31"/>
      <c r="DL18" s="31"/>
      <c r="DM18" s="31"/>
      <c r="DN18" s="31"/>
      <c r="DO18" s="31"/>
      <c r="DP18" s="31"/>
      <c r="DQ18" s="31"/>
      <c r="DR18" s="31"/>
      <c r="DS18" s="31"/>
      <c r="DT18" s="31"/>
      <c r="DU18" s="31"/>
      <c r="DV18" s="31"/>
      <c r="DW18" s="31"/>
      <c r="DX18" s="31"/>
      <c r="DY18" s="31"/>
      <c r="DZ18" s="31"/>
      <c r="EA18" s="31"/>
      <c r="EB18" s="31"/>
      <c r="EC18" s="31"/>
      <c r="ED18" s="31"/>
      <c r="EE18" s="31"/>
      <c r="EF18" s="31"/>
      <c r="EG18" s="31"/>
      <c r="EH18" s="31"/>
      <c r="EI18" s="31"/>
      <c r="EJ18" s="31"/>
      <c r="EK18" s="31"/>
      <c r="EL18" s="31"/>
      <c r="EM18" s="31"/>
    </row>
    <row r="19" spans="2:143">
      <c r="B19" s="3"/>
      <c r="D19" s="39" t="str">
        <f t="shared" si="4"/>
        <v>-/-</v>
      </c>
      <c r="F19" s="3"/>
      <c r="H19" s="118"/>
      <c r="I19" s="118"/>
      <c r="J19" s="118"/>
      <c r="K19" s="118"/>
      <c r="M19" s="118"/>
      <c r="O19" s="43"/>
      <c r="P19" s="43"/>
      <c r="Q19" s="43"/>
      <c r="R19" s="43"/>
      <c r="S19" s="43"/>
      <c r="T19" s="43"/>
      <c r="U19" s="43"/>
      <c r="V19" s="43"/>
      <c r="W19" s="43"/>
      <c r="X19" s="43"/>
      <c r="Y19" s="43"/>
      <c r="Z19" s="43"/>
      <c r="AA19" s="43"/>
      <c r="AB19" s="43"/>
      <c r="AC19" s="43"/>
      <c r="AD19" s="43"/>
      <c r="AE19" s="43"/>
      <c r="AF19" s="43"/>
      <c r="AG19" s="43"/>
      <c r="AH19" s="43"/>
      <c r="AI19" s="43"/>
      <c r="AJ19" s="43"/>
      <c r="AK19" s="43"/>
      <c r="AL19" s="43"/>
      <c r="AM19" s="43"/>
      <c r="AN19" s="43"/>
      <c r="AO19" s="43"/>
      <c r="AP19" s="43"/>
      <c r="AQ19" s="43"/>
      <c r="AR19" s="43"/>
      <c r="AS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CA19" s="19"/>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c r="DB19" s="43"/>
      <c r="DC19" s="43"/>
      <c r="DD19" s="43"/>
      <c r="DE19" s="43"/>
      <c r="DF19" s="43"/>
      <c r="DG19" s="43"/>
      <c r="DI19" s="31"/>
      <c r="DJ19" s="31"/>
      <c r="DK19" s="31"/>
      <c r="DL19" s="31"/>
      <c r="DM19" s="31"/>
      <c r="DN19" s="31"/>
      <c r="DO19" s="31"/>
      <c r="DP19" s="31"/>
      <c r="DQ19" s="31"/>
      <c r="DR19" s="31"/>
      <c r="DS19" s="31"/>
      <c r="DT19" s="31"/>
      <c r="DU19" s="31"/>
      <c r="DV19" s="31"/>
      <c r="DW19" s="31"/>
      <c r="DX19" s="31"/>
      <c r="DY19" s="31"/>
      <c r="DZ19" s="31"/>
      <c r="EA19" s="31"/>
      <c r="EB19" s="31"/>
      <c r="EC19" s="31"/>
      <c r="ED19" s="31"/>
      <c r="EE19" s="31"/>
      <c r="EF19" s="31"/>
      <c r="EG19" s="31"/>
      <c r="EH19" s="31"/>
      <c r="EI19" s="31"/>
      <c r="EJ19" s="31"/>
      <c r="EK19" s="31"/>
      <c r="EL19" s="31"/>
      <c r="EM19" s="31"/>
    </row>
    <row r="20" spans="2:143">
      <c r="B20" s="3"/>
      <c r="D20" s="39" t="str">
        <f t="shared" si="4"/>
        <v>-/-</v>
      </c>
      <c r="F20" s="3"/>
      <c r="H20" s="118"/>
      <c r="I20" s="118"/>
      <c r="J20" s="118"/>
      <c r="K20" s="118"/>
      <c r="M20" s="118"/>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c r="AU20" s="43"/>
      <c r="AV20" s="43"/>
      <c r="AW20" s="43"/>
      <c r="AX20" s="43"/>
      <c r="AY20" s="43"/>
      <c r="AZ20" s="43"/>
      <c r="BA20" s="43"/>
      <c r="BB20" s="43"/>
      <c r="BC20" s="43"/>
      <c r="BD20" s="43"/>
      <c r="BE20" s="43"/>
      <c r="BF20" s="43"/>
      <c r="BG20" s="43"/>
      <c r="BH20" s="43"/>
      <c r="BI20" s="43"/>
      <c r="BJ20" s="43"/>
      <c r="BK20" s="43"/>
      <c r="BL20" s="43"/>
      <c r="BM20" s="43"/>
      <c r="BN20" s="43"/>
      <c r="BO20" s="43"/>
      <c r="BP20" s="43"/>
      <c r="BQ20" s="43"/>
      <c r="BR20" s="43"/>
      <c r="BS20" s="43"/>
      <c r="BT20" s="43"/>
      <c r="BU20" s="43"/>
      <c r="BV20" s="43"/>
      <c r="BW20" s="43"/>
      <c r="BX20" s="43"/>
      <c r="BY20" s="43"/>
      <c r="CA20" s="19"/>
      <c r="CC20" s="43"/>
      <c r="CD20" s="43"/>
      <c r="CE20" s="43"/>
      <c r="CF20" s="43"/>
      <c r="CG20" s="43"/>
      <c r="CH20" s="43"/>
      <c r="CI20" s="43"/>
      <c r="CJ20" s="43"/>
      <c r="CK20" s="43"/>
      <c r="CL20" s="43"/>
      <c r="CM20" s="43"/>
      <c r="CN20" s="43"/>
      <c r="CO20" s="43"/>
      <c r="CP20" s="43"/>
      <c r="CQ20" s="43"/>
      <c r="CR20" s="43"/>
      <c r="CS20" s="43"/>
      <c r="CT20" s="43"/>
      <c r="CU20" s="43"/>
      <c r="CV20" s="43"/>
      <c r="CW20" s="43"/>
      <c r="CX20" s="43"/>
      <c r="CY20" s="43"/>
      <c r="CZ20" s="43"/>
      <c r="DA20" s="43"/>
      <c r="DB20" s="43"/>
      <c r="DC20" s="43"/>
      <c r="DD20" s="43"/>
      <c r="DE20" s="43"/>
      <c r="DF20" s="43"/>
      <c r="DG20" s="43"/>
      <c r="DI20" s="31"/>
      <c r="DJ20" s="31"/>
      <c r="DK20" s="31"/>
      <c r="DL20" s="31"/>
      <c r="DM20" s="31"/>
      <c r="DN20" s="31"/>
      <c r="DO20" s="31"/>
      <c r="DP20" s="31"/>
      <c r="DQ20" s="31"/>
      <c r="DR20" s="31"/>
      <c r="DS20" s="31"/>
      <c r="DT20" s="31"/>
      <c r="DU20" s="31"/>
      <c r="DV20" s="31"/>
      <c r="DW20" s="31"/>
      <c r="DX20" s="31"/>
      <c r="DY20" s="31"/>
      <c r="DZ20" s="31"/>
      <c r="EA20" s="31"/>
      <c r="EB20" s="31"/>
      <c r="EC20" s="31"/>
      <c r="ED20" s="31"/>
      <c r="EE20" s="31"/>
      <c r="EF20" s="31"/>
      <c r="EG20" s="31"/>
      <c r="EH20" s="31"/>
      <c r="EI20" s="31"/>
      <c r="EJ20" s="31"/>
      <c r="EK20" s="31"/>
      <c r="EL20" s="31"/>
      <c r="EM20" s="31"/>
    </row>
  </sheetData>
  <conditionalFormatting sqref="D11:D20">
    <cfRule type="cellIs" dxfId="46" priority="1" operator="equal">
      <formula>FALSE</formula>
    </cfRule>
  </conditionalFormatting>
  <dataValidations count="1">
    <dataValidation type="list" allowBlank="1" showInputMessage="1" showErrorMessage="1" sqref="M11:M20 CA11:CB20 H11:K20" xr:uid="{D5048A61-9364-C145-8F33-1433DE1C8610}">
      <formula1>"TRUE,FALSE"</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12" id="{3894FF23-4187-7245-8AF5-CA7614776403}">
            <xm:f>ISNUMBER(MATCH(F11,'RESOLVE Case Settings'!$C$19:$C$42,0))</xm:f>
            <x14:dxf>
              <font>
                <color rgb="FF006100"/>
              </font>
              <fill>
                <patternFill>
                  <bgColor rgb="FFC6EFCE"/>
                </patternFill>
              </fill>
            </x14:dxf>
          </x14:cfRule>
          <xm:sqref>F11:F20</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D3ACD-9153-4E40-8F8E-7B3A3AAABB88}">
  <sheetPr codeName="Sheet18">
    <tabColor theme="7" tint="0.79998168889431442"/>
  </sheetPr>
  <dimension ref="A1:JZ35"/>
  <sheetViews>
    <sheetView showGridLines="0" zoomScale="70" zoomScaleNormal="70" workbookViewId="0">
      <pane xSplit="7" ySplit="10" topLeftCell="IY11" activePane="bottomRight" state="frozen"/>
      <selection pane="topRight" activeCell="N35" sqref="N35"/>
      <selection pane="bottomLeft" activeCell="N35" sqref="N35"/>
      <selection pane="bottomRight" activeCell="JA12" sqref="JA12"/>
    </sheetView>
  </sheetViews>
  <sheetFormatPr baseColWidth="10" defaultColWidth="11" defaultRowHeight="12" outlineLevelRow="1" outlineLevelCol="1"/>
  <cols>
    <col min="2" max="2" width="43.59765625" customWidth="1"/>
    <col min="3" max="3" width="3" customWidth="1" outlineLevel="1"/>
    <col min="4" max="4" width="25" customWidth="1" outlineLevel="1"/>
    <col min="5" max="5" width="4" customWidth="1" outlineLevel="1"/>
    <col min="6" max="6" width="30.3984375" customWidth="1" outlineLevel="1"/>
    <col min="7" max="7" width="3" customWidth="1"/>
    <col min="8" max="8" width="18.3984375" customWidth="1" outlineLevel="1"/>
    <col min="9" max="9" width="3" customWidth="1" outlineLevel="1"/>
    <col min="10" max="10" width="17" customWidth="1" outlineLevel="1"/>
    <col min="11" max="11" width="3" customWidth="1" outlineLevel="1"/>
    <col min="12" max="12" width="20" customWidth="1" outlineLevel="1"/>
    <col min="13" max="13" width="3" customWidth="1" outlineLevel="1"/>
    <col min="14" max="14" width="16" customWidth="1" outlineLevel="1"/>
    <col min="15" max="15" width="3" customWidth="1"/>
    <col min="16" max="21" width="16" customWidth="1" outlineLevel="1"/>
    <col min="22" max="22" width="3" customWidth="1" outlineLevel="1"/>
    <col min="23" max="30" width="16" customWidth="1" outlineLevel="1"/>
    <col min="31" max="31" width="3" customWidth="1" outlineLevel="1"/>
    <col min="32" max="33" width="16" customWidth="1"/>
    <col min="34" max="34" width="3" customWidth="1"/>
    <col min="35" max="35" width="16" customWidth="1"/>
    <col min="36" max="39" width="16" hidden="1" customWidth="1" outlineLevel="1"/>
    <col min="40" max="40" width="16" customWidth="1" collapsed="1"/>
    <col min="41" max="44" width="16" hidden="1" customWidth="1" outlineLevel="1"/>
    <col min="45" max="45" width="16" customWidth="1" collapsed="1"/>
    <col min="46" max="49" width="16" hidden="1" customWidth="1" outlineLevel="1"/>
    <col min="50" max="50" width="16" customWidth="1" collapsed="1"/>
    <col min="51" max="54" width="16" hidden="1" customWidth="1" outlineLevel="1"/>
    <col min="55" max="55" width="16" customWidth="1" collapsed="1"/>
    <col min="56" max="59" width="16" hidden="1" customWidth="1" outlineLevel="1"/>
    <col min="60" max="60" width="16" customWidth="1" collapsed="1"/>
    <col min="61" max="64" width="16" hidden="1" customWidth="1" outlineLevel="1"/>
    <col min="65" max="65" width="16" customWidth="1" collapsed="1"/>
    <col min="66" max="66" width="3" customWidth="1"/>
    <col min="67" max="67" width="16" customWidth="1"/>
    <col min="68" max="71" width="16" hidden="1" customWidth="1" outlineLevel="1"/>
    <col min="72" max="72" width="16" customWidth="1" collapsed="1"/>
    <col min="73" max="76" width="16" hidden="1" customWidth="1" outlineLevel="1"/>
    <col min="77" max="77" width="16" customWidth="1" collapsed="1"/>
    <col min="78" max="81" width="16" hidden="1" customWidth="1" outlineLevel="1"/>
    <col min="82" max="82" width="16" customWidth="1" collapsed="1"/>
    <col min="83" max="86" width="16" hidden="1" customWidth="1" outlineLevel="1"/>
    <col min="87" max="87" width="16" customWidth="1" collapsed="1"/>
    <col min="88" max="91" width="16" hidden="1" customWidth="1" outlineLevel="1"/>
    <col min="92" max="92" width="16" customWidth="1" collapsed="1"/>
    <col min="93" max="96" width="16" hidden="1" customWidth="1" outlineLevel="1"/>
    <col min="97" max="97" width="16" customWidth="1" collapsed="1"/>
    <col min="98" max="98" width="3" customWidth="1"/>
    <col min="99" max="99" width="16" customWidth="1"/>
    <col min="100" max="103" width="16" hidden="1" customWidth="1" outlineLevel="1"/>
    <col min="104" max="104" width="16" customWidth="1" collapsed="1"/>
    <col min="105" max="108" width="16" hidden="1" customWidth="1" outlineLevel="1"/>
    <col min="109" max="109" width="16" customWidth="1" collapsed="1"/>
    <col min="110" max="113" width="16" hidden="1" customWidth="1" outlineLevel="1"/>
    <col min="114" max="114" width="16" customWidth="1" collapsed="1"/>
    <col min="115" max="118" width="16" hidden="1" customWidth="1" outlineLevel="1"/>
    <col min="119" max="119" width="16" customWidth="1" collapsed="1"/>
    <col min="120" max="123" width="16" hidden="1" customWidth="1" outlineLevel="1"/>
    <col min="124" max="124" width="16" customWidth="1" collapsed="1"/>
    <col min="125" max="128" width="16" hidden="1" customWidth="1" outlineLevel="1"/>
    <col min="129" max="129" width="16" customWidth="1" collapsed="1"/>
    <col min="130" max="130" width="3" customWidth="1"/>
    <col min="131" max="131" width="16" customWidth="1"/>
    <col min="132" max="135" width="16" hidden="1" customWidth="1" outlineLevel="1"/>
    <col min="136" max="136" width="16" customWidth="1" collapsed="1"/>
    <col min="137" max="140" width="16" hidden="1" customWidth="1" outlineLevel="1"/>
    <col min="141" max="141" width="16" customWidth="1" collapsed="1"/>
    <col min="142" max="145" width="16" hidden="1" customWidth="1" outlineLevel="1"/>
    <col min="146" max="146" width="16" customWidth="1" collapsed="1"/>
    <col min="147" max="150" width="16" hidden="1" customWidth="1" outlineLevel="1"/>
    <col min="151" max="151" width="16" customWidth="1" collapsed="1"/>
    <col min="152" max="155" width="16" hidden="1" customWidth="1" outlineLevel="1"/>
    <col min="156" max="156" width="16" customWidth="1" collapsed="1"/>
    <col min="157" max="160" width="16" hidden="1" customWidth="1" outlineLevel="1"/>
    <col min="161" max="161" width="16" customWidth="1" collapsed="1"/>
    <col min="162" max="162" width="3" customWidth="1"/>
    <col min="163" max="163" width="16" customWidth="1"/>
    <col min="164" max="164" width="3" customWidth="1"/>
    <col min="165" max="165" width="16" customWidth="1"/>
    <col min="166" max="169" width="16" hidden="1" customWidth="1" outlineLevel="1"/>
    <col min="170" max="170" width="16" customWidth="1" collapsed="1"/>
    <col min="171" max="174" width="16" hidden="1" customWidth="1" outlineLevel="1"/>
    <col min="175" max="175" width="16" customWidth="1" collapsed="1"/>
    <col min="176" max="179" width="16" hidden="1" customWidth="1" outlineLevel="1"/>
    <col min="180" max="180" width="16" customWidth="1" collapsed="1"/>
    <col min="181" max="184" width="16" hidden="1" customWidth="1" outlineLevel="1"/>
    <col min="185" max="185" width="16" customWidth="1" collapsed="1"/>
    <col min="186" max="189" width="16" hidden="1" customWidth="1" outlineLevel="1"/>
    <col min="190" max="190" width="16" customWidth="1" collapsed="1"/>
    <col min="191" max="194" width="16" hidden="1" customWidth="1" outlineLevel="1"/>
    <col min="195" max="195" width="16" customWidth="1" collapsed="1"/>
    <col min="196" max="196" width="3" customWidth="1"/>
    <col min="197" max="197" width="16" customWidth="1"/>
    <col min="198" max="201" width="16" hidden="1" customWidth="1" outlineLevel="1"/>
    <col min="202" max="202" width="16" customWidth="1" collapsed="1"/>
    <col min="203" max="206" width="16" hidden="1" customWidth="1" outlineLevel="1"/>
    <col min="207" max="207" width="16" customWidth="1" collapsed="1"/>
    <col min="208" max="211" width="16" hidden="1" customWidth="1" outlineLevel="1"/>
    <col min="212" max="212" width="16" customWidth="1" collapsed="1"/>
    <col min="213" max="216" width="16" hidden="1" customWidth="1" outlineLevel="1"/>
    <col min="217" max="217" width="16" customWidth="1" collapsed="1"/>
    <col min="218" max="221" width="16" hidden="1" customWidth="1" outlineLevel="1"/>
    <col min="222" max="222" width="16" customWidth="1" collapsed="1"/>
    <col min="223" max="226" width="16" hidden="1" customWidth="1" outlineLevel="1"/>
    <col min="227" max="227" width="16" customWidth="1" collapsed="1"/>
    <col min="228" max="228" width="3" customWidth="1"/>
    <col min="229" max="229" width="16" customWidth="1"/>
    <col min="230" max="233" width="16" hidden="1" customWidth="1" outlineLevel="1"/>
    <col min="234" max="234" width="16" customWidth="1" collapsed="1"/>
    <col min="235" max="238" width="16" hidden="1" customWidth="1" outlineLevel="1"/>
    <col min="239" max="239" width="16" customWidth="1" collapsed="1"/>
    <col min="240" max="243" width="16" hidden="1" customWidth="1" outlineLevel="1"/>
    <col min="244" max="244" width="16" customWidth="1" collapsed="1"/>
    <col min="245" max="248" width="16" hidden="1" customWidth="1" outlineLevel="1"/>
    <col min="249" max="249" width="16" customWidth="1" collapsed="1"/>
    <col min="250" max="253" width="16" hidden="1" customWidth="1" outlineLevel="1"/>
    <col min="254" max="254" width="16" customWidth="1" collapsed="1"/>
    <col min="255" max="258" width="16" hidden="1" customWidth="1" outlineLevel="1"/>
    <col min="259" max="259" width="16" customWidth="1" collapsed="1"/>
    <col min="260" max="260" width="3" customWidth="1"/>
    <col min="261" max="270" width="16" customWidth="1"/>
    <col min="271" max="271" width="3" customWidth="1"/>
    <col min="272" max="275" width="16" customWidth="1"/>
    <col min="276" max="276" width="3" customWidth="1"/>
    <col min="277" max="280" width="16" customWidth="1"/>
    <col min="281" max="281" width="3" customWidth="1"/>
    <col min="282" max="282" width="3" customWidth="1" outlineLevel="1"/>
    <col min="283" max="283" width="16" customWidth="1" outlineLevel="1"/>
    <col min="284" max="285" width="16" style="82" customWidth="1" outlineLevel="1"/>
    <col min="286" max="286" width="3" customWidth="1" outlineLevel="1"/>
  </cols>
  <sheetData>
    <row r="1" spans="1:286" s="5" customFormat="1" ht="29" thickBot="1">
      <c r="A1" s="5" t="s">
        <v>413</v>
      </c>
      <c r="O1" s="133"/>
    </row>
    <row r="2" spans="1:286">
      <c r="JX2"/>
      <c r="JY2"/>
    </row>
    <row r="3" spans="1:286">
      <c r="JX3"/>
      <c r="JY3"/>
    </row>
    <row r="4" spans="1:286" ht="19" thickBot="1">
      <c r="H4" s="9" t="s">
        <v>259</v>
      </c>
      <c r="I4" s="9"/>
      <c r="J4" s="9"/>
      <c r="K4" s="9"/>
      <c r="L4" s="9"/>
      <c r="M4" s="9"/>
      <c r="N4" s="9"/>
      <c r="P4" s="9"/>
      <c r="Q4" s="9"/>
      <c r="R4" s="9"/>
      <c r="S4" s="9"/>
      <c r="T4" s="9"/>
      <c r="U4" s="9"/>
      <c r="V4" s="9"/>
      <c r="W4" s="9"/>
      <c r="X4" s="9"/>
      <c r="Y4" s="9"/>
      <c r="Z4" s="9"/>
      <c r="AA4" s="9"/>
      <c r="AB4" s="9"/>
      <c r="AC4" s="9"/>
      <c r="AD4" s="9"/>
      <c r="AF4" s="9" t="s">
        <v>398</v>
      </c>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G4" s="9" t="s">
        <v>399</v>
      </c>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W4" s="9"/>
      <c r="IX4" s="9"/>
      <c r="IY4" s="9"/>
      <c r="JA4" s="9" t="s">
        <v>414</v>
      </c>
      <c r="JB4" s="9"/>
      <c r="JC4" s="9"/>
      <c r="JD4" s="9"/>
      <c r="JE4" s="9"/>
      <c r="JF4" s="9"/>
      <c r="JG4" s="9"/>
      <c r="JH4" s="9"/>
      <c r="JI4" s="9"/>
      <c r="JJ4" s="9"/>
      <c r="JK4" s="9"/>
      <c r="JL4" s="9"/>
      <c r="JM4" s="9"/>
      <c r="JN4" s="9"/>
      <c r="JO4" s="9"/>
      <c r="JP4" s="9"/>
      <c r="JQ4" s="9"/>
      <c r="JR4" s="9"/>
      <c r="JS4" s="9"/>
      <c r="JT4" s="9"/>
      <c r="JU4" s="9"/>
      <c r="JW4" s="9" t="s">
        <v>415</v>
      </c>
      <c r="JX4" s="9"/>
      <c r="JY4" s="9"/>
      <c r="JZ4" s="9"/>
    </row>
    <row r="5" spans="1:286">
      <c r="JX5"/>
      <c r="JY5"/>
    </row>
    <row r="6" spans="1:286" ht="15" thickBot="1">
      <c r="P6" s="83" t="s">
        <v>279</v>
      </c>
      <c r="Q6" s="83"/>
      <c r="R6" s="83"/>
      <c r="S6" s="83"/>
      <c r="T6" s="83"/>
      <c r="U6" s="83"/>
      <c r="W6" s="83" t="s">
        <v>302</v>
      </c>
      <c r="X6" s="83"/>
      <c r="Y6" s="83"/>
      <c r="Z6" s="83"/>
      <c r="AA6" s="83"/>
      <c r="AB6" s="83"/>
      <c r="AC6" s="83"/>
      <c r="AD6" s="83"/>
      <c r="DE6" s="32"/>
      <c r="DF6" s="32"/>
      <c r="DG6" s="32"/>
      <c r="DH6" s="32"/>
      <c r="DI6" s="32"/>
      <c r="DJ6" s="32"/>
      <c r="DK6" s="32"/>
      <c r="DL6" s="32"/>
      <c r="DM6" s="32"/>
      <c r="DN6" s="32"/>
      <c r="DO6" s="32"/>
      <c r="DP6" s="32"/>
      <c r="DQ6" s="32"/>
      <c r="DR6" s="32"/>
      <c r="DS6" s="32"/>
      <c r="DT6" s="32"/>
      <c r="DU6" s="32"/>
      <c r="DV6" s="32"/>
      <c r="DW6" s="32"/>
      <c r="DX6" s="32"/>
      <c r="DY6" s="32"/>
      <c r="JH6" s="87"/>
      <c r="JX6"/>
      <c r="JY6"/>
    </row>
    <row r="7" spans="1:286">
      <c r="H7" s="48" t="s">
        <v>834</v>
      </c>
      <c r="J7" s="48" t="s">
        <v>834</v>
      </c>
      <c r="L7" s="48" t="s">
        <v>835</v>
      </c>
      <c r="N7" s="48" t="s">
        <v>833</v>
      </c>
      <c r="P7" s="48" t="s">
        <v>834</v>
      </c>
      <c r="Q7" s="48" t="s">
        <v>834</v>
      </c>
      <c r="R7" s="48" t="s">
        <v>834</v>
      </c>
      <c r="S7" s="48" t="s">
        <v>834</v>
      </c>
      <c r="T7" s="48" t="s">
        <v>834</v>
      </c>
      <c r="U7" s="48" t="s">
        <v>834</v>
      </c>
      <c r="W7" s="26" t="s">
        <v>833</v>
      </c>
      <c r="X7" s="26" t="s">
        <v>833</v>
      </c>
      <c r="Y7" s="26" t="s">
        <v>833</v>
      </c>
      <c r="Z7" s="26" t="s">
        <v>833</v>
      </c>
      <c r="AA7" s="26" t="s">
        <v>833</v>
      </c>
      <c r="AB7" s="26" t="s">
        <v>833</v>
      </c>
      <c r="AC7" s="26" t="s">
        <v>833</v>
      </c>
      <c r="AD7" s="26" t="s">
        <v>833</v>
      </c>
      <c r="AF7" s="48" t="s">
        <v>833</v>
      </c>
      <c r="AG7" s="48" t="s">
        <v>833</v>
      </c>
      <c r="AI7" s="48" t="s">
        <v>834</v>
      </c>
      <c r="AJ7" s="48" t="s">
        <v>834</v>
      </c>
      <c r="AK7" s="48" t="s">
        <v>834</v>
      </c>
      <c r="AL7" s="48" t="s">
        <v>834</v>
      </c>
      <c r="AM7" s="48" t="s">
        <v>834</v>
      </c>
      <c r="AN7" s="48" t="s">
        <v>834</v>
      </c>
      <c r="AO7" s="48" t="s">
        <v>834</v>
      </c>
      <c r="AP7" s="48" t="s">
        <v>834</v>
      </c>
      <c r="AQ7" s="48" t="s">
        <v>834</v>
      </c>
      <c r="AR7" s="48" t="s">
        <v>834</v>
      </c>
      <c r="AS7" s="48" t="s">
        <v>834</v>
      </c>
      <c r="AT7" s="48" t="s">
        <v>834</v>
      </c>
      <c r="AU7" s="48" t="s">
        <v>834</v>
      </c>
      <c r="AV7" s="48" t="s">
        <v>834</v>
      </c>
      <c r="AW7" s="48" t="s">
        <v>834</v>
      </c>
      <c r="AX7" s="48" t="s">
        <v>834</v>
      </c>
      <c r="AY7" s="48" t="s">
        <v>834</v>
      </c>
      <c r="AZ7" s="48" t="s">
        <v>834</v>
      </c>
      <c r="BA7" s="48" t="s">
        <v>834</v>
      </c>
      <c r="BB7" s="48" t="s">
        <v>834</v>
      </c>
      <c r="BC7" s="48" t="s">
        <v>834</v>
      </c>
      <c r="BD7" s="48" t="s">
        <v>834</v>
      </c>
      <c r="BE7" s="48" t="s">
        <v>834</v>
      </c>
      <c r="BF7" s="48" t="s">
        <v>834</v>
      </c>
      <c r="BG7" s="48" t="s">
        <v>834</v>
      </c>
      <c r="BH7" s="48" t="s">
        <v>834</v>
      </c>
      <c r="BI7" s="48" t="s">
        <v>834</v>
      </c>
      <c r="BJ7" s="48" t="s">
        <v>834</v>
      </c>
      <c r="BK7" s="48" t="s">
        <v>834</v>
      </c>
      <c r="BL7" s="48" t="s">
        <v>834</v>
      </c>
      <c r="BM7" s="48" t="s">
        <v>834</v>
      </c>
      <c r="BO7" s="48" t="s">
        <v>833</v>
      </c>
      <c r="BP7" s="48" t="s">
        <v>833</v>
      </c>
      <c r="BQ7" s="48" t="s">
        <v>833</v>
      </c>
      <c r="BR7" s="48" t="s">
        <v>833</v>
      </c>
      <c r="BS7" s="48" t="s">
        <v>833</v>
      </c>
      <c r="BT7" s="48" t="s">
        <v>833</v>
      </c>
      <c r="BU7" s="48" t="s">
        <v>833</v>
      </c>
      <c r="BV7" s="48" t="s">
        <v>833</v>
      </c>
      <c r="BW7" s="48" t="s">
        <v>833</v>
      </c>
      <c r="BX7" s="48" t="s">
        <v>833</v>
      </c>
      <c r="BY7" s="48" t="s">
        <v>833</v>
      </c>
      <c r="BZ7" s="48" t="s">
        <v>833</v>
      </c>
      <c r="CA7" s="48" t="s">
        <v>833</v>
      </c>
      <c r="CB7" s="48" t="s">
        <v>833</v>
      </c>
      <c r="CC7" s="48" t="s">
        <v>833</v>
      </c>
      <c r="CD7" s="48" t="s">
        <v>833</v>
      </c>
      <c r="CE7" s="48" t="s">
        <v>833</v>
      </c>
      <c r="CF7" s="48" t="s">
        <v>833</v>
      </c>
      <c r="CG7" s="48" t="s">
        <v>833</v>
      </c>
      <c r="CH7" s="48" t="s">
        <v>833</v>
      </c>
      <c r="CI7" s="48" t="s">
        <v>833</v>
      </c>
      <c r="CJ7" s="48" t="s">
        <v>833</v>
      </c>
      <c r="CK7" s="48" t="s">
        <v>833</v>
      </c>
      <c r="CL7" s="48" t="s">
        <v>833</v>
      </c>
      <c r="CM7" s="48" t="s">
        <v>833</v>
      </c>
      <c r="CN7" s="48" t="s">
        <v>833</v>
      </c>
      <c r="CO7" s="48" t="s">
        <v>833</v>
      </c>
      <c r="CP7" s="48" t="s">
        <v>833</v>
      </c>
      <c r="CQ7" s="48" t="s">
        <v>833</v>
      </c>
      <c r="CR7" s="48" t="s">
        <v>833</v>
      </c>
      <c r="CS7" s="48" t="s">
        <v>833</v>
      </c>
      <c r="CU7" s="48" t="s">
        <v>833</v>
      </c>
      <c r="CV7" s="48" t="s">
        <v>833</v>
      </c>
      <c r="CW7" s="48" t="s">
        <v>833</v>
      </c>
      <c r="CX7" s="48" t="s">
        <v>833</v>
      </c>
      <c r="CY7" s="48" t="s">
        <v>833</v>
      </c>
      <c r="CZ7" s="48" t="s">
        <v>833</v>
      </c>
      <c r="DA7" s="48" t="s">
        <v>833</v>
      </c>
      <c r="DB7" s="48" t="s">
        <v>833</v>
      </c>
      <c r="DC7" s="48" t="s">
        <v>833</v>
      </c>
      <c r="DD7" s="48" t="s">
        <v>833</v>
      </c>
      <c r="DE7" s="48" t="s">
        <v>833</v>
      </c>
      <c r="DF7" s="48" t="s">
        <v>833</v>
      </c>
      <c r="DG7" s="48" t="s">
        <v>833</v>
      </c>
      <c r="DH7" s="48" t="s">
        <v>833</v>
      </c>
      <c r="DI7" s="48" t="s">
        <v>833</v>
      </c>
      <c r="DJ7" s="48" t="s">
        <v>833</v>
      </c>
      <c r="DK7" s="48" t="s">
        <v>833</v>
      </c>
      <c r="DL7" s="48" t="s">
        <v>833</v>
      </c>
      <c r="DM7" s="48" t="s">
        <v>833</v>
      </c>
      <c r="DN7" s="48" t="s">
        <v>833</v>
      </c>
      <c r="DO7" s="48" t="s">
        <v>833</v>
      </c>
      <c r="DP7" s="48" t="s">
        <v>833</v>
      </c>
      <c r="DQ7" s="48" t="s">
        <v>833</v>
      </c>
      <c r="DR7" s="48" t="s">
        <v>833</v>
      </c>
      <c r="DS7" s="48" t="s">
        <v>833</v>
      </c>
      <c r="DT7" s="48" t="s">
        <v>833</v>
      </c>
      <c r="DU7" s="48" t="s">
        <v>833</v>
      </c>
      <c r="DV7" s="48" t="s">
        <v>833</v>
      </c>
      <c r="DW7" s="48" t="s">
        <v>833</v>
      </c>
      <c r="DX7" s="48" t="s">
        <v>833</v>
      </c>
      <c r="DY7" s="48" t="s">
        <v>833</v>
      </c>
      <c r="EA7" s="48" t="s">
        <v>833</v>
      </c>
      <c r="EB7" s="48" t="s">
        <v>833</v>
      </c>
      <c r="EC7" s="48" t="s">
        <v>833</v>
      </c>
      <c r="ED7" s="48" t="s">
        <v>833</v>
      </c>
      <c r="EE7" s="48" t="s">
        <v>833</v>
      </c>
      <c r="EF7" s="48" t="s">
        <v>833</v>
      </c>
      <c r="EG7" s="48" t="s">
        <v>833</v>
      </c>
      <c r="EH7" s="48" t="s">
        <v>833</v>
      </c>
      <c r="EI7" s="48" t="s">
        <v>833</v>
      </c>
      <c r="EJ7" s="48" t="s">
        <v>833</v>
      </c>
      <c r="EK7" s="48" t="s">
        <v>833</v>
      </c>
      <c r="EL7" s="48" t="s">
        <v>833</v>
      </c>
      <c r="EM7" s="48" t="s">
        <v>833</v>
      </c>
      <c r="EN7" s="48" t="s">
        <v>833</v>
      </c>
      <c r="EO7" s="48" t="s">
        <v>833</v>
      </c>
      <c r="EP7" s="48" t="s">
        <v>833</v>
      </c>
      <c r="EQ7" s="48" t="s">
        <v>833</v>
      </c>
      <c r="ER7" s="48" t="s">
        <v>833</v>
      </c>
      <c r="ES7" s="48" t="s">
        <v>833</v>
      </c>
      <c r="ET7" s="48" t="s">
        <v>833</v>
      </c>
      <c r="EU7" s="48" t="s">
        <v>833</v>
      </c>
      <c r="EV7" s="48" t="s">
        <v>833</v>
      </c>
      <c r="EW7" s="48" t="s">
        <v>833</v>
      </c>
      <c r="EX7" s="48" t="s">
        <v>833</v>
      </c>
      <c r="EY7" s="48" t="s">
        <v>833</v>
      </c>
      <c r="EZ7" s="48" t="s">
        <v>833</v>
      </c>
      <c r="FA7" s="48" t="s">
        <v>833</v>
      </c>
      <c r="FB7" s="48" t="s">
        <v>833</v>
      </c>
      <c r="FC7" s="48" t="s">
        <v>833</v>
      </c>
      <c r="FD7" s="48" t="s">
        <v>833</v>
      </c>
      <c r="FE7" s="48" t="s">
        <v>833</v>
      </c>
      <c r="FG7" s="48" t="s">
        <v>833</v>
      </c>
      <c r="FI7" s="48" t="s">
        <v>833</v>
      </c>
      <c r="FJ7" s="48" t="s">
        <v>833</v>
      </c>
      <c r="FK7" s="48" t="s">
        <v>833</v>
      </c>
      <c r="FL7" s="48" t="s">
        <v>833</v>
      </c>
      <c r="FM7" s="48" t="s">
        <v>833</v>
      </c>
      <c r="FN7" s="48" t="s">
        <v>833</v>
      </c>
      <c r="FO7" s="48" t="s">
        <v>833</v>
      </c>
      <c r="FP7" s="48" t="s">
        <v>833</v>
      </c>
      <c r="FQ7" s="48" t="s">
        <v>833</v>
      </c>
      <c r="FR7" s="48" t="s">
        <v>833</v>
      </c>
      <c r="FS7" s="48" t="s">
        <v>833</v>
      </c>
      <c r="FT7" s="48" t="s">
        <v>833</v>
      </c>
      <c r="FU7" s="48" t="s">
        <v>833</v>
      </c>
      <c r="FV7" s="48" t="s">
        <v>833</v>
      </c>
      <c r="FW7" s="48" t="s">
        <v>833</v>
      </c>
      <c r="FX7" s="48" t="s">
        <v>833</v>
      </c>
      <c r="FY7" s="48" t="s">
        <v>833</v>
      </c>
      <c r="FZ7" s="48" t="s">
        <v>833</v>
      </c>
      <c r="GA7" s="48" t="s">
        <v>833</v>
      </c>
      <c r="GB7" s="48" t="s">
        <v>833</v>
      </c>
      <c r="GC7" s="48" t="s">
        <v>833</v>
      </c>
      <c r="GD7" s="48" t="s">
        <v>833</v>
      </c>
      <c r="GE7" s="48" t="s">
        <v>833</v>
      </c>
      <c r="GF7" s="48" t="s">
        <v>833</v>
      </c>
      <c r="GG7" s="48" t="s">
        <v>833</v>
      </c>
      <c r="GH7" s="48" t="s">
        <v>833</v>
      </c>
      <c r="GI7" s="48" t="s">
        <v>833</v>
      </c>
      <c r="GJ7" s="48" t="s">
        <v>833</v>
      </c>
      <c r="GK7" s="48" t="s">
        <v>833</v>
      </c>
      <c r="GL7" s="48" t="s">
        <v>833</v>
      </c>
      <c r="GM7" s="48" t="s">
        <v>833</v>
      </c>
      <c r="GO7" s="48" t="s">
        <v>833</v>
      </c>
      <c r="GP7" s="48" t="s">
        <v>833</v>
      </c>
      <c r="GQ7" s="48" t="s">
        <v>833</v>
      </c>
      <c r="GR7" s="48" t="s">
        <v>833</v>
      </c>
      <c r="GS7" s="48" t="s">
        <v>833</v>
      </c>
      <c r="GT7" s="48" t="s">
        <v>833</v>
      </c>
      <c r="GU7" s="48" t="s">
        <v>833</v>
      </c>
      <c r="GV7" s="48" t="s">
        <v>833</v>
      </c>
      <c r="GW7" s="48" t="s">
        <v>833</v>
      </c>
      <c r="GX7" s="48" t="s">
        <v>833</v>
      </c>
      <c r="GY7" s="48" t="s">
        <v>833</v>
      </c>
      <c r="GZ7" s="48" t="s">
        <v>833</v>
      </c>
      <c r="HA7" s="48" t="s">
        <v>833</v>
      </c>
      <c r="HB7" s="48" t="s">
        <v>833</v>
      </c>
      <c r="HC7" s="48" t="s">
        <v>833</v>
      </c>
      <c r="HD7" s="48" t="s">
        <v>833</v>
      </c>
      <c r="HE7" s="48" t="s">
        <v>833</v>
      </c>
      <c r="HF7" s="48" t="s">
        <v>833</v>
      </c>
      <c r="HG7" s="48" t="s">
        <v>833</v>
      </c>
      <c r="HH7" s="48" t="s">
        <v>833</v>
      </c>
      <c r="HI7" s="48" t="s">
        <v>833</v>
      </c>
      <c r="HJ7" s="48" t="s">
        <v>833</v>
      </c>
      <c r="HK7" s="48" t="s">
        <v>833</v>
      </c>
      <c r="HL7" s="48" t="s">
        <v>833</v>
      </c>
      <c r="HM7" s="48" t="s">
        <v>833</v>
      </c>
      <c r="HN7" s="48" t="s">
        <v>833</v>
      </c>
      <c r="HO7" s="48" t="s">
        <v>833</v>
      </c>
      <c r="HP7" s="48" t="s">
        <v>833</v>
      </c>
      <c r="HQ7" s="48" t="s">
        <v>833</v>
      </c>
      <c r="HR7" s="48" t="s">
        <v>833</v>
      </c>
      <c r="HS7" s="48" t="s">
        <v>833</v>
      </c>
      <c r="HU7" s="48" t="s">
        <v>833</v>
      </c>
      <c r="HV7" s="48" t="s">
        <v>833</v>
      </c>
      <c r="HW7" s="48" t="s">
        <v>833</v>
      </c>
      <c r="HX7" s="48" t="s">
        <v>833</v>
      </c>
      <c r="HY7" s="48" t="s">
        <v>833</v>
      </c>
      <c r="HZ7" s="48" t="s">
        <v>833</v>
      </c>
      <c r="IA7" s="48" t="s">
        <v>833</v>
      </c>
      <c r="IB7" s="48" t="s">
        <v>833</v>
      </c>
      <c r="IC7" s="48" t="s">
        <v>833</v>
      </c>
      <c r="ID7" s="48" t="s">
        <v>833</v>
      </c>
      <c r="IE7" s="48" t="s">
        <v>833</v>
      </c>
      <c r="IF7" s="48" t="s">
        <v>833</v>
      </c>
      <c r="IG7" s="48" t="s">
        <v>833</v>
      </c>
      <c r="IH7" s="48" t="s">
        <v>833</v>
      </c>
      <c r="II7" s="48" t="s">
        <v>833</v>
      </c>
      <c r="IJ7" s="48" t="s">
        <v>833</v>
      </c>
      <c r="IK7" s="48" t="s">
        <v>833</v>
      </c>
      <c r="IL7" s="48" t="s">
        <v>833</v>
      </c>
      <c r="IM7" s="48" t="s">
        <v>833</v>
      </c>
      <c r="IN7" s="48" t="s">
        <v>833</v>
      </c>
      <c r="IO7" s="48" t="s">
        <v>833</v>
      </c>
      <c r="IP7" s="48" t="s">
        <v>833</v>
      </c>
      <c r="IQ7" s="48" t="s">
        <v>833</v>
      </c>
      <c r="IR7" s="48" t="s">
        <v>833</v>
      </c>
      <c r="IS7" s="48" t="s">
        <v>833</v>
      </c>
      <c r="IT7" s="48" t="s">
        <v>833</v>
      </c>
      <c r="IU7" s="48" t="s">
        <v>833</v>
      </c>
      <c r="IV7" s="48" t="s">
        <v>833</v>
      </c>
      <c r="IW7" s="48" t="s">
        <v>833</v>
      </c>
      <c r="IX7" s="48" t="s">
        <v>833</v>
      </c>
      <c r="IY7" s="48" t="s">
        <v>833</v>
      </c>
      <c r="JA7" s="48" t="s">
        <v>833</v>
      </c>
      <c r="JB7" s="48" t="s">
        <v>833</v>
      </c>
      <c r="JC7" s="48" t="s">
        <v>833</v>
      </c>
      <c r="JD7" s="48" t="s">
        <v>833</v>
      </c>
      <c r="JE7" s="48" t="s">
        <v>833</v>
      </c>
      <c r="JF7" s="48" t="s">
        <v>833</v>
      </c>
      <c r="JG7" s="48" t="s">
        <v>833</v>
      </c>
      <c r="JH7" s="48" t="s">
        <v>833</v>
      </c>
      <c r="JI7" s="48" t="s">
        <v>833</v>
      </c>
      <c r="JJ7" s="48" t="s">
        <v>833</v>
      </c>
      <c r="JL7" s="48" t="s">
        <v>833</v>
      </c>
      <c r="JM7" s="48" t="s">
        <v>833</v>
      </c>
      <c r="JN7" s="48" t="s">
        <v>833</v>
      </c>
      <c r="JO7" s="48" t="s">
        <v>833</v>
      </c>
      <c r="JQ7" s="48" t="s">
        <v>834</v>
      </c>
      <c r="JR7" s="48" t="s">
        <v>834</v>
      </c>
      <c r="JS7" s="48" t="s">
        <v>834</v>
      </c>
      <c r="JT7" s="48" t="s">
        <v>834</v>
      </c>
      <c r="JW7" s="26" t="s">
        <v>835</v>
      </c>
      <c r="JX7" s="26" t="s">
        <v>835</v>
      </c>
      <c r="JY7" s="26" t="s">
        <v>835</v>
      </c>
    </row>
    <row r="8" spans="1:286" ht="42">
      <c r="H8" s="11" t="s">
        <v>203</v>
      </c>
      <c r="J8" s="11" t="s">
        <v>392</v>
      </c>
      <c r="L8" s="11" t="s">
        <v>443</v>
      </c>
      <c r="N8" s="11" t="s">
        <v>416</v>
      </c>
      <c r="P8" s="11" t="str" cm="1">
        <f t="array" aca="1" ref="P8" ca="1">TRANSPOSE(OFFSET(lists_reserves,,,COUNTA(lists_reserves)))</f>
        <v>regulating_up</v>
      </c>
      <c r="Q8" s="11"/>
      <c r="R8" s="11"/>
      <c r="S8" s="11"/>
      <c r="T8" s="11"/>
      <c r="U8" s="11"/>
      <c r="W8" s="11" t="e" cm="1" vm="1">
        <f t="array" aca="1" ref="W8" ca="1">TRANSPOSE(OFFSET(lists_policies,,,COUNTA(lists_policies)))</f>
        <v>#VALUE!</v>
      </c>
      <c r="X8" s="11"/>
      <c r="Y8" s="11"/>
      <c r="Z8" s="11"/>
      <c r="AA8" s="11"/>
      <c r="AB8" s="11"/>
      <c r="AC8" s="11"/>
      <c r="AD8" s="11"/>
      <c r="AF8" s="6" t="s">
        <v>417</v>
      </c>
      <c r="AG8" s="6" t="s">
        <v>418</v>
      </c>
      <c r="AI8" s="6" t="s">
        <v>400</v>
      </c>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O8" s="6" t="s">
        <v>419</v>
      </c>
      <c r="BP8" s="6"/>
      <c r="BQ8" s="6"/>
      <c r="BR8" s="6"/>
      <c r="BS8" s="6"/>
      <c r="BT8" s="6"/>
      <c r="BU8" s="6"/>
      <c r="BV8" s="6"/>
      <c r="BW8" s="6"/>
      <c r="BX8" s="6"/>
      <c r="BY8" s="6"/>
      <c r="BZ8" s="6"/>
      <c r="CA8" s="6"/>
      <c r="CB8" s="6"/>
      <c r="CC8" s="6"/>
      <c r="CD8" s="6"/>
      <c r="CE8" s="6"/>
      <c r="CF8" s="6"/>
      <c r="CG8" s="6"/>
      <c r="CH8" s="6"/>
      <c r="CI8" s="6"/>
      <c r="CJ8" s="6"/>
      <c r="CK8" s="6"/>
      <c r="CL8" s="6"/>
      <c r="CM8" s="6"/>
      <c r="CN8" s="6"/>
      <c r="CO8" s="6"/>
      <c r="CP8" s="6"/>
      <c r="CQ8" s="6"/>
      <c r="CR8" s="6"/>
      <c r="CS8" s="6"/>
      <c r="CU8" s="6" t="s">
        <v>401</v>
      </c>
      <c r="CV8" s="6"/>
      <c r="CW8" s="6"/>
      <c r="CX8" s="6"/>
      <c r="CY8" s="6"/>
      <c r="CZ8" s="6"/>
      <c r="DA8" s="6"/>
      <c r="DB8" s="6"/>
      <c r="DC8" s="6"/>
      <c r="DD8" s="6"/>
      <c r="DE8" s="6"/>
      <c r="DF8" s="6"/>
      <c r="DG8" s="6"/>
      <c r="DH8" s="6"/>
      <c r="DI8" s="6"/>
      <c r="DJ8" s="6"/>
      <c r="DK8" s="6"/>
      <c r="DL8" s="6"/>
      <c r="DM8" s="6"/>
      <c r="DN8" s="6"/>
      <c r="DO8" s="6"/>
      <c r="DP8" s="6"/>
      <c r="DQ8" s="6"/>
      <c r="DR8" s="6"/>
      <c r="DS8" s="6"/>
      <c r="DT8" s="6"/>
      <c r="DU8" s="6"/>
      <c r="DV8" s="6"/>
      <c r="DW8" s="6"/>
      <c r="DX8" s="6"/>
      <c r="DY8" s="6"/>
      <c r="EA8" s="6" t="s">
        <v>403</v>
      </c>
      <c r="EB8" s="6"/>
      <c r="EC8" s="6"/>
      <c r="ED8" s="6"/>
      <c r="EE8" s="6"/>
      <c r="EF8" s="6"/>
      <c r="EG8" s="6"/>
      <c r="EH8" s="6"/>
      <c r="EI8" s="6"/>
      <c r="EJ8" s="6"/>
      <c r="EK8" s="6"/>
      <c r="EL8" s="6"/>
      <c r="EM8" s="6"/>
      <c r="EN8" s="6"/>
      <c r="EO8" s="6"/>
      <c r="EP8" s="6"/>
      <c r="EQ8" s="6"/>
      <c r="ER8" s="6"/>
      <c r="ES8" s="6"/>
      <c r="ET8" s="6"/>
      <c r="EU8" s="6"/>
      <c r="EV8" s="6"/>
      <c r="EW8" s="6"/>
      <c r="EX8" s="6"/>
      <c r="EY8" s="6"/>
      <c r="EZ8" s="6"/>
      <c r="FA8" s="6"/>
      <c r="FB8" s="6"/>
      <c r="FC8" s="6"/>
      <c r="FD8" s="6"/>
      <c r="FE8" s="6"/>
      <c r="FG8" s="11" t="s">
        <v>420</v>
      </c>
      <c r="FI8" s="6" t="s">
        <v>404</v>
      </c>
      <c r="FJ8" s="6"/>
      <c r="FK8" s="6"/>
      <c r="FL8" s="6"/>
      <c r="FM8" s="6"/>
      <c r="FN8" s="6"/>
      <c r="FO8" s="6"/>
      <c r="FP8" s="6"/>
      <c r="FQ8" s="6"/>
      <c r="FR8" s="6"/>
      <c r="FS8" s="6"/>
      <c r="FT8" s="6"/>
      <c r="FU8" s="6"/>
      <c r="FV8" s="6"/>
      <c r="FW8" s="6"/>
      <c r="FX8" s="6"/>
      <c r="FY8" s="6"/>
      <c r="FZ8" s="6"/>
      <c r="GA8" s="6"/>
      <c r="GB8" s="6"/>
      <c r="GC8" s="6"/>
      <c r="GD8" s="6"/>
      <c r="GE8" s="6"/>
      <c r="GF8" s="6"/>
      <c r="GG8" s="6"/>
      <c r="GH8" s="6"/>
      <c r="GI8" s="6"/>
      <c r="GJ8" s="6"/>
      <c r="GK8" s="6"/>
      <c r="GL8" s="6"/>
      <c r="GM8" s="6"/>
      <c r="GO8" s="6" t="s">
        <v>421</v>
      </c>
      <c r="GP8" s="6"/>
      <c r="GQ8" s="6"/>
      <c r="GR8" s="6"/>
      <c r="GS8" s="6"/>
      <c r="GT8" s="6"/>
      <c r="GU8" s="6"/>
      <c r="GV8" s="6"/>
      <c r="GW8" s="6"/>
      <c r="GX8" s="6"/>
      <c r="GY8" s="6"/>
      <c r="GZ8" s="6"/>
      <c r="HA8" s="6"/>
      <c r="HB8" s="6"/>
      <c r="HC8" s="6"/>
      <c r="HD8" s="6"/>
      <c r="HE8" s="6"/>
      <c r="HF8" s="6"/>
      <c r="HG8" s="6"/>
      <c r="HH8" s="6"/>
      <c r="HI8" s="6"/>
      <c r="HJ8" s="6"/>
      <c r="HK8" s="6"/>
      <c r="HL8" s="6"/>
      <c r="HM8" s="6"/>
      <c r="HN8" s="6"/>
      <c r="HO8" s="6"/>
      <c r="HP8" s="6"/>
      <c r="HQ8" s="6"/>
      <c r="HR8" s="6"/>
      <c r="HS8" s="6"/>
      <c r="HU8" s="6" t="s">
        <v>422</v>
      </c>
      <c r="HV8" s="6"/>
      <c r="HW8" s="6"/>
      <c r="HX8" s="6"/>
      <c r="HY8" s="6"/>
      <c r="HZ8" s="6"/>
      <c r="IA8" s="6"/>
      <c r="IB8" s="6"/>
      <c r="IC8" s="6"/>
      <c r="ID8" s="6"/>
      <c r="IE8" s="6"/>
      <c r="IF8" s="6"/>
      <c r="IG8" s="6"/>
      <c r="IH8" s="6"/>
      <c r="II8" s="6"/>
      <c r="IJ8" s="6"/>
      <c r="IK8" s="6"/>
      <c r="IL8" s="6"/>
      <c r="IM8" s="6"/>
      <c r="IN8" s="6"/>
      <c r="IO8" s="6"/>
      <c r="IP8" s="6"/>
      <c r="IQ8" s="6"/>
      <c r="IR8" s="6"/>
      <c r="IS8" s="6"/>
      <c r="IT8" s="6"/>
      <c r="IU8" s="6"/>
      <c r="IV8" s="6"/>
      <c r="IW8" s="6"/>
      <c r="IX8" s="6"/>
      <c r="IY8" s="6"/>
      <c r="JA8" s="11" t="s">
        <v>423</v>
      </c>
      <c r="JB8" s="11" t="s">
        <v>424</v>
      </c>
      <c r="JC8" s="11" t="s">
        <v>425</v>
      </c>
      <c r="JD8" s="11" t="s">
        <v>426</v>
      </c>
      <c r="JE8" s="11" t="s">
        <v>427</v>
      </c>
      <c r="JF8" s="11" t="s">
        <v>428</v>
      </c>
      <c r="JG8" s="11" t="s">
        <v>429</v>
      </c>
      <c r="JH8" s="11" t="s">
        <v>430</v>
      </c>
      <c r="JI8" s="11" t="s">
        <v>431</v>
      </c>
      <c r="JJ8" s="11" t="s">
        <v>432</v>
      </c>
      <c r="JL8" s="11" t="s">
        <v>433</v>
      </c>
      <c r="JM8" s="11" t="s">
        <v>434</v>
      </c>
      <c r="JN8" s="11" t="s">
        <v>435</v>
      </c>
      <c r="JO8" s="11" t="s">
        <v>436</v>
      </c>
      <c r="JQ8" s="11" t="s">
        <v>437</v>
      </c>
      <c r="JR8" s="11" t="s">
        <v>438</v>
      </c>
      <c r="JS8" s="11" t="s">
        <v>439</v>
      </c>
      <c r="JT8" s="11" t="s">
        <v>440</v>
      </c>
      <c r="JW8" s="11" t="s">
        <v>441</v>
      </c>
      <c r="JX8" s="11" t="s">
        <v>442</v>
      </c>
      <c r="JY8" s="11" t="s">
        <v>388</v>
      </c>
    </row>
    <row r="9" spans="1:286" s="30" customFormat="1" outlineLevel="1">
      <c r="B9" s="30" t="s">
        <v>217</v>
      </c>
      <c r="F9"/>
      <c r="H9" s="30" t="s">
        <v>444</v>
      </c>
      <c r="J9" s="30" t="s">
        <v>445</v>
      </c>
      <c r="L9" s="30" t="s">
        <v>471</v>
      </c>
      <c r="N9" s="30" t="s">
        <v>446</v>
      </c>
      <c r="O9" s="132"/>
      <c r="P9" s="30" t="s">
        <v>447</v>
      </c>
      <c r="Q9" s="30" t="s">
        <v>447</v>
      </c>
      <c r="R9" s="30" t="s">
        <v>447</v>
      </c>
      <c r="S9" s="30" t="s">
        <v>447</v>
      </c>
      <c r="T9" s="30" t="s">
        <v>447</v>
      </c>
      <c r="U9" s="30" t="s">
        <v>447</v>
      </c>
      <c r="W9" s="30" t="s">
        <v>406</v>
      </c>
      <c r="X9" s="30" t="s">
        <v>406</v>
      </c>
      <c r="Y9" s="30" t="s">
        <v>406</v>
      </c>
      <c r="Z9" s="30" t="s">
        <v>406</v>
      </c>
      <c r="AA9" s="30" t="s">
        <v>406</v>
      </c>
      <c r="AB9" s="30" t="s">
        <v>406</v>
      </c>
      <c r="AC9" s="30" t="s">
        <v>406</v>
      </c>
      <c r="AD9" s="30" t="s">
        <v>406</v>
      </c>
      <c r="AF9" s="30" t="s">
        <v>410</v>
      </c>
      <c r="AG9" s="30" t="s">
        <v>448</v>
      </c>
      <c r="AH9"/>
      <c r="AI9" s="30" t="s">
        <v>408</v>
      </c>
      <c r="AJ9" s="30" t="s">
        <v>408</v>
      </c>
      <c r="AK9" s="30" t="s">
        <v>408</v>
      </c>
      <c r="AL9" s="30" t="s">
        <v>408</v>
      </c>
      <c r="AM9" s="30" t="s">
        <v>408</v>
      </c>
      <c r="AN9" s="30" t="s">
        <v>408</v>
      </c>
      <c r="AO9" s="30" t="s">
        <v>408</v>
      </c>
      <c r="AP9" s="30" t="s">
        <v>408</v>
      </c>
      <c r="AQ9" s="30" t="s">
        <v>408</v>
      </c>
      <c r="AR9" s="30" t="s">
        <v>408</v>
      </c>
      <c r="AS9" s="30" t="s">
        <v>408</v>
      </c>
      <c r="AT9" s="30" t="s">
        <v>408</v>
      </c>
      <c r="AU9" s="30" t="s">
        <v>408</v>
      </c>
      <c r="AV9" s="30" t="s">
        <v>408</v>
      </c>
      <c r="AW9" s="30" t="s">
        <v>408</v>
      </c>
      <c r="AX9" s="30" t="s">
        <v>408</v>
      </c>
      <c r="AY9" s="30" t="s">
        <v>408</v>
      </c>
      <c r="AZ9" s="30" t="s">
        <v>408</v>
      </c>
      <c r="BA9" s="30" t="s">
        <v>408</v>
      </c>
      <c r="BB9" s="30" t="s">
        <v>408</v>
      </c>
      <c r="BC9" s="30" t="s">
        <v>408</v>
      </c>
      <c r="BD9" s="30" t="s">
        <v>408</v>
      </c>
      <c r="BE9" s="30" t="s">
        <v>408</v>
      </c>
      <c r="BF9" s="30" t="s">
        <v>408</v>
      </c>
      <c r="BG9" s="30" t="s">
        <v>408</v>
      </c>
      <c r="BH9" s="30" t="s">
        <v>408</v>
      </c>
      <c r="BI9" s="30" t="s">
        <v>408</v>
      </c>
      <c r="BJ9" s="30" t="s">
        <v>408</v>
      </c>
      <c r="BK9" s="30" t="s">
        <v>408</v>
      </c>
      <c r="BL9" s="30" t="s">
        <v>408</v>
      </c>
      <c r="BM9" s="30" t="s">
        <v>408</v>
      </c>
      <c r="BO9" s="30" t="s">
        <v>449</v>
      </c>
      <c r="BP9" s="30" t="s">
        <v>449</v>
      </c>
      <c r="BQ9" s="30" t="s">
        <v>449</v>
      </c>
      <c r="BR9" s="30" t="s">
        <v>449</v>
      </c>
      <c r="BS9" s="30" t="s">
        <v>449</v>
      </c>
      <c r="BT9" s="30" t="s">
        <v>449</v>
      </c>
      <c r="BU9" s="30" t="s">
        <v>449</v>
      </c>
      <c r="BV9" s="30" t="s">
        <v>449</v>
      </c>
      <c r="BW9" s="30" t="s">
        <v>449</v>
      </c>
      <c r="BX9" s="30" t="s">
        <v>449</v>
      </c>
      <c r="BY9" s="30" t="s">
        <v>449</v>
      </c>
      <c r="BZ9" s="30" t="s">
        <v>449</v>
      </c>
      <c r="CA9" s="30" t="s">
        <v>449</v>
      </c>
      <c r="CB9" s="30" t="s">
        <v>449</v>
      </c>
      <c r="CC9" s="30" t="s">
        <v>449</v>
      </c>
      <c r="CD9" s="30" t="s">
        <v>449</v>
      </c>
      <c r="CE9" s="30" t="s">
        <v>449</v>
      </c>
      <c r="CF9" s="30" t="s">
        <v>449</v>
      </c>
      <c r="CG9" s="30" t="s">
        <v>449</v>
      </c>
      <c r="CH9" s="30" t="s">
        <v>449</v>
      </c>
      <c r="CI9" s="30" t="s">
        <v>449</v>
      </c>
      <c r="CJ9" s="30" t="s">
        <v>449</v>
      </c>
      <c r="CK9" s="30" t="s">
        <v>449</v>
      </c>
      <c r="CL9" s="30" t="s">
        <v>449</v>
      </c>
      <c r="CM9" s="30" t="s">
        <v>449</v>
      </c>
      <c r="CN9" s="30" t="s">
        <v>449</v>
      </c>
      <c r="CO9" s="30" t="s">
        <v>449</v>
      </c>
      <c r="CP9" s="30" t="s">
        <v>449</v>
      </c>
      <c r="CQ9" s="30" t="s">
        <v>449</v>
      </c>
      <c r="CR9" s="30" t="s">
        <v>449</v>
      </c>
      <c r="CS9" s="30" t="s">
        <v>449</v>
      </c>
      <c r="CU9" s="30" t="s">
        <v>409</v>
      </c>
      <c r="CV9" s="30" t="s">
        <v>409</v>
      </c>
      <c r="CW9" s="30" t="s">
        <v>409</v>
      </c>
      <c r="CX9" s="30" t="s">
        <v>409</v>
      </c>
      <c r="CY9" s="30" t="s">
        <v>409</v>
      </c>
      <c r="CZ9" s="30" t="s">
        <v>409</v>
      </c>
      <c r="DA9" s="30" t="s">
        <v>409</v>
      </c>
      <c r="DB9" s="30" t="s">
        <v>409</v>
      </c>
      <c r="DC9" s="30" t="s">
        <v>409</v>
      </c>
      <c r="DD9" s="30" t="s">
        <v>409</v>
      </c>
      <c r="DE9" s="30" t="s">
        <v>409</v>
      </c>
      <c r="DF9" s="30" t="s">
        <v>409</v>
      </c>
      <c r="DG9" s="30" t="s">
        <v>409</v>
      </c>
      <c r="DH9" s="30" t="s">
        <v>409</v>
      </c>
      <c r="DI9" s="30" t="s">
        <v>409</v>
      </c>
      <c r="DJ9" s="30" t="s">
        <v>409</v>
      </c>
      <c r="DK9" s="30" t="s">
        <v>409</v>
      </c>
      <c r="DL9" s="30" t="s">
        <v>409</v>
      </c>
      <c r="DM9" s="30" t="s">
        <v>409</v>
      </c>
      <c r="DN9" s="30" t="s">
        <v>409</v>
      </c>
      <c r="DO9" s="30" t="s">
        <v>409</v>
      </c>
      <c r="DP9" s="30" t="s">
        <v>409</v>
      </c>
      <c r="DQ9" s="30" t="s">
        <v>409</v>
      </c>
      <c r="DR9" s="30" t="s">
        <v>409</v>
      </c>
      <c r="DS9" s="30" t="s">
        <v>409</v>
      </c>
      <c r="DT9" s="30" t="s">
        <v>409</v>
      </c>
      <c r="DU9" s="30" t="s">
        <v>409</v>
      </c>
      <c r="DV9" s="30" t="s">
        <v>409</v>
      </c>
      <c r="DW9" s="30" t="s">
        <v>409</v>
      </c>
      <c r="DX9" s="30" t="s">
        <v>409</v>
      </c>
      <c r="DY9" s="30" t="s">
        <v>409</v>
      </c>
      <c r="EA9" s="30" t="s">
        <v>411</v>
      </c>
      <c r="EB9" s="30" t="s">
        <v>411</v>
      </c>
      <c r="EC9" s="30" t="s">
        <v>411</v>
      </c>
      <c r="ED9" s="30" t="s">
        <v>411</v>
      </c>
      <c r="EE9" s="30" t="s">
        <v>411</v>
      </c>
      <c r="EF9" s="30" t="s">
        <v>411</v>
      </c>
      <c r="EG9" s="30" t="s">
        <v>411</v>
      </c>
      <c r="EH9" s="30" t="s">
        <v>411</v>
      </c>
      <c r="EI9" s="30" t="s">
        <v>411</v>
      </c>
      <c r="EJ9" s="30" t="s">
        <v>411</v>
      </c>
      <c r="EK9" s="30" t="s">
        <v>411</v>
      </c>
      <c r="EL9" s="30" t="s">
        <v>411</v>
      </c>
      <c r="EM9" s="30" t="s">
        <v>411</v>
      </c>
      <c r="EN9" s="30" t="s">
        <v>411</v>
      </c>
      <c r="EO9" s="30" t="s">
        <v>411</v>
      </c>
      <c r="EP9" s="30" t="s">
        <v>411</v>
      </c>
      <c r="EQ9" s="30" t="s">
        <v>411</v>
      </c>
      <c r="ER9" s="30" t="s">
        <v>411</v>
      </c>
      <c r="ES9" s="30" t="s">
        <v>411</v>
      </c>
      <c r="ET9" s="30" t="s">
        <v>411</v>
      </c>
      <c r="EU9" s="30" t="s">
        <v>411</v>
      </c>
      <c r="EV9" s="30" t="s">
        <v>411</v>
      </c>
      <c r="EW9" s="30" t="s">
        <v>411</v>
      </c>
      <c r="EX9" s="30" t="s">
        <v>411</v>
      </c>
      <c r="EY9" s="30" t="s">
        <v>411</v>
      </c>
      <c r="EZ9" s="30" t="s">
        <v>411</v>
      </c>
      <c r="FA9" s="30" t="s">
        <v>411</v>
      </c>
      <c r="FB9" s="30" t="s">
        <v>411</v>
      </c>
      <c r="FC9" s="30" t="s">
        <v>411</v>
      </c>
      <c r="FD9" s="30" t="s">
        <v>411</v>
      </c>
      <c r="FE9" s="30" t="s">
        <v>411</v>
      </c>
      <c r="FG9" s="30" t="s">
        <v>450</v>
      </c>
      <c r="FI9" s="30" t="s">
        <v>412</v>
      </c>
      <c r="FJ9" s="30" t="s">
        <v>412</v>
      </c>
      <c r="FK9" s="30" t="s">
        <v>412</v>
      </c>
      <c r="FL9" s="30" t="s">
        <v>412</v>
      </c>
      <c r="FM9" s="30" t="s">
        <v>412</v>
      </c>
      <c r="FN9" s="30" t="s">
        <v>412</v>
      </c>
      <c r="FO9" s="30" t="s">
        <v>412</v>
      </c>
      <c r="FP9" s="30" t="s">
        <v>412</v>
      </c>
      <c r="FQ9" s="30" t="s">
        <v>412</v>
      </c>
      <c r="FR9" s="30" t="s">
        <v>412</v>
      </c>
      <c r="FS9" s="30" t="s">
        <v>412</v>
      </c>
      <c r="FT9" s="30" t="s">
        <v>412</v>
      </c>
      <c r="FU9" s="30" t="s">
        <v>412</v>
      </c>
      <c r="FV9" s="30" t="s">
        <v>412</v>
      </c>
      <c r="FW9" s="30" t="s">
        <v>412</v>
      </c>
      <c r="FX9" s="30" t="s">
        <v>412</v>
      </c>
      <c r="FY9" s="30" t="s">
        <v>412</v>
      </c>
      <c r="FZ9" s="30" t="s">
        <v>412</v>
      </c>
      <c r="GA9" s="30" t="s">
        <v>412</v>
      </c>
      <c r="GB9" s="30" t="s">
        <v>412</v>
      </c>
      <c r="GC9" s="30" t="s">
        <v>412</v>
      </c>
      <c r="GD9" s="30" t="s">
        <v>412</v>
      </c>
      <c r="GE9" s="30" t="s">
        <v>412</v>
      </c>
      <c r="GF9" s="30" t="s">
        <v>412</v>
      </c>
      <c r="GG9" s="30" t="s">
        <v>412</v>
      </c>
      <c r="GH9" s="30" t="s">
        <v>412</v>
      </c>
      <c r="GI9" s="30" t="s">
        <v>412</v>
      </c>
      <c r="GJ9" s="30" t="s">
        <v>412</v>
      </c>
      <c r="GK9" s="30" t="s">
        <v>412</v>
      </c>
      <c r="GL9" s="30" t="s">
        <v>412</v>
      </c>
      <c r="GM9" s="30" t="s">
        <v>412</v>
      </c>
      <c r="GO9" s="30" t="s">
        <v>451</v>
      </c>
      <c r="GP9" s="30" t="s">
        <v>451</v>
      </c>
      <c r="GQ9" s="30" t="s">
        <v>451</v>
      </c>
      <c r="GR9" s="30" t="s">
        <v>451</v>
      </c>
      <c r="GS9" s="30" t="s">
        <v>451</v>
      </c>
      <c r="GT9" s="30" t="s">
        <v>451</v>
      </c>
      <c r="GU9" s="30" t="s">
        <v>451</v>
      </c>
      <c r="GV9" s="30" t="s">
        <v>451</v>
      </c>
      <c r="GW9" s="30" t="s">
        <v>451</v>
      </c>
      <c r="GX9" s="30" t="s">
        <v>451</v>
      </c>
      <c r="GY9" s="30" t="s">
        <v>451</v>
      </c>
      <c r="GZ9" s="30" t="s">
        <v>451</v>
      </c>
      <c r="HA9" s="30" t="s">
        <v>451</v>
      </c>
      <c r="HB9" s="30" t="s">
        <v>451</v>
      </c>
      <c r="HC9" s="30" t="s">
        <v>451</v>
      </c>
      <c r="HD9" s="30" t="s">
        <v>451</v>
      </c>
      <c r="HE9" s="30" t="s">
        <v>451</v>
      </c>
      <c r="HF9" s="30" t="s">
        <v>451</v>
      </c>
      <c r="HG9" s="30" t="s">
        <v>451</v>
      </c>
      <c r="HH9" s="30" t="s">
        <v>451</v>
      </c>
      <c r="HI9" s="30" t="s">
        <v>451</v>
      </c>
      <c r="HJ9" s="30" t="s">
        <v>451</v>
      </c>
      <c r="HK9" s="30" t="s">
        <v>451</v>
      </c>
      <c r="HL9" s="30" t="s">
        <v>451</v>
      </c>
      <c r="HM9" s="30" t="s">
        <v>451</v>
      </c>
      <c r="HN9" s="30" t="s">
        <v>451</v>
      </c>
      <c r="HO9" s="30" t="s">
        <v>451</v>
      </c>
      <c r="HP9" s="30" t="s">
        <v>451</v>
      </c>
      <c r="HQ9" s="30" t="s">
        <v>451</v>
      </c>
      <c r="HR9" s="30" t="s">
        <v>451</v>
      </c>
      <c r="HS9" s="30" t="s">
        <v>451</v>
      </c>
      <c r="HU9" s="30" t="s">
        <v>452</v>
      </c>
      <c r="HV9" s="30" t="s">
        <v>452</v>
      </c>
      <c r="HW9" s="30" t="s">
        <v>452</v>
      </c>
      <c r="HX9" s="30" t="s">
        <v>452</v>
      </c>
      <c r="HY9" s="30" t="s">
        <v>452</v>
      </c>
      <c r="HZ9" s="30" t="s">
        <v>452</v>
      </c>
      <c r="IA9" s="30" t="s">
        <v>452</v>
      </c>
      <c r="IB9" s="30" t="s">
        <v>452</v>
      </c>
      <c r="IC9" s="30" t="s">
        <v>452</v>
      </c>
      <c r="ID9" s="30" t="s">
        <v>452</v>
      </c>
      <c r="IE9" s="30" t="s">
        <v>452</v>
      </c>
      <c r="IF9" s="30" t="s">
        <v>452</v>
      </c>
      <c r="IG9" s="30" t="s">
        <v>452</v>
      </c>
      <c r="IH9" s="30" t="s">
        <v>452</v>
      </c>
      <c r="II9" s="30" t="s">
        <v>452</v>
      </c>
      <c r="IJ9" s="30" t="s">
        <v>452</v>
      </c>
      <c r="IK9" s="30" t="s">
        <v>452</v>
      </c>
      <c r="IL9" s="30" t="s">
        <v>452</v>
      </c>
      <c r="IM9" s="30" t="s">
        <v>452</v>
      </c>
      <c r="IN9" s="30" t="s">
        <v>452</v>
      </c>
      <c r="IO9" s="30" t="s">
        <v>452</v>
      </c>
      <c r="IP9" s="30" t="s">
        <v>452</v>
      </c>
      <c r="IQ9" s="30" t="s">
        <v>452</v>
      </c>
      <c r="IR9" s="30" t="s">
        <v>452</v>
      </c>
      <c r="IS9" s="30" t="s">
        <v>452</v>
      </c>
      <c r="IT9" s="30" t="s">
        <v>452</v>
      </c>
      <c r="IU9" s="30" t="s">
        <v>452</v>
      </c>
      <c r="IV9" s="30" t="s">
        <v>452</v>
      </c>
      <c r="IW9" s="30" t="s">
        <v>452</v>
      </c>
      <c r="IX9" s="30" t="s">
        <v>452</v>
      </c>
      <c r="IY9" s="30" t="s">
        <v>452</v>
      </c>
      <c r="JA9" s="30" t="s">
        <v>453</v>
      </c>
      <c r="JB9" s="30" t="s">
        <v>454</v>
      </c>
      <c r="JC9" s="30" t="s">
        <v>455</v>
      </c>
      <c r="JD9" s="30" t="s">
        <v>456</v>
      </c>
      <c r="JE9" s="30" t="s">
        <v>457</v>
      </c>
      <c r="JF9" s="30" t="s">
        <v>458</v>
      </c>
      <c r="JG9" s="30" t="s">
        <v>459</v>
      </c>
      <c r="JH9" s="30" t="s">
        <v>460</v>
      </c>
      <c r="JI9" s="30" t="s">
        <v>461</v>
      </c>
      <c r="JJ9" s="30" t="s">
        <v>462</v>
      </c>
      <c r="JK9"/>
      <c r="JL9" s="30" t="s">
        <v>463</v>
      </c>
      <c r="JM9" s="30" t="s">
        <v>464</v>
      </c>
      <c r="JN9" s="30" t="s">
        <v>465</v>
      </c>
      <c r="JO9" s="30" t="s">
        <v>466</v>
      </c>
      <c r="JQ9" s="30" t="s">
        <v>467</v>
      </c>
      <c r="JR9" s="30" t="s">
        <v>467</v>
      </c>
      <c r="JS9" s="30" t="s">
        <v>468</v>
      </c>
      <c r="JT9" s="30" t="s">
        <v>468</v>
      </c>
      <c r="JW9" s="30" t="s">
        <v>469</v>
      </c>
      <c r="JX9" s="30" t="s">
        <v>470</v>
      </c>
      <c r="JY9" s="30" t="s">
        <v>391</v>
      </c>
    </row>
    <row r="10" spans="1:286" ht="42">
      <c r="B10" s="6" t="s">
        <v>472</v>
      </c>
      <c r="D10" s="11" t="str">
        <f>"Included in Current System ("&amp;system_name&amp;")"</f>
        <v>Included in Current System (ISONE_toy_system)</v>
      </c>
      <c r="F10" s="11" t="s">
        <v>251</v>
      </c>
      <c r="H10" s="26"/>
      <c r="J10" s="26"/>
      <c r="L10" s="26"/>
      <c r="N10" s="26"/>
      <c r="P10" s="26"/>
      <c r="Q10" s="26"/>
      <c r="R10" s="26"/>
      <c r="S10" s="26"/>
      <c r="T10" s="26"/>
      <c r="U10" s="26"/>
      <c r="W10" s="26"/>
      <c r="X10" s="26"/>
      <c r="Y10" s="26"/>
      <c r="Z10" s="26"/>
      <c r="AA10" s="26"/>
      <c r="AB10" s="26"/>
      <c r="AC10" s="26"/>
      <c r="AD10" s="26"/>
      <c r="AF10" s="26" t="s">
        <v>277</v>
      </c>
      <c r="AG10" s="26" t="s">
        <v>277</v>
      </c>
      <c r="AI10" s="59">
        <f>start_year</f>
        <v>43831</v>
      </c>
      <c r="AJ10" s="59">
        <f t="shared" ref="AJ10:BM10" si="0">EDATE(AI10,12)</f>
        <v>44197</v>
      </c>
      <c r="AK10" s="59">
        <f t="shared" si="0"/>
        <v>44562</v>
      </c>
      <c r="AL10" s="59">
        <f t="shared" si="0"/>
        <v>44927</v>
      </c>
      <c r="AM10" s="59">
        <f t="shared" si="0"/>
        <v>45292</v>
      </c>
      <c r="AN10" s="59">
        <f t="shared" si="0"/>
        <v>45658</v>
      </c>
      <c r="AO10" s="59">
        <f t="shared" si="0"/>
        <v>46023</v>
      </c>
      <c r="AP10" s="59">
        <f t="shared" si="0"/>
        <v>46388</v>
      </c>
      <c r="AQ10" s="59">
        <f t="shared" si="0"/>
        <v>46753</v>
      </c>
      <c r="AR10" s="59">
        <f t="shared" si="0"/>
        <v>47119</v>
      </c>
      <c r="AS10" s="59">
        <f t="shared" si="0"/>
        <v>47484</v>
      </c>
      <c r="AT10" s="59">
        <f t="shared" si="0"/>
        <v>47849</v>
      </c>
      <c r="AU10" s="59">
        <f t="shared" si="0"/>
        <v>48214</v>
      </c>
      <c r="AV10" s="59">
        <f t="shared" si="0"/>
        <v>48580</v>
      </c>
      <c r="AW10" s="59">
        <f t="shared" si="0"/>
        <v>48945</v>
      </c>
      <c r="AX10" s="59">
        <f t="shared" si="0"/>
        <v>49310</v>
      </c>
      <c r="AY10" s="59">
        <f t="shared" si="0"/>
        <v>49675</v>
      </c>
      <c r="AZ10" s="59">
        <f t="shared" si="0"/>
        <v>50041</v>
      </c>
      <c r="BA10" s="59">
        <f t="shared" si="0"/>
        <v>50406</v>
      </c>
      <c r="BB10" s="59">
        <f t="shared" si="0"/>
        <v>50771</v>
      </c>
      <c r="BC10" s="59">
        <f t="shared" si="0"/>
        <v>51136</v>
      </c>
      <c r="BD10" s="59">
        <f t="shared" si="0"/>
        <v>51502</v>
      </c>
      <c r="BE10" s="59">
        <f t="shared" si="0"/>
        <v>51867</v>
      </c>
      <c r="BF10" s="59">
        <f t="shared" si="0"/>
        <v>52232</v>
      </c>
      <c r="BG10" s="59">
        <f t="shared" si="0"/>
        <v>52597</v>
      </c>
      <c r="BH10" s="59">
        <f t="shared" si="0"/>
        <v>52963</v>
      </c>
      <c r="BI10" s="59">
        <f t="shared" si="0"/>
        <v>53328</v>
      </c>
      <c r="BJ10" s="59">
        <f t="shared" si="0"/>
        <v>53693</v>
      </c>
      <c r="BK10" s="59">
        <f t="shared" si="0"/>
        <v>54058</v>
      </c>
      <c r="BL10" s="59">
        <f t="shared" si="0"/>
        <v>54424</v>
      </c>
      <c r="BM10" s="59">
        <f t="shared" si="0"/>
        <v>54789</v>
      </c>
      <c r="BO10" s="59">
        <f>start_year</f>
        <v>43831</v>
      </c>
      <c r="BP10" s="59">
        <f t="shared" ref="BP10:CS10" si="1">EDATE(BO10,12)</f>
        <v>44197</v>
      </c>
      <c r="BQ10" s="59">
        <f t="shared" si="1"/>
        <v>44562</v>
      </c>
      <c r="BR10" s="59">
        <f t="shared" si="1"/>
        <v>44927</v>
      </c>
      <c r="BS10" s="59">
        <f t="shared" si="1"/>
        <v>45292</v>
      </c>
      <c r="BT10" s="59">
        <f t="shared" si="1"/>
        <v>45658</v>
      </c>
      <c r="BU10" s="59">
        <f t="shared" si="1"/>
        <v>46023</v>
      </c>
      <c r="BV10" s="59">
        <f t="shared" si="1"/>
        <v>46388</v>
      </c>
      <c r="BW10" s="59">
        <f t="shared" si="1"/>
        <v>46753</v>
      </c>
      <c r="BX10" s="59">
        <f t="shared" si="1"/>
        <v>47119</v>
      </c>
      <c r="BY10" s="59">
        <f t="shared" si="1"/>
        <v>47484</v>
      </c>
      <c r="BZ10" s="59">
        <f t="shared" si="1"/>
        <v>47849</v>
      </c>
      <c r="CA10" s="59">
        <f t="shared" si="1"/>
        <v>48214</v>
      </c>
      <c r="CB10" s="59">
        <f t="shared" si="1"/>
        <v>48580</v>
      </c>
      <c r="CC10" s="59">
        <f t="shared" si="1"/>
        <v>48945</v>
      </c>
      <c r="CD10" s="59">
        <f t="shared" si="1"/>
        <v>49310</v>
      </c>
      <c r="CE10" s="59">
        <f t="shared" si="1"/>
        <v>49675</v>
      </c>
      <c r="CF10" s="59">
        <f t="shared" si="1"/>
        <v>50041</v>
      </c>
      <c r="CG10" s="59">
        <f t="shared" si="1"/>
        <v>50406</v>
      </c>
      <c r="CH10" s="59">
        <f t="shared" si="1"/>
        <v>50771</v>
      </c>
      <c r="CI10" s="59">
        <f t="shared" si="1"/>
        <v>51136</v>
      </c>
      <c r="CJ10" s="59">
        <f t="shared" si="1"/>
        <v>51502</v>
      </c>
      <c r="CK10" s="59">
        <f t="shared" si="1"/>
        <v>51867</v>
      </c>
      <c r="CL10" s="59">
        <f t="shared" si="1"/>
        <v>52232</v>
      </c>
      <c r="CM10" s="59">
        <f t="shared" si="1"/>
        <v>52597</v>
      </c>
      <c r="CN10" s="59">
        <f t="shared" si="1"/>
        <v>52963</v>
      </c>
      <c r="CO10" s="59">
        <f t="shared" si="1"/>
        <v>53328</v>
      </c>
      <c r="CP10" s="59">
        <f t="shared" si="1"/>
        <v>53693</v>
      </c>
      <c r="CQ10" s="59">
        <f t="shared" si="1"/>
        <v>54058</v>
      </c>
      <c r="CR10" s="59">
        <f t="shared" si="1"/>
        <v>54424</v>
      </c>
      <c r="CS10" s="59">
        <f t="shared" si="1"/>
        <v>54789</v>
      </c>
      <c r="CU10" s="59">
        <f>start_year</f>
        <v>43831</v>
      </c>
      <c r="CV10" s="59">
        <f t="shared" ref="CV10:DY10" si="2">EDATE(CU10,12)</f>
        <v>44197</v>
      </c>
      <c r="CW10" s="59">
        <f t="shared" si="2"/>
        <v>44562</v>
      </c>
      <c r="CX10" s="59">
        <f t="shared" si="2"/>
        <v>44927</v>
      </c>
      <c r="CY10" s="59">
        <f t="shared" si="2"/>
        <v>45292</v>
      </c>
      <c r="CZ10" s="59">
        <f t="shared" si="2"/>
        <v>45658</v>
      </c>
      <c r="DA10" s="59">
        <f t="shared" si="2"/>
        <v>46023</v>
      </c>
      <c r="DB10" s="59">
        <f t="shared" si="2"/>
        <v>46388</v>
      </c>
      <c r="DC10" s="59">
        <f t="shared" si="2"/>
        <v>46753</v>
      </c>
      <c r="DD10" s="59">
        <f t="shared" si="2"/>
        <v>47119</v>
      </c>
      <c r="DE10" s="59">
        <f t="shared" si="2"/>
        <v>47484</v>
      </c>
      <c r="DF10" s="59">
        <f t="shared" si="2"/>
        <v>47849</v>
      </c>
      <c r="DG10" s="59">
        <f t="shared" si="2"/>
        <v>48214</v>
      </c>
      <c r="DH10" s="59">
        <f t="shared" si="2"/>
        <v>48580</v>
      </c>
      <c r="DI10" s="59">
        <f t="shared" si="2"/>
        <v>48945</v>
      </c>
      <c r="DJ10" s="59">
        <f t="shared" si="2"/>
        <v>49310</v>
      </c>
      <c r="DK10" s="59">
        <f t="shared" si="2"/>
        <v>49675</v>
      </c>
      <c r="DL10" s="59">
        <f t="shared" si="2"/>
        <v>50041</v>
      </c>
      <c r="DM10" s="59">
        <f t="shared" si="2"/>
        <v>50406</v>
      </c>
      <c r="DN10" s="59">
        <f t="shared" si="2"/>
        <v>50771</v>
      </c>
      <c r="DO10" s="59">
        <f t="shared" si="2"/>
        <v>51136</v>
      </c>
      <c r="DP10" s="59">
        <f t="shared" si="2"/>
        <v>51502</v>
      </c>
      <c r="DQ10" s="59">
        <f t="shared" si="2"/>
        <v>51867</v>
      </c>
      <c r="DR10" s="59">
        <f t="shared" si="2"/>
        <v>52232</v>
      </c>
      <c r="DS10" s="59">
        <f t="shared" si="2"/>
        <v>52597</v>
      </c>
      <c r="DT10" s="59">
        <f t="shared" si="2"/>
        <v>52963</v>
      </c>
      <c r="DU10" s="59">
        <f t="shared" si="2"/>
        <v>53328</v>
      </c>
      <c r="DV10" s="59">
        <f t="shared" si="2"/>
        <v>53693</v>
      </c>
      <c r="DW10" s="59">
        <f t="shared" si="2"/>
        <v>54058</v>
      </c>
      <c r="DX10" s="59">
        <f t="shared" si="2"/>
        <v>54424</v>
      </c>
      <c r="DY10" s="59">
        <f t="shared" si="2"/>
        <v>54789</v>
      </c>
      <c r="EA10" s="59">
        <f>start_year</f>
        <v>43831</v>
      </c>
      <c r="EB10" s="59">
        <f t="shared" ref="EB10:FE10" si="3">EDATE(EA10,12)</f>
        <v>44197</v>
      </c>
      <c r="EC10" s="59">
        <f t="shared" si="3"/>
        <v>44562</v>
      </c>
      <c r="ED10" s="59">
        <f t="shared" si="3"/>
        <v>44927</v>
      </c>
      <c r="EE10" s="59">
        <f t="shared" si="3"/>
        <v>45292</v>
      </c>
      <c r="EF10" s="59">
        <f t="shared" si="3"/>
        <v>45658</v>
      </c>
      <c r="EG10" s="59">
        <f t="shared" si="3"/>
        <v>46023</v>
      </c>
      <c r="EH10" s="59">
        <f t="shared" si="3"/>
        <v>46388</v>
      </c>
      <c r="EI10" s="59">
        <f t="shared" si="3"/>
        <v>46753</v>
      </c>
      <c r="EJ10" s="59">
        <f t="shared" si="3"/>
        <v>47119</v>
      </c>
      <c r="EK10" s="59">
        <f t="shared" si="3"/>
        <v>47484</v>
      </c>
      <c r="EL10" s="59">
        <f t="shared" si="3"/>
        <v>47849</v>
      </c>
      <c r="EM10" s="59">
        <f t="shared" si="3"/>
        <v>48214</v>
      </c>
      <c r="EN10" s="59">
        <f t="shared" si="3"/>
        <v>48580</v>
      </c>
      <c r="EO10" s="59">
        <f t="shared" si="3"/>
        <v>48945</v>
      </c>
      <c r="EP10" s="59">
        <f t="shared" si="3"/>
        <v>49310</v>
      </c>
      <c r="EQ10" s="59">
        <f t="shared" si="3"/>
        <v>49675</v>
      </c>
      <c r="ER10" s="59">
        <f t="shared" si="3"/>
        <v>50041</v>
      </c>
      <c r="ES10" s="59">
        <f t="shared" si="3"/>
        <v>50406</v>
      </c>
      <c r="ET10" s="59">
        <f t="shared" si="3"/>
        <v>50771</v>
      </c>
      <c r="EU10" s="59">
        <f t="shared" si="3"/>
        <v>51136</v>
      </c>
      <c r="EV10" s="59">
        <f t="shared" si="3"/>
        <v>51502</v>
      </c>
      <c r="EW10" s="59">
        <f t="shared" si="3"/>
        <v>51867</v>
      </c>
      <c r="EX10" s="59">
        <f t="shared" si="3"/>
        <v>52232</v>
      </c>
      <c r="EY10" s="59">
        <f t="shared" si="3"/>
        <v>52597</v>
      </c>
      <c r="EZ10" s="59">
        <f t="shared" si="3"/>
        <v>52963</v>
      </c>
      <c r="FA10" s="59">
        <f t="shared" si="3"/>
        <v>53328</v>
      </c>
      <c r="FB10" s="59">
        <f t="shared" si="3"/>
        <v>53693</v>
      </c>
      <c r="FC10" s="59">
        <f t="shared" si="3"/>
        <v>54058</v>
      </c>
      <c r="FD10" s="59">
        <f t="shared" si="3"/>
        <v>54424</v>
      </c>
      <c r="FE10" s="59">
        <f t="shared" si="3"/>
        <v>54789</v>
      </c>
      <c r="FG10" s="59">
        <f>start_year</f>
        <v>43831</v>
      </c>
      <c r="FI10" s="59">
        <f>start_year</f>
        <v>43831</v>
      </c>
      <c r="FJ10" s="59">
        <f t="shared" ref="FJ10:GM10" si="4">EDATE(FI10,12)</f>
        <v>44197</v>
      </c>
      <c r="FK10" s="59">
        <f t="shared" si="4"/>
        <v>44562</v>
      </c>
      <c r="FL10" s="59">
        <f t="shared" si="4"/>
        <v>44927</v>
      </c>
      <c r="FM10" s="59">
        <f t="shared" si="4"/>
        <v>45292</v>
      </c>
      <c r="FN10" s="59">
        <f t="shared" si="4"/>
        <v>45658</v>
      </c>
      <c r="FO10" s="59">
        <f t="shared" si="4"/>
        <v>46023</v>
      </c>
      <c r="FP10" s="59">
        <f t="shared" si="4"/>
        <v>46388</v>
      </c>
      <c r="FQ10" s="59">
        <f t="shared" si="4"/>
        <v>46753</v>
      </c>
      <c r="FR10" s="59">
        <f t="shared" si="4"/>
        <v>47119</v>
      </c>
      <c r="FS10" s="59">
        <f t="shared" si="4"/>
        <v>47484</v>
      </c>
      <c r="FT10" s="59">
        <f t="shared" si="4"/>
        <v>47849</v>
      </c>
      <c r="FU10" s="59">
        <f t="shared" si="4"/>
        <v>48214</v>
      </c>
      <c r="FV10" s="59">
        <f t="shared" si="4"/>
        <v>48580</v>
      </c>
      <c r="FW10" s="59">
        <f t="shared" si="4"/>
        <v>48945</v>
      </c>
      <c r="FX10" s="59">
        <f t="shared" si="4"/>
        <v>49310</v>
      </c>
      <c r="FY10" s="59">
        <f t="shared" si="4"/>
        <v>49675</v>
      </c>
      <c r="FZ10" s="59">
        <f t="shared" si="4"/>
        <v>50041</v>
      </c>
      <c r="GA10" s="59">
        <f t="shared" si="4"/>
        <v>50406</v>
      </c>
      <c r="GB10" s="59">
        <f t="shared" si="4"/>
        <v>50771</v>
      </c>
      <c r="GC10" s="59">
        <f t="shared" si="4"/>
        <v>51136</v>
      </c>
      <c r="GD10" s="59">
        <f t="shared" si="4"/>
        <v>51502</v>
      </c>
      <c r="GE10" s="59">
        <f t="shared" si="4"/>
        <v>51867</v>
      </c>
      <c r="GF10" s="59">
        <f t="shared" si="4"/>
        <v>52232</v>
      </c>
      <c r="GG10" s="59">
        <f t="shared" si="4"/>
        <v>52597</v>
      </c>
      <c r="GH10" s="59">
        <f t="shared" si="4"/>
        <v>52963</v>
      </c>
      <c r="GI10" s="59">
        <f t="shared" si="4"/>
        <v>53328</v>
      </c>
      <c r="GJ10" s="59">
        <f t="shared" si="4"/>
        <v>53693</v>
      </c>
      <c r="GK10" s="59">
        <f t="shared" si="4"/>
        <v>54058</v>
      </c>
      <c r="GL10" s="59">
        <f t="shared" si="4"/>
        <v>54424</v>
      </c>
      <c r="GM10" s="59">
        <f t="shared" si="4"/>
        <v>54789</v>
      </c>
      <c r="GO10" s="59">
        <f>start_year</f>
        <v>43831</v>
      </c>
      <c r="GP10" s="59">
        <f t="shared" ref="GP10:HS10" si="5">EDATE(GO10,12)</f>
        <v>44197</v>
      </c>
      <c r="GQ10" s="59">
        <f t="shared" si="5"/>
        <v>44562</v>
      </c>
      <c r="GR10" s="59">
        <f t="shared" si="5"/>
        <v>44927</v>
      </c>
      <c r="GS10" s="59">
        <f t="shared" si="5"/>
        <v>45292</v>
      </c>
      <c r="GT10" s="59">
        <f t="shared" si="5"/>
        <v>45658</v>
      </c>
      <c r="GU10" s="59">
        <f t="shared" si="5"/>
        <v>46023</v>
      </c>
      <c r="GV10" s="59">
        <f t="shared" si="5"/>
        <v>46388</v>
      </c>
      <c r="GW10" s="59">
        <f t="shared" si="5"/>
        <v>46753</v>
      </c>
      <c r="GX10" s="59">
        <f t="shared" si="5"/>
        <v>47119</v>
      </c>
      <c r="GY10" s="59">
        <f t="shared" si="5"/>
        <v>47484</v>
      </c>
      <c r="GZ10" s="59">
        <f t="shared" si="5"/>
        <v>47849</v>
      </c>
      <c r="HA10" s="59">
        <f t="shared" si="5"/>
        <v>48214</v>
      </c>
      <c r="HB10" s="59">
        <f t="shared" si="5"/>
        <v>48580</v>
      </c>
      <c r="HC10" s="59">
        <f t="shared" si="5"/>
        <v>48945</v>
      </c>
      <c r="HD10" s="59">
        <f t="shared" si="5"/>
        <v>49310</v>
      </c>
      <c r="HE10" s="59">
        <f t="shared" si="5"/>
        <v>49675</v>
      </c>
      <c r="HF10" s="59">
        <f t="shared" si="5"/>
        <v>50041</v>
      </c>
      <c r="HG10" s="59">
        <f t="shared" si="5"/>
        <v>50406</v>
      </c>
      <c r="HH10" s="59">
        <f t="shared" si="5"/>
        <v>50771</v>
      </c>
      <c r="HI10" s="59">
        <f t="shared" si="5"/>
        <v>51136</v>
      </c>
      <c r="HJ10" s="59">
        <f t="shared" si="5"/>
        <v>51502</v>
      </c>
      <c r="HK10" s="59">
        <f t="shared" si="5"/>
        <v>51867</v>
      </c>
      <c r="HL10" s="59">
        <f t="shared" si="5"/>
        <v>52232</v>
      </c>
      <c r="HM10" s="59">
        <f t="shared" si="5"/>
        <v>52597</v>
      </c>
      <c r="HN10" s="59">
        <f t="shared" si="5"/>
        <v>52963</v>
      </c>
      <c r="HO10" s="59">
        <f t="shared" si="5"/>
        <v>53328</v>
      </c>
      <c r="HP10" s="59">
        <f t="shared" si="5"/>
        <v>53693</v>
      </c>
      <c r="HQ10" s="59">
        <f t="shared" si="5"/>
        <v>54058</v>
      </c>
      <c r="HR10" s="59">
        <f t="shared" si="5"/>
        <v>54424</v>
      </c>
      <c r="HS10" s="59">
        <f t="shared" si="5"/>
        <v>54789</v>
      </c>
      <c r="HU10" s="59">
        <f>start_year</f>
        <v>43831</v>
      </c>
      <c r="HV10" s="59">
        <f t="shared" ref="HV10:IY10" si="6">EDATE(HU10,12)</f>
        <v>44197</v>
      </c>
      <c r="HW10" s="59">
        <f t="shared" si="6"/>
        <v>44562</v>
      </c>
      <c r="HX10" s="59">
        <f t="shared" si="6"/>
        <v>44927</v>
      </c>
      <c r="HY10" s="59">
        <f t="shared" si="6"/>
        <v>45292</v>
      </c>
      <c r="HZ10" s="59">
        <f t="shared" si="6"/>
        <v>45658</v>
      </c>
      <c r="IA10" s="59">
        <f t="shared" si="6"/>
        <v>46023</v>
      </c>
      <c r="IB10" s="59">
        <f t="shared" si="6"/>
        <v>46388</v>
      </c>
      <c r="IC10" s="59">
        <f t="shared" si="6"/>
        <v>46753</v>
      </c>
      <c r="ID10" s="59">
        <f t="shared" si="6"/>
        <v>47119</v>
      </c>
      <c r="IE10" s="59">
        <f t="shared" si="6"/>
        <v>47484</v>
      </c>
      <c r="IF10" s="59">
        <f t="shared" si="6"/>
        <v>47849</v>
      </c>
      <c r="IG10" s="59">
        <f t="shared" si="6"/>
        <v>48214</v>
      </c>
      <c r="IH10" s="59">
        <f t="shared" si="6"/>
        <v>48580</v>
      </c>
      <c r="II10" s="59">
        <f t="shared" si="6"/>
        <v>48945</v>
      </c>
      <c r="IJ10" s="59">
        <f t="shared" si="6"/>
        <v>49310</v>
      </c>
      <c r="IK10" s="59">
        <f t="shared" si="6"/>
        <v>49675</v>
      </c>
      <c r="IL10" s="59">
        <f t="shared" si="6"/>
        <v>50041</v>
      </c>
      <c r="IM10" s="59">
        <f t="shared" si="6"/>
        <v>50406</v>
      </c>
      <c r="IN10" s="59">
        <f t="shared" si="6"/>
        <v>50771</v>
      </c>
      <c r="IO10" s="59">
        <f t="shared" si="6"/>
        <v>51136</v>
      </c>
      <c r="IP10" s="59">
        <f t="shared" si="6"/>
        <v>51502</v>
      </c>
      <c r="IQ10" s="59">
        <f t="shared" si="6"/>
        <v>51867</v>
      </c>
      <c r="IR10" s="59">
        <f t="shared" si="6"/>
        <v>52232</v>
      </c>
      <c r="IS10" s="59">
        <f t="shared" si="6"/>
        <v>52597</v>
      </c>
      <c r="IT10" s="59">
        <f t="shared" si="6"/>
        <v>52963</v>
      </c>
      <c r="IU10" s="59">
        <f t="shared" si="6"/>
        <v>53328</v>
      </c>
      <c r="IV10" s="59">
        <f t="shared" si="6"/>
        <v>53693</v>
      </c>
      <c r="IW10" s="59">
        <f t="shared" si="6"/>
        <v>54058</v>
      </c>
      <c r="IX10" s="59">
        <f t="shared" si="6"/>
        <v>54424</v>
      </c>
      <c r="IY10" s="59">
        <f t="shared" si="6"/>
        <v>54789</v>
      </c>
      <c r="JA10" s="40"/>
      <c r="JB10" s="40"/>
      <c r="JC10" s="41"/>
      <c r="JD10" s="4"/>
      <c r="JE10" s="4"/>
      <c r="JF10" s="4"/>
      <c r="JG10" s="4"/>
      <c r="JH10" s="4"/>
      <c r="JI10" s="14"/>
      <c r="JJ10" s="14"/>
      <c r="JL10" s="14"/>
      <c r="JM10" s="14"/>
      <c r="JN10" s="14"/>
      <c r="JO10" s="14"/>
      <c r="JQ10" s="59">
        <f>start_year</f>
        <v>43831</v>
      </c>
      <c r="JR10" s="26" t="s">
        <v>277</v>
      </c>
      <c r="JS10" s="59">
        <f>start_year</f>
        <v>43831</v>
      </c>
      <c r="JT10" s="26" t="s">
        <v>277</v>
      </c>
      <c r="JW10" s="14"/>
      <c r="JX10" s="40"/>
      <c r="JY10" s="40"/>
    </row>
    <row r="11" spans="1:286">
      <c r="B11" s="3" t="s">
        <v>218</v>
      </c>
      <c r="D11" s="39" t="b">
        <f t="shared" ref="D11:D35" si="7">IF(ISBLANK($B11),"-/-",COUNTIFS(component_names,$B11,component_types,$B$9)&gt;0)</f>
        <v>1</v>
      </c>
      <c r="F11" s="3"/>
      <c r="H11" s="120" t="s">
        <v>110</v>
      </c>
      <c r="J11" s="120" t="s">
        <v>210</v>
      </c>
      <c r="L11" s="118" t="s">
        <v>216</v>
      </c>
      <c r="N11" s="120"/>
      <c r="P11" s="120"/>
      <c r="Q11" s="120"/>
      <c r="R11" s="120"/>
      <c r="S11" s="120"/>
      <c r="T11" s="120"/>
      <c r="U11" s="120"/>
      <c r="W11" s="120"/>
      <c r="X11" s="120"/>
      <c r="Y11" s="120"/>
      <c r="Z11" s="120"/>
      <c r="AA11" s="120"/>
      <c r="AB11" s="120"/>
      <c r="AC11" s="120"/>
      <c r="AD11" s="120"/>
      <c r="AF11" s="19"/>
      <c r="AG11" s="19"/>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v>3900</v>
      </c>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E11" s="25"/>
      <c r="FG11" s="23"/>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O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W11" s="25"/>
      <c r="IX11" s="25"/>
      <c r="IY11" s="25"/>
      <c r="JA11" s="19"/>
      <c r="JB11" s="25"/>
      <c r="JC11" s="29"/>
      <c r="JD11" s="23"/>
      <c r="JE11" s="23"/>
      <c r="JF11" s="23"/>
      <c r="JG11" s="23"/>
      <c r="JH11" s="23"/>
      <c r="JI11" s="23"/>
      <c r="JJ11" s="23"/>
      <c r="JL11" s="29"/>
      <c r="JM11" s="29"/>
      <c r="JN11" s="29"/>
      <c r="JO11" s="29"/>
      <c r="JQ11" s="29">
        <v>0</v>
      </c>
      <c r="JR11" s="3"/>
      <c r="JS11" s="29">
        <v>1</v>
      </c>
      <c r="JT11" s="3"/>
      <c r="JW11" s="35">
        <v>0.05</v>
      </c>
      <c r="JX11" s="81">
        <v>24</v>
      </c>
      <c r="JY11" s="81">
        <v>13</v>
      </c>
    </row>
    <row r="12" spans="1:286">
      <c r="B12" s="3" t="s">
        <v>219</v>
      </c>
      <c r="D12" s="39" t="b">
        <f t="shared" si="7"/>
        <v>1</v>
      </c>
      <c r="F12" s="3"/>
      <c r="H12" s="120" t="s">
        <v>110</v>
      </c>
      <c r="J12" s="120" t="s">
        <v>210</v>
      </c>
      <c r="L12" s="118" t="s">
        <v>216</v>
      </c>
      <c r="N12" s="120"/>
      <c r="P12" s="120"/>
      <c r="Q12" s="120"/>
      <c r="R12" s="120"/>
      <c r="S12" s="120"/>
      <c r="T12" s="120"/>
      <c r="U12" s="120"/>
      <c r="W12" s="120"/>
      <c r="X12" s="120"/>
      <c r="Y12" s="120"/>
      <c r="Z12" s="120"/>
      <c r="AA12" s="120"/>
      <c r="AB12" s="120"/>
      <c r="AC12" s="120"/>
      <c r="AD12" s="120"/>
      <c r="AF12" s="19"/>
      <c r="AG12" s="19"/>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c r="BK12" s="25"/>
      <c r="BL12" s="25"/>
      <c r="BM12" s="25">
        <v>10600</v>
      </c>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B12" s="25"/>
      <c r="FC12" s="25"/>
      <c r="FD12" s="25"/>
      <c r="FE12" s="25"/>
      <c r="FG12" s="23"/>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O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N12" s="25"/>
      <c r="HO12" s="25"/>
      <c r="HP12" s="25"/>
      <c r="HQ12" s="25"/>
      <c r="HR12" s="25"/>
      <c r="HS12" s="25"/>
      <c r="HU12" s="25"/>
      <c r="HV12" s="25"/>
      <c r="HW12" s="25"/>
      <c r="HX12" s="25"/>
      <c r="HY12" s="25"/>
      <c r="HZ12" s="25"/>
      <c r="IA12" s="25"/>
      <c r="IB12" s="25"/>
      <c r="IC12" s="25"/>
      <c r="ID12" s="25"/>
      <c r="IE12" s="25"/>
      <c r="IF12" s="25"/>
      <c r="IG12" s="25"/>
      <c r="IH12" s="25"/>
      <c r="II12" s="25"/>
      <c r="IJ12" s="25"/>
      <c r="IK12" s="25"/>
      <c r="IL12" s="25"/>
      <c r="IM12" s="25"/>
      <c r="IN12" s="25"/>
      <c r="IO12" s="25"/>
      <c r="IP12" s="25"/>
      <c r="IQ12" s="25"/>
      <c r="IR12" s="25"/>
      <c r="IS12" s="25"/>
      <c r="IT12" s="25"/>
      <c r="IU12" s="25"/>
      <c r="IV12" s="25"/>
      <c r="IW12" s="25"/>
      <c r="IX12" s="25"/>
      <c r="IY12" s="25"/>
      <c r="JA12" s="19"/>
      <c r="JB12" s="25"/>
      <c r="JC12" s="29"/>
      <c r="JD12" s="23"/>
      <c r="JE12" s="23"/>
      <c r="JF12" s="23"/>
      <c r="JG12" s="23"/>
      <c r="JH12" s="23"/>
      <c r="JI12" s="23"/>
      <c r="JJ12" s="23"/>
      <c r="JL12" s="29"/>
      <c r="JM12" s="29"/>
      <c r="JN12" s="29"/>
      <c r="JO12" s="29"/>
      <c r="JQ12" s="29">
        <v>0</v>
      </c>
      <c r="JR12" s="3"/>
      <c r="JS12" s="29">
        <v>1</v>
      </c>
      <c r="JT12" s="3"/>
      <c r="JW12" s="35">
        <v>0.02</v>
      </c>
      <c r="JX12" s="81">
        <v>24</v>
      </c>
      <c r="JY12" s="81">
        <v>12</v>
      </c>
    </row>
    <row r="13" spans="1:286">
      <c r="B13" s="3" t="s">
        <v>220</v>
      </c>
      <c r="D13" s="39" t="b">
        <f t="shared" si="7"/>
        <v>1</v>
      </c>
      <c r="F13" s="3"/>
      <c r="H13" s="120" t="s">
        <v>110</v>
      </c>
      <c r="J13" s="120" t="s">
        <v>214</v>
      </c>
      <c r="L13" s="118" t="s">
        <v>216</v>
      </c>
      <c r="N13" s="120"/>
      <c r="P13" s="120"/>
      <c r="Q13" s="120"/>
      <c r="R13" s="120"/>
      <c r="S13" s="120"/>
      <c r="T13" s="120"/>
      <c r="U13" s="120"/>
      <c r="W13" s="120"/>
      <c r="X13" s="120"/>
      <c r="Y13" s="120"/>
      <c r="Z13" s="120"/>
      <c r="AA13" s="120"/>
      <c r="AB13" s="120"/>
      <c r="AC13" s="120"/>
      <c r="AD13" s="120"/>
      <c r="AF13" s="19"/>
      <c r="AG13" s="19"/>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c r="BK13" s="25"/>
      <c r="BL13" s="25"/>
      <c r="BM13" s="25">
        <v>3350</v>
      </c>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B13" s="25"/>
      <c r="FC13" s="25"/>
      <c r="FD13" s="25"/>
      <c r="FE13" s="25"/>
      <c r="FG13" s="23"/>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O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N13" s="25"/>
      <c r="HO13" s="25"/>
      <c r="HP13" s="25"/>
      <c r="HQ13" s="25"/>
      <c r="HR13" s="25"/>
      <c r="HS13" s="25"/>
      <c r="HU13" s="25"/>
      <c r="HV13" s="25"/>
      <c r="HW13" s="25"/>
      <c r="HX13" s="25"/>
      <c r="HY13" s="25"/>
      <c r="HZ13" s="25"/>
      <c r="IA13" s="25"/>
      <c r="IB13" s="25"/>
      <c r="IC13" s="25"/>
      <c r="ID13" s="25"/>
      <c r="IE13" s="25"/>
      <c r="IF13" s="25"/>
      <c r="IG13" s="25"/>
      <c r="IH13" s="25"/>
      <c r="II13" s="25"/>
      <c r="IJ13" s="25"/>
      <c r="IK13" s="25"/>
      <c r="IL13" s="25"/>
      <c r="IM13" s="25"/>
      <c r="IN13" s="25"/>
      <c r="IO13" s="25"/>
      <c r="IP13" s="25"/>
      <c r="IQ13" s="25"/>
      <c r="IR13" s="25"/>
      <c r="IS13" s="25"/>
      <c r="IT13" s="25"/>
      <c r="IU13" s="25"/>
      <c r="IV13" s="25"/>
      <c r="IW13" s="25"/>
      <c r="IX13" s="25"/>
      <c r="IY13" s="25"/>
      <c r="JA13" s="19"/>
      <c r="JB13" s="25"/>
      <c r="JC13" s="29"/>
      <c r="JD13" s="23"/>
      <c r="JE13" s="23"/>
      <c r="JF13" s="23"/>
      <c r="JG13" s="23"/>
      <c r="JH13" s="23"/>
      <c r="JI13" s="23"/>
      <c r="JJ13" s="23"/>
      <c r="JL13" s="29"/>
      <c r="JM13" s="29"/>
      <c r="JN13" s="29"/>
      <c r="JO13" s="29"/>
      <c r="JQ13" s="29">
        <v>0</v>
      </c>
      <c r="JR13" s="3"/>
      <c r="JS13" s="29">
        <v>1</v>
      </c>
      <c r="JT13" s="3"/>
      <c r="JW13" s="35">
        <v>0.05</v>
      </c>
      <c r="JX13" s="81">
        <v>24</v>
      </c>
      <c r="JY13" s="81">
        <v>11</v>
      </c>
    </row>
    <row r="14" spans="1:286">
      <c r="B14" s="3" t="s">
        <v>226</v>
      </c>
      <c r="D14" s="39" t="b">
        <f t="shared" si="7"/>
        <v>1</v>
      </c>
      <c r="F14" s="3"/>
      <c r="H14" s="120" t="s">
        <v>110</v>
      </c>
      <c r="J14" s="120" t="s">
        <v>210</v>
      </c>
      <c r="L14" s="118" t="s">
        <v>216</v>
      </c>
      <c r="N14" s="120"/>
      <c r="P14" s="120"/>
      <c r="Q14" s="120"/>
      <c r="R14" s="120"/>
      <c r="S14" s="120"/>
      <c r="T14" s="120"/>
      <c r="U14" s="120"/>
      <c r="W14" s="120"/>
      <c r="X14" s="120"/>
      <c r="Y14" s="120"/>
      <c r="Z14" s="120"/>
      <c r="AA14" s="120"/>
      <c r="AB14" s="120"/>
      <c r="AC14" s="120"/>
      <c r="AD14" s="120"/>
      <c r="AF14" s="19"/>
      <c r="AG14" s="19"/>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v>2070</v>
      </c>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B14" s="25"/>
      <c r="FC14" s="25"/>
      <c r="FD14" s="25"/>
      <c r="FE14" s="25"/>
      <c r="FG14" s="23"/>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O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N14" s="25"/>
      <c r="HO14" s="25"/>
      <c r="HP14" s="25"/>
      <c r="HQ14" s="25"/>
      <c r="HR14" s="25"/>
      <c r="HS14" s="25"/>
      <c r="HU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25"/>
      <c r="IV14" s="25"/>
      <c r="IW14" s="25"/>
      <c r="IX14" s="25"/>
      <c r="IY14" s="25"/>
      <c r="JA14" s="19"/>
      <c r="JB14" s="25"/>
      <c r="JC14" s="29"/>
      <c r="JD14" s="23"/>
      <c r="JE14" s="23"/>
      <c r="JF14" s="23"/>
      <c r="JG14" s="23"/>
      <c r="JH14" s="23"/>
      <c r="JI14" s="23"/>
      <c r="JJ14" s="23"/>
      <c r="JL14" s="29"/>
      <c r="JM14" s="29"/>
      <c r="JN14" s="29"/>
      <c r="JO14" s="29"/>
      <c r="JQ14" s="29">
        <v>0</v>
      </c>
      <c r="JR14" s="3"/>
      <c r="JS14" s="29">
        <v>1</v>
      </c>
      <c r="JT14" s="3"/>
      <c r="JW14" s="35">
        <v>0.05</v>
      </c>
      <c r="JX14" s="81">
        <v>24</v>
      </c>
      <c r="JY14" s="81">
        <v>10</v>
      </c>
    </row>
    <row r="15" spans="1:286">
      <c r="B15" s="3"/>
      <c r="D15" s="39" t="str">
        <f t="shared" si="7"/>
        <v>-/-</v>
      </c>
      <c r="F15" s="3"/>
      <c r="H15" s="120"/>
      <c r="J15" s="120"/>
      <c r="L15" s="118"/>
      <c r="N15" s="120"/>
      <c r="P15" s="120"/>
      <c r="Q15" s="120"/>
      <c r="R15" s="120"/>
      <c r="S15" s="120"/>
      <c r="T15" s="120"/>
      <c r="U15" s="120"/>
      <c r="W15" s="120"/>
      <c r="X15" s="120"/>
      <c r="Y15" s="120"/>
      <c r="Z15" s="120"/>
      <c r="AA15" s="120"/>
      <c r="AB15" s="120"/>
      <c r="AC15" s="120"/>
      <c r="AD15" s="120"/>
      <c r="AF15" s="19"/>
      <c r="AG15" s="19"/>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B15" s="25"/>
      <c r="FC15" s="25"/>
      <c r="FD15" s="25"/>
      <c r="FE15" s="25"/>
      <c r="FG15" s="23"/>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O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N15" s="25"/>
      <c r="HO15" s="25"/>
      <c r="HP15" s="25"/>
      <c r="HQ15" s="25"/>
      <c r="HR15" s="25"/>
      <c r="HS15" s="25"/>
      <c r="HU15" s="25"/>
      <c r="HV15" s="25"/>
      <c r="HW15" s="25"/>
      <c r="HX15" s="25"/>
      <c r="HY15" s="25"/>
      <c r="HZ15" s="25"/>
      <c r="IA15" s="25"/>
      <c r="IB15" s="25"/>
      <c r="IC15" s="25"/>
      <c r="ID15" s="25"/>
      <c r="IE15" s="25"/>
      <c r="IF15" s="25"/>
      <c r="IG15" s="25"/>
      <c r="IH15" s="25"/>
      <c r="II15" s="25"/>
      <c r="IJ15" s="25"/>
      <c r="IK15" s="25"/>
      <c r="IL15" s="25"/>
      <c r="IM15" s="25"/>
      <c r="IN15" s="25"/>
      <c r="IO15" s="25"/>
      <c r="IP15" s="25"/>
      <c r="IQ15" s="25"/>
      <c r="IR15" s="25"/>
      <c r="IS15" s="25"/>
      <c r="IT15" s="25"/>
      <c r="IU15" s="25"/>
      <c r="IV15" s="25"/>
      <c r="IW15" s="25"/>
      <c r="IX15" s="25"/>
      <c r="IY15" s="25"/>
      <c r="JA15" s="19"/>
      <c r="JB15" s="25"/>
      <c r="JC15" s="29"/>
      <c r="JD15" s="23"/>
      <c r="JE15" s="23"/>
      <c r="JF15" s="23"/>
      <c r="JG15" s="23"/>
      <c r="JH15" s="23"/>
      <c r="JI15" s="23"/>
      <c r="JJ15" s="23"/>
      <c r="JL15" s="29"/>
      <c r="JM15" s="29"/>
      <c r="JN15" s="29"/>
      <c r="JO15" s="29"/>
      <c r="JQ15" s="29"/>
      <c r="JR15" s="3"/>
      <c r="JS15" s="29"/>
      <c r="JT15" s="3"/>
      <c r="JW15" s="35"/>
      <c r="JX15" s="81"/>
      <c r="JY15" s="81"/>
    </row>
    <row r="16" spans="1:286">
      <c r="B16" s="3"/>
      <c r="D16" s="39" t="str">
        <f t="shared" si="7"/>
        <v>-/-</v>
      </c>
      <c r="F16" s="3"/>
      <c r="H16" s="120"/>
      <c r="J16" s="120"/>
      <c r="L16" s="118"/>
      <c r="N16" s="120"/>
      <c r="P16" s="120"/>
      <c r="Q16" s="120"/>
      <c r="R16" s="120"/>
      <c r="S16" s="120"/>
      <c r="T16" s="120"/>
      <c r="U16" s="120"/>
      <c r="W16" s="120"/>
      <c r="X16" s="120"/>
      <c r="Y16" s="120"/>
      <c r="Z16" s="120"/>
      <c r="AA16" s="120"/>
      <c r="AB16" s="120"/>
      <c r="AC16" s="120"/>
      <c r="AD16" s="120"/>
      <c r="AF16" s="19"/>
      <c r="AG16" s="19"/>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D16" s="25"/>
      <c r="FE16" s="25"/>
      <c r="FG16" s="23"/>
      <c r="FI16" s="25"/>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H16" s="25"/>
      <c r="GI16" s="25"/>
      <c r="GJ16" s="25"/>
      <c r="GK16" s="25"/>
      <c r="GL16" s="25"/>
      <c r="GM16" s="25"/>
      <c r="GO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N16" s="25"/>
      <c r="HO16" s="25"/>
      <c r="HP16" s="25"/>
      <c r="HQ16" s="25"/>
      <c r="HR16" s="25"/>
      <c r="HS16" s="25"/>
      <c r="HU16" s="25"/>
      <c r="HV16" s="25"/>
      <c r="HW16" s="25"/>
      <c r="HX16" s="25"/>
      <c r="HY16" s="25"/>
      <c r="HZ16" s="25"/>
      <c r="IA16" s="25"/>
      <c r="IB16" s="25"/>
      <c r="IC16" s="25"/>
      <c r="ID16" s="25"/>
      <c r="IE16" s="25"/>
      <c r="IF16" s="25"/>
      <c r="IG16" s="25"/>
      <c r="IH16" s="25"/>
      <c r="II16" s="25"/>
      <c r="IJ16" s="25"/>
      <c r="IK16" s="25"/>
      <c r="IL16" s="25"/>
      <c r="IM16" s="25"/>
      <c r="IN16" s="25"/>
      <c r="IO16" s="25"/>
      <c r="IP16" s="25"/>
      <c r="IQ16" s="25"/>
      <c r="IR16" s="25"/>
      <c r="IS16" s="25"/>
      <c r="IT16" s="25"/>
      <c r="IU16" s="25"/>
      <c r="IV16" s="25"/>
      <c r="IW16" s="25"/>
      <c r="IX16" s="25"/>
      <c r="IY16" s="25"/>
      <c r="JA16" s="19"/>
      <c r="JB16" s="25"/>
      <c r="JC16" s="29"/>
      <c r="JD16" s="23"/>
      <c r="JE16" s="23"/>
      <c r="JF16" s="23"/>
      <c r="JG16" s="23"/>
      <c r="JH16" s="23"/>
      <c r="JI16" s="23"/>
      <c r="JJ16" s="23"/>
      <c r="JL16" s="29"/>
      <c r="JM16" s="29"/>
      <c r="JN16" s="29"/>
      <c r="JO16" s="29"/>
      <c r="JQ16" s="29"/>
      <c r="JR16" s="3"/>
      <c r="JS16" s="29"/>
      <c r="JT16" s="3"/>
      <c r="JW16" s="35"/>
      <c r="JX16" s="81"/>
      <c r="JY16" s="81"/>
    </row>
    <row r="17" spans="2:285">
      <c r="B17" s="3"/>
      <c r="D17" s="39" t="str">
        <f t="shared" si="7"/>
        <v>-/-</v>
      </c>
      <c r="F17" s="3"/>
      <c r="H17" s="120"/>
      <c r="J17" s="120"/>
      <c r="L17" s="118"/>
      <c r="N17" s="120"/>
      <c r="P17" s="120"/>
      <c r="Q17" s="120"/>
      <c r="R17" s="120"/>
      <c r="S17" s="120"/>
      <c r="T17" s="120"/>
      <c r="U17" s="120"/>
      <c r="W17" s="120"/>
      <c r="X17" s="120"/>
      <c r="Y17" s="120"/>
      <c r="Z17" s="120"/>
      <c r="AA17" s="120"/>
      <c r="AB17" s="120"/>
      <c r="AC17" s="120"/>
      <c r="AD17" s="120"/>
      <c r="AF17" s="19"/>
      <c r="AG17" s="19"/>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c r="BK17" s="25"/>
      <c r="BL17" s="25"/>
      <c r="BM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V17" s="25"/>
      <c r="DW17" s="25"/>
      <c r="DX17" s="25"/>
      <c r="DY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B17" s="25"/>
      <c r="FC17" s="25"/>
      <c r="FD17" s="25"/>
      <c r="FE17" s="25"/>
      <c r="FG17" s="23"/>
      <c r="FI17" s="25"/>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H17" s="25"/>
      <c r="GI17" s="25"/>
      <c r="GJ17" s="25"/>
      <c r="GK17" s="25"/>
      <c r="GL17" s="25"/>
      <c r="GM17" s="25"/>
      <c r="GO17" s="25"/>
      <c r="GP17" s="25"/>
      <c r="GQ17" s="25"/>
      <c r="GR17" s="25"/>
      <c r="GS17" s="25"/>
      <c r="GT17" s="25"/>
      <c r="GU17" s="25"/>
      <c r="GV17" s="25"/>
      <c r="GW17" s="25"/>
      <c r="GX17" s="25"/>
      <c r="GY17" s="25"/>
      <c r="GZ17" s="25"/>
      <c r="HA17" s="25"/>
      <c r="HB17" s="25"/>
      <c r="HC17" s="25"/>
      <c r="HD17" s="25"/>
      <c r="HE17" s="25"/>
      <c r="HF17" s="25"/>
      <c r="HG17" s="25"/>
      <c r="HH17" s="25"/>
      <c r="HI17" s="25"/>
      <c r="HJ17" s="25"/>
      <c r="HK17" s="25"/>
      <c r="HL17" s="25"/>
      <c r="HM17" s="25"/>
      <c r="HN17" s="25"/>
      <c r="HO17" s="25"/>
      <c r="HP17" s="25"/>
      <c r="HQ17" s="25"/>
      <c r="HR17" s="25"/>
      <c r="HS17" s="25"/>
      <c r="HU17" s="25"/>
      <c r="HV17" s="25"/>
      <c r="HW17" s="25"/>
      <c r="HX17" s="25"/>
      <c r="HY17" s="25"/>
      <c r="HZ17" s="25"/>
      <c r="IA17" s="25"/>
      <c r="IB17" s="25"/>
      <c r="IC17" s="25"/>
      <c r="ID17" s="25"/>
      <c r="IE17" s="25"/>
      <c r="IF17" s="25"/>
      <c r="IG17" s="25"/>
      <c r="IH17" s="25"/>
      <c r="II17" s="25"/>
      <c r="IJ17" s="25"/>
      <c r="IK17" s="25"/>
      <c r="IL17" s="25"/>
      <c r="IM17" s="25"/>
      <c r="IN17" s="25"/>
      <c r="IO17" s="25"/>
      <c r="IP17" s="25"/>
      <c r="IQ17" s="25"/>
      <c r="IR17" s="25"/>
      <c r="IS17" s="25"/>
      <c r="IT17" s="25"/>
      <c r="IU17" s="25"/>
      <c r="IV17" s="25"/>
      <c r="IW17" s="25"/>
      <c r="IX17" s="25"/>
      <c r="IY17" s="25"/>
      <c r="JA17" s="19"/>
      <c r="JB17" s="25"/>
      <c r="JC17" s="29"/>
      <c r="JD17" s="23"/>
      <c r="JE17" s="23"/>
      <c r="JF17" s="23"/>
      <c r="JG17" s="23"/>
      <c r="JH17" s="23"/>
      <c r="JI17" s="23"/>
      <c r="JJ17" s="23"/>
      <c r="JL17" s="29"/>
      <c r="JM17" s="29"/>
      <c r="JN17" s="29"/>
      <c r="JO17" s="29"/>
      <c r="JQ17" s="29"/>
      <c r="JR17" s="3"/>
      <c r="JS17" s="29"/>
      <c r="JT17" s="3"/>
      <c r="JW17" s="35"/>
      <c r="JX17" s="81"/>
      <c r="JY17" s="81"/>
    </row>
    <row r="18" spans="2:285">
      <c r="B18" s="3"/>
      <c r="D18" s="39" t="str">
        <f t="shared" si="7"/>
        <v>-/-</v>
      </c>
      <c r="F18" s="3"/>
      <c r="H18" s="120"/>
      <c r="J18" s="120"/>
      <c r="L18" s="118"/>
      <c r="N18" s="120"/>
      <c r="P18" s="120"/>
      <c r="Q18" s="120"/>
      <c r="R18" s="120"/>
      <c r="S18" s="120"/>
      <c r="T18" s="120"/>
      <c r="U18" s="120"/>
      <c r="W18" s="120"/>
      <c r="X18" s="120"/>
      <c r="Y18" s="120"/>
      <c r="Z18" s="120"/>
      <c r="AA18" s="120"/>
      <c r="AB18" s="120"/>
      <c r="AC18" s="120"/>
      <c r="AD18" s="120"/>
      <c r="AF18" s="19"/>
      <c r="AG18" s="19"/>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G18" s="23"/>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JA18" s="19"/>
      <c r="JB18" s="25"/>
      <c r="JC18" s="29"/>
      <c r="JD18" s="23"/>
      <c r="JE18" s="23"/>
      <c r="JF18" s="23"/>
      <c r="JG18" s="23"/>
      <c r="JH18" s="23"/>
      <c r="JI18" s="23"/>
      <c r="JJ18" s="23"/>
      <c r="JL18" s="29"/>
      <c r="JM18" s="29"/>
      <c r="JN18" s="29"/>
      <c r="JO18" s="29"/>
      <c r="JQ18" s="29"/>
      <c r="JR18" s="3"/>
      <c r="JS18" s="29"/>
      <c r="JT18" s="3"/>
      <c r="JW18" s="35"/>
      <c r="JX18" s="81"/>
      <c r="JY18" s="81"/>
    </row>
    <row r="19" spans="2:285">
      <c r="B19" s="3"/>
      <c r="D19" s="39" t="str">
        <f t="shared" si="7"/>
        <v>-/-</v>
      </c>
      <c r="F19" s="3"/>
      <c r="H19" s="120"/>
      <c r="J19" s="120"/>
      <c r="L19" s="118"/>
      <c r="N19" s="120"/>
      <c r="P19" s="120"/>
      <c r="Q19" s="120"/>
      <c r="R19" s="120"/>
      <c r="S19" s="120"/>
      <c r="T19" s="120"/>
      <c r="U19" s="120"/>
      <c r="W19" s="120"/>
      <c r="X19" s="120"/>
      <c r="Y19" s="120"/>
      <c r="Z19" s="120"/>
      <c r="AA19" s="120"/>
      <c r="AB19" s="120"/>
      <c r="AC19" s="120"/>
      <c r="AD19" s="120"/>
      <c r="AF19" s="19"/>
      <c r="AG19" s="19"/>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R19" s="25"/>
      <c r="CS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V19" s="25"/>
      <c r="DW19" s="25"/>
      <c r="DX19" s="25"/>
      <c r="DY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B19" s="25"/>
      <c r="FC19" s="25"/>
      <c r="FD19" s="25"/>
      <c r="FE19" s="25"/>
      <c r="FG19" s="23"/>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K19" s="25"/>
      <c r="GL19" s="25"/>
      <c r="GM19" s="25"/>
      <c r="GO19" s="25"/>
      <c r="GP19" s="25"/>
      <c r="GQ19" s="25"/>
      <c r="GR19" s="25"/>
      <c r="GS19" s="25"/>
      <c r="GT19" s="25"/>
      <c r="GU19" s="25"/>
      <c r="GV19" s="25"/>
      <c r="GW19" s="25"/>
      <c r="GX19" s="25"/>
      <c r="GY19" s="25"/>
      <c r="GZ19" s="25"/>
      <c r="HA19" s="25"/>
      <c r="HB19" s="25"/>
      <c r="HC19" s="25"/>
      <c r="HD19" s="25"/>
      <c r="HE19" s="25"/>
      <c r="HF19" s="25"/>
      <c r="HG19" s="25"/>
      <c r="HH19" s="25"/>
      <c r="HI19" s="25"/>
      <c r="HJ19" s="25"/>
      <c r="HK19" s="25"/>
      <c r="HL19" s="25"/>
      <c r="HM19" s="25"/>
      <c r="HN19" s="25"/>
      <c r="HO19" s="25"/>
      <c r="HP19" s="25"/>
      <c r="HQ19" s="25"/>
      <c r="HR19" s="25"/>
      <c r="HS19" s="25"/>
      <c r="HU19" s="25"/>
      <c r="HV19" s="25"/>
      <c r="HW19" s="25"/>
      <c r="HX19" s="25"/>
      <c r="HY19" s="25"/>
      <c r="HZ19" s="25"/>
      <c r="IA19" s="25"/>
      <c r="IB19" s="25"/>
      <c r="IC19" s="25"/>
      <c r="ID19" s="25"/>
      <c r="IE19" s="25"/>
      <c r="IF19" s="25"/>
      <c r="IG19" s="25"/>
      <c r="IH19" s="25"/>
      <c r="II19" s="25"/>
      <c r="IJ19" s="25"/>
      <c r="IK19" s="25"/>
      <c r="IL19" s="25"/>
      <c r="IM19" s="25"/>
      <c r="IN19" s="25"/>
      <c r="IO19" s="25"/>
      <c r="IP19" s="25"/>
      <c r="IQ19" s="25"/>
      <c r="IR19" s="25"/>
      <c r="IS19" s="25"/>
      <c r="IT19" s="25"/>
      <c r="IU19" s="25"/>
      <c r="IV19" s="25"/>
      <c r="IW19" s="25"/>
      <c r="IX19" s="25"/>
      <c r="IY19" s="25"/>
      <c r="JA19" s="19"/>
      <c r="JB19" s="25"/>
      <c r="JC19" s="29"/>
      <c r="JD19" s="23"/>
      <c r="JE19" s="23"/>
      <c r="JF19" s="23"/>
      <c r="JG19" s="23"/>
      <c r="JH19" s="23"/>
      <c r="JI19" s="23"/>
      <c r="JJ19" s="23"/>
      <c r="JL19" s="29"/>
      <c r="JM19" s="29"/>
      <c r="JN19" s="29"/>
      <c r="JO19" s="29"/>
      <c r="JQ19" s="29"/>
      <c r="JR19" s="3"/>
      <c r="JS19" s="29"/>
      <c r="JT19" s="3"/>
      <c r="JW19" s="35"/>
      <c r="JX19" s="81"/>
      <c r="JY19" s="81"/>
    </row>
    <row r="20" spans="2:285">
      <c r="B20" s="3"/>
      <c r="D20" s="39" t="str">
        <f t="shared" si="7"/>
        <v>-/-</v>
      </c>
      <c r="F20" s="3"/>
      <c r="H20" s="120"/>
      <c r="J20" s="120"/>
      <c r="L20" s="118"/>
      <c r="N20" s="120"/>
      <c r="P20" s="120"/>
      <c r="Q20" s="120"/>
      <c r="R20" s="120"/>
      <c r="S20" s="120"/>
      <c r="T20" s="120"/>
      <c r="U20" s="120"/>
      <c r="W20" s="120"/>
      <c r="X20" s="120"/>
      <c r="Y20" s="120"/>
      <c r="Z20" s="120"/>
      <c r="AA20" s="120"/>
      <c r="AB20" s="120"/>
      <c r="AC20" s="120"/>
      <c r="AD20" s="120"/>
      <c r="AF20" s="19"/>
      <c r="AG20" s="19"/>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R20" s="25"/>
      <c r="CS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V20" s="25"/>
      <c r="DW20" s="25"/>
      <c r="DX20" s="25"/>
      <c r="DY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B20" s="25"/>
      <c r="FC20" s="25"/>
      <c r="FD20" s="25"/>
      <c r="FE20" s="25"/>
      <c r="FG20" s="23"/>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K20" s="25"/>
      <c r="GL20" s="25"/>
      <c r="GM20" s="25"/>
      <c r="GO20" s="25"/>
      <c r="GP20" s="25"/>
      <c r="GQ20" s="25"/>
      <c r="GR20" s="25"/>
      <c r="GS20" s="25"/>
      <c r="GT20" s="25"/>
      <c r="GU20" s="25"/>
      <c r="GV20" s="25"/>
      <c r="GW20" s="25"/>
      <c r="GX20" s="25"/>
      <c r="GY20" s="25"/>
      <c r="GZ20" s="25"/>
      <c r="HA20" s="25"/>
      <c r="HB20" s="25"/>
      <c r="HC20" s="25"/>
      <c r="HD20" s="25"/>
      <c r="HE20" s="25"/>
      <c r="HF20" s="25"/>
      <c r="HG20" s="25"/>
      <c r="HH20" s="25"/>
      <c r="HI20" s="25"/>
      <c r="HJ20" s="25"/>
      <c r="HK20" s="25"/>
      <c r="HL20" s="25"/>
      <c r="HM20" s="25"/>
      <c r="HN20" s="25"/>
      <c r="HO20" s="25"/>
      <c r="HP20" s="25"/>
      <c r="HQ20" s="25"/>
      <c r="HR20" s="25"/>
      <c r="HS20" s="25"/>
      <c r="HU20" s="25"/>
      <c r="HV20" s="25"/>
      <c r="HW20" s="25"/>
      <c r="HX20" s="25"/>
      <c r="HY20" s="25"/>
      <c r="HZ20" s="25"/>
      <c r="IA20" s="25"/>
      <c r="IB20" s="25"/>
      <c r="IC20" s="25"/>
      <c r="ID20" s="25"/>
      <c r="IE20" s="25"/>
      <c r="IF20" s="25"/>
      <c r="IG20" s="25"/>
      <c r="IH20" s="25"/>
      <c r="II20" s="25"/>
      <c r="IJ20" s="25"/>
      <c r="IK20" s="25"/>
      <c r="IL20" s="25"/>
      <c r="IM20" s="25"/>
      <c r="IN20" s="25"/>
      <c r="IO20" s="25"/>
      <c r="IP20" s="25"/>
      <c r="IQ20" s="25"/>
      <c r="IR20" s="25"/>
      <c r="IS20" s="25"/>
      <c r="IT20" s="25"/>
      <c r="IU20" s="25"/>
      <c r="IV20" s="25"/>
      <c r="IW20" s="25"/>
      <c r="IX20" s="25"/>
      <c r="IY20" s="25"/>
      <c r="JA20" s="19"/>
      <c r="JB20" s="25"/>
      <c r="JC20" s="29"/>
      <c r="JD20" s="23"/>
      <c r="JE20" s="23"/>
      <c r="JF20" s="23"/>
      <c r="JG20" s="23"/>
      <c r="JH20" s="23"/>
      <c r="JI20" s="23"/>
      <c r="JJ20" s="23"/>
      <c r="JL20" s="29"/>
      <c r="JM20" s="29"/>
      <c r="JN20" s="29"/>
      <c r="JO20" s="29"/>
      <c r="JQ20" s="29"/>
      <c r="JR20" s="3"/>
      <c r="JS20" s="29"/>
      <c r="JT20" s="3"/>
      <c r="JW20" s="35"/>
      <c r="JX20" s="81"/>
      <c r="JY20" s="81"/>
    </row>
    <row r="21" spans="2:285">
      <c r="B21" s="3"/>
      <c r="D21" s="39" t="str">
        <f t="shared" si="7"/>
        <v>-/-</v>
      </c>
      <c r="F21" s="3"/>
      <c r="H21" s="120"/>
      <c r="J21" s="120"/>
      <c r="L21" s="118"/>
      <c r="N21" s="120"/>
      <c r="P21" s="120"/>
      <c r="Q21" s="120"/>
      <c r="R21" s="120"/>
      <c r="S21" s="120"/>
      <c r="T21" s="120"/>
      <c r="U21" s="120"/>
      <c r="W21" s="120"/>
      <c r="X21" s="120"/>
      <c r="Y21" s="120"/>
      <c r="Z21" s="120"/>
      <c r="AA21" s="120"/>
      <c r="AB21" s="120"/>
      <c r="AC21" s="120"/>
      <c r="AD21" s="120"/>
      <c r="AF21" s="19"/>
      <c r="AG21" s="19"/>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c r="BK21" s="25"/>
      <c r="BL21" s="25"/>
      <c r="BM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X21" s="25"/>
      <c r="DY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25"/>
      <c r="FB21" s="25"/>
      <c r="FC21" s="25"/>
      <c r="FD21" s="25"/>
      <c r="FE21" s="25"/>
      <c r="FG21" s="23"/>
      <c r="FI21" s="25"/>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H21" s="25"/>
      <c r="GI21" s="25"/>
      <c r="GJ21" s="25"/>
      <c r="GK21" s="25"/>
      <c r="GL21" s="25"/>
      <c r="GM21" s="25"/>
      <c r="GO21" s="25"/>
      <c r="GP21" s="25"/>
      <c r="GQ21" s="25"/>
      <c r="GR21" s="25"/>
      <c r="GS21" s="25"/>
      <c r="GT21" s="25"/>
      <c r="GU21" s="25"/>
      <c r="GV21" s="25"/>
      <c r="GW21" s="25"/>
      <c r="GX21" s="25"/>
      <c r="GY21" s="25"/>
      <c r="GZ21" s="25"/>
      <c r="HA21" s="25"/>
      <c r="HB21" s="25"/>
      <c r="HC21" s="25"/>
      <c r="HD21" s="25"/>
      <c r="HE21" s="25"/>
      <c r="HF21" s="25"/>
      <c r="HG21" s="25"/>
      <c r="HH21" s="25"/>
      <c r="HI21" s="25"/>
      <c r="HJ21" s="25"/>
      <c r="HK21" s="25"/>
      <c r="HL21" s="25"/>
      <c r="HM21" s="25"/>
      <c r="HN21" s="25"/>
      <c r="HO21" s="25"/>
      <c r="HP21" s="25"/>
      <c r="HQ21" s="25"/>
      <c r="HR21" s="25"/>
      <c r="HS21" s="25"/>
      <c r="HU21" s="25"/>
      <c r="HV21" s="25"/>
      <c r="HW21" s="25"/>
      <c r="HX21" s="25"/>
      <c r="HY21" s="25"/>
      <c r="HZ21" s="25"/>
      <c r="IA21" s="25"/>
      <c r="IB21" s="25"/>
      <c r="IC21" s="25"/>
      <c r="ID21" s="25"/>
      <c r="IE21" s="25"/>
      <c r="IF21" s="25"/>
      <c r="IG21" s="25"/>
      <c r="IH21" s="25"/>
      <c r="II21" s="25"/>
      <c r="IJ21" s="25"/>
      <c r="IK21" s="25"/>
      <c r="IL21" s="25"/>
      <c r="IM21" s="25"/>
      <c r="IN21" s="25"/>
      <c r="IO21" s="25"/>
      <c r="IP21" s="25"/>
      <c r="IQ21" s="25"/>
      <c r="IR21" s="25"/>
      <c r="IS21" s="25"/>
      <c r="IT21" s="25"/>
      <c r="IU21" s="25"/>
      <c r="IV21" s="25"/>
      <c r="IW21" s="25"/>
      <c r="IX21" s="25"/>
      <c r="IY21" s="25"/>
      <c r="JA21" s="19"/>
      <c r="JB21" s="25"/>
      <c r="JC21" s="29"/>
      <c r="JD21" s="23"/>
      <c r="JE21" s="23"/>
      <c r="JF21" s="23"/>
      <c r="JG21" s="23"/>
      <c r="JH21" s="23"/>
      <c r="JI21" s="23"/>
      <c r="JJ21" s="23"/>
      <c r="JL21" s="29"/>
      <c r="JM21" s="29"/>
      <c r="JN21" s="29"/>
      <c r="JO21" s="29"/>
      <c r="JQ21" s="29"/>
      <c r="JR21" s="3"/>
      <c r="JS21" s="29"/>
      <c r="JT21" s="3"/>
      <c r="JW21" s="35"/>
      <c r="JX21" s="81"/>
      <c r="JY21" s="81"/>
    </row>
    <row r="22" spans="2:285">
      <c r="B22" s="3"/>
      <c r="D22" s="39" t="str">
        <f t="shared" si="7"/>
        <v>-/-</v>
      </c>
      <c r="F22" s="3"/>
      <c r="H22" s="120"/>
      <c r="J22" s="120"/>
      <c r="L22" s="118"/>
      <c r="N22" s="120"/>
      <c r="P22" s="120"/>
      <c r="Q22" s="120"/>
      <c r="R22" s="120"/>
      <c r="S22" s="120"/>
      <c r="T22" s="120"/>
      <c r="U22" s="120"/>
      <c r="W22" s="120"/>
      <c r="X22" s="120"/>
      <c r="Y22" s="120"/>
      <c r="Z22" s="120"/>
      <c r="AA22" s="120"/>
      <c r="AB22" s="120"/>
      <c r="AC22" s="120"/>
      <c r="AD22" s="120"/>
      <c r="AF22" s="19"/>
      <c r="AG22" s="19"/>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c r="BK22" s="25"/>
      <c r="BL22" s="25"/>
      <c r="BM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V22" s="25"/>
      <c r="DW22" s="25"/>
      <c r="DX22" s="25"/>
      <c r="DY22" s="25"/>
      <c r="EA22" s="25"/>
      <c r="EB22" s="25"/>
      <c r="EC22" s="25"/>
      <c r="ED22" s="25"/>
      <c r="EE22" s="25"/>
      <c r="EF22" s="25"/>
      <c r="EG22" s="25"/>
      <c r="EH22" s="25"/>
      <c r="EI22" s="25"/>
      <c r="EJ22" s="25"/>
      <c r="EK22" s="25"/>
      <c r="EL22" s="25"/>
      <c r="EM22" s="25"/>
      <c r="EN22" s="25"/>
      <c r="EO22" s="25"/>
      <c r="EP22" s="25"/>
      <c r="EQ22" s="25"/>
      <c r="ER22" s="25"/>
      <c r="ES22" s="25"/>
      <c r="ET22" s="25"/>
      <c r="EU22" s="25"/>
      <c r="EV22" s="25"/>
      <c r="EW22" s="25"/>
      <c r="EX22" s="25"/>
      <c r="EY22" s="25"/>
      <c r="EZ22" s="25"/>
      <c r="FA22" s="25"/>
      <c r="FB22" s="25"/>
      <c r="FC22" s="25"/>
      <c r="FD22" s="25"/>
      <c r="FE22" s="25"/>
      <c r="FG22" s="23"/>
      <c r="FI22" s="25"/>
      <c r="FJ22" s="25"/>
      <c r="FK22" s="25"/>
      <c r="FL22" s="25"/>
      <c r="FM22" s="25"/>
      <c r="FN22" s="25"/>
      <c r="FO22" s="25"/>
      <c r="FP22" s="25"/>
      <c r="FQ22" s="25"/>
      <c r="FR22" s="25"/>
      <c r="FS22" s="25"/>
      <c r="FT22" s="25"/>
      <c r="FU22" s="25"/>
      <c r="FV22" s="25"/>
      <c r="FW22" s="25"/>
      <c r="FX22" s="25"/>
      <c r="FY22" s="25"/>
      <c r="FZ22" s="25"/>
      <c r="GA22" s="25"/>
      <c r="GB22" s="25"/>
      <c r="GC22" s="25"/>
      <c r="GD22" s="25"/>
      <c r="GE22" s="25"/>
      <c r="GF22" s="25"/>
      <c r="GG22" s="25"/>
      <c r="GH22" s="25"/>
      <c r="GI22" s="25"/>
      <c r="GJ22" s="25"/>
      <c r="GK22" s="25"/>
      <c r="GL22" s="25"/>
      <c r="GM22" s="25"/>
      <c r="GO22" s="25"/>
      <c r="GP22" s="25"/>
      <c r="GQ22" s="25"/>
      <c r="GR22" s="25"/>
      <c r="GS22" s="25"/>
      <c r="GT22" s="25"/>
      <c r="GU22" s="25"/>
      <c r="GV22" s="25"/>
      <c r="GW22" s="25"/>
      <c r="GX22" s="25"/>
      <c r="GY22" s="25"/>
      <c r="GZ22" s="25"/>
      <c r="HA22" s="25"/>
      <c r="HB22" s="25"/>
      <c r="HC22" s="25"/>
      <c r="HD22" s="25"/>
      <c r="HE22" s="25"/>
      <c r="HF22" s="25"/>
      <c r="HG22" s="25"/>
      <c r="HH22" s="25"/>
      <c r="HI22" s="25"/>
      <c r="HJ22" s="25"/>
      <c r="HK22" s="25"/>
      <c r="HL22" s="25"/>
      <c r="HM22" s="25"/>
      <c r="HN22" s="25"/>
      <c r="HO22" s="25"/>
      <c r="HP22" s="25"/>
      <c r="HQ22" s="25"/>
      <c r="HR22" s="25"/>
      <c r="HS22" s="25"/>
      <c r="HU22" s="25"/>
      <c r="HV22" s="25"/>
      <c r="HW22" s="25"/>
      <c r="HX22" s="25"/>
      <c r="HY22" s="25"/>
      <c r="HZ22" s="25"/>
      <c r="IA22" s="25"/>
      <c r="IB22" s="25"/>
      <c r="IC22" s="25"/>
      <c r="ID22" s="25"/>
      <c r="IE22" s="25"/>
      <c r="IF22" s="25"/>
      <c r="IG22" s="25"/>
      <c r="IH22" s="25"/>
      <c r="II22" s="25"/>
      <c r="IJ22" s="25"/>
      <c r="IK22" s="25"/>
      <c r="IL22" s="25"/>
      <c r="IM22" s="25"/>
      <c r="IN22" s="25"/>
      <c r="IO22" s="25"/>
      <c r="IP22" s="25"/>
      <c r="IQ22" s="25"/>
      <c r="IR22" s="25"/>
      <c r="IS22" s="25"/>
      <c r="IT22" s="25"/>
      <c r="IU22" s="25"/>
      <c r="IV22" s="25"/>
      <c r="IW22" s="25"/>
      <c r="IX22" s="25"/>
      <c r="IY22" s="25"/>
      <c r="JA22" s="19"/>
      <c r="JB22" s="25"/>
      <c r="JC22" s="29"/>
      <c r="JD22" s="23"/>
      <c r="JE22" s="23"/>
      <c r="JF22" s="23"/>
      <c r="JG22" s="23"/>
      <c r="JH22" s="23"/>
      <c r="JI22" s="23"/>
      <c r="JJ22" s="23"/>
      <c r="JL22" s="29"/>
      <c r="JM22" s="29"/>
      <c r="JN22" s="29"/>
      <c r="JO22" s="29"/>
      <c r="JQ22" s="29"/>
      <c r="JR22" s="3"/>
      <c r="JS22" s="29"/>
      <c r="JT22" s="3"/>
      <c r="JW22" s="35"/>
      <c r="JX22" s="81"/>
      <c r="JY22" s="81"/>
    </row>
    <row r="23" spans="2:285">
      <c r="B23" s="3"/>
      <c r="D23" s="39" t="str">
        <f t="shared" si="7"/>
        <v>-/-</v>
      </c>
      <c r="F23" s="3"/>
      <c r="H23" s="120"/>
      <c r="J23" s="120"/>
      <c r="L23" s="118"/>
      <c r="N23" s="120"/>
      <c r="P23" s="120"/>
      <c r="Q23" s="120"/>
      <c r="R23" s="120"/>
      <c r="S23" s="120"/>
      <c r="T23" s="120"/>
      <c r="U23" s="120"/>
      <c r="W23" s="120"/>
      <c r="X23" s="120"/>
      <c r="Y23" s="120"/>
      <c r="Z23" s="120"/>
      <c r="AA23" s="120"/>
      <c r="AB23" s="120"/>
      <c r="AC23" s="120"/>
      <c r="AD23" s="120"/>
      <c r="AF23" s="19"/>
      <c r="AG23" s="19"/>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c r="BK23" s="25"/>
      <c r="BL23" s="25"/>
      <c r="BM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X23" s="25"/>
      <c r="DY23" s="25"/>
      <c r="EA23" s="25"/>
      <c r="EB23" s="25"/>
      <c r="EC23" s="25"/>
      <c r="ED23" s="25"/>
      <c r="EE23" s="25"/>
      <c r="EF23" s="25"/>
      <c r="EG23" s="25"/>
      <c r="EH23" s="25"/>
      <c r="EI23" s="25"/>
      <c r="EJ23" s="25"/>
      <c r="EK23" s="25"/>
      <c r="EL23" s="25"/>
      <c r="EM23" s="25"/>
      <c r="EN23" s="25"/>
      <c r="EO23" s="25"/>
      <c r="EP23" s="25"/>
      <c r="EQ23" s="25"/>
      <c r="ER23" s="25"/>
      <c r="ES23" s="25"/>
      <c r="ET23" s="25"/>
      <c r="EU23" s="25"/>
      <c r="EV23" s="25"/>
      <c r="EW23" s="25"/>
      <c r="EX23" s="25"/>
      <c r="EY23" s="25"/>
      <c r="EZ23" s="25"/>
      <c r="FA23" s="25"/>
      <c r="FB23" s="25"/>
      <c r="FC23" s="25"/>
      <c r="FD23" s="25"/>
      <c r="FE23" s="25"/>
      <c r="FG23" s="23"/>
      <c r="FI23" s="25"/>
      <c r="FJ23" s="25"/>
      <c r="FK23" s="25"/>
      <c r="FL23" s="25"/>
      <c r="FM23" s="25"/>
      <c r="FN23" s="25"/>
      <c r="FO23" s="25"/>
      <c r="FP23" s="25"/>
      <c r="FQ23" s="25"/>
      <c r="FR23" s="25"/>
      <c r="FS23" s="25"/>
      <c r="FT23" s="25"/>
      <c r="FU23" s="25"/>
      <c r="FV23" s="25"/>
      <c r="FW23" s="25"/>
      <c r="FX23" s="25"/>
      <c r="FY23" s="25"/>
      <c r="FZ23" s="25"/>
      <c r="GA23" s="25"/>
      <c r="GB23" s="25"/>
      <c r="GC23" s="25"/>
      <c r="GD23" s="25"/>
      <c r="GE23" s="25"/>
      <c r="GF23" s="25"/>
      <c r="GG23" s="25"/>
      <c r="GH23" s="25"/>
      <c r="GI23" s="25"/>
      <c r="GJ23" s="25"/>
      <c r="GK23" s="25"/>
      <c r="GL23" s="25"/>
      <c r="GM23" s="25"/>
      <c r="GO23" s="25"/>
      <c r="GP23" s="25"/>
      <c r="GQ23" s="25"/>
      <c r="GR23" s="25"/>
      <c r="GS23" s="25"/>
      <c r="GT23" s="25"/>
      <c r="GU23" s="25"/>
      <c r="GV23" s="25"/>
      <c r="GW23" s="25"/>
      <c r="GX23" s="25"/>
      <c r="GY23" s="25"/>
      <c r="GZ23" s="25"/>
      <c r="HA23" s="25"/>
      <c r="HB23" s="25"/>
      <c r="HC23" s="25"/>
      <c r="HD23" s="25"/>
      <c r="HE23" s="25"/>
      <c r="HF23" s="25"/>
      <c r="HG23" s="25"/>
      <c r="HH23" s="25"/>
      <c r="HI23" s="25"/>
      <c r="HJ23" s="25"/>
      <c r="HK23" s="25"/>
      <c r="HL23" s="25"/>
      <c r="HM23" s="25"/>
      <c r="HN23" s="25"/>
      <c r="HO23" s="25"/>
      <c r="HP23" s="25"/>
      <c r="HQ23" s="25"/>
      <c r="HR23" s="25"/>
      <c r="HS23" s="25"/>
      <c r="HU23" s="25"/>
      <c r="HV23" s="25"/>
      <c r="HW23" s="25"/>
      <c r="HX23" s="25"/>
      <c r="HY23" s="25"/>
      <c r="HZ23" s="25"/>
      <c r="IA23" s="25"/>
      <c r="IB23" s="25"/>
      <c r="IC23" s="25"/>
      <c r="ID23" s="25"/>
      <c r="IE23" s="25"/>
      <c r="IF23" s="25"/>
      <c r="IG23" s="25"/>
      <c r="IH23" s="25"/>
      <c r="II23" s="25"/>
      <c r="IJ23" s="25"/>
      <c r="IK23" s="25"/>
      <c r="IL23" s="25"/>
      <c r="IM23" s="25"/>
      <c r="IN23" s="25"/>
      <c r="IO23" s="25"/>
      <c r="IP23" s="25"/>
      <c r="IQ23" s="25"/>
      <c r="IR23" s="25"/>
      <c r="IS23" s="25"/>
      <c r="IT23" s="25"/>
      <c r="IU23" s="25"/>
      <c r="IV23" s="25"/>
      <c r="IW23" s="25"/>
      <c r="IX23" s="25"/>
      <c r="IY23" s="25"/>
      <c r="JA23" s="19"/>
      <c r="JB23" s="25"/>
      <c r="JC23" s="29"/>
      <c r="JD23" s="23"/>
      <c r="JE23" s="23"/>
      <c r="JF23" s="23"/>
      <c r="JG23" s="23"/>
      <c r="JH23" s="23"/>
      <c r="JI23" s="23"/>
      <c r="JJ23" s="23"/>
      <c r="JL23" s="29"/>
      <c r="JM23" s="29"/>
      <c r="JN23" s="29"/>
      <c r="JO23" s="29"/>
      <c r="JQ23" s="29"/>
      <c r="JR23" s="3"/>
      <c r="JS23" s="29"/>
      <c r="JT23" s="3"/>
      <c r="JW23" s="35"/>
      <c r="JX23" s="81"/>
      <c r="JY23" s="81"/>
    </row>
    <row r="24" spans="2:285">
      <c r="B24" s="3"/>
      <c r="D24" s="39" t="str">
        <f t="shared" si="7"/>
        <v>-/-</v>
      </c>
      <c r="F24" s="3"/>
      <c r="H24" s="120"/>
      <c r="J24" s="120"/>
      <c r="L24" s="118"/>
      <c r="N24" s="120"/>
      <c r="P24" s="120"/>
      <c r="Q24" s="120"/>
      <c r="R24" s="120"/>
      <c r="S24" s="120"/>
      <c r="T24" s="120"/>
      <c r="U24" s="120"/>
      <c r="W24" s="120"/>
      <c r="X24" s="120"/>
      <c r="Y24" s="120"/>
      <c r="Z24" s="120"/>
      <c r="AA24" s="120"/>
      <c r="AB24" s="120"/>
      <c r="AC24" s="120"/>
      <c r="AD24" s="120"/>
      <c r="AF24" s="19"/>
      <c r="AG24" s="19"/>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G24" s="23"/>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U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W24" s="25"/>
      <c r="IX24" s="25"/>
      <c r="IY24" s="25"/>
      <c r="JA24" s="19"/>
      <c r="JB24" s="25"/>
      <c r="JC24" s="29"/>
      <c r="JD24" s="23"/>
      <c r="JE24" s="23"/>
      <c r="JF24" s="23"/>
      <c r="JG24" s="23"/>
      <c r="JH24" s="23"/>
      <c r="JI24" s="23"/>
      <c r="JJ24" s="23"/>
      <c r="JL24" s="29"/>
      <c r="JM24" s="29"/>
      <c r="JN24" s="29"/>
      <c r="JO24" s="29"/>
      <c r="JQ24" s="29"/>
      <c r="JR24" s="3"/>
      <c r="JS24" s="29"/>
      <c r="JT24" s="3"/>
      <c r="JW24" s="35"/>
      <c r="JX24" s="81"/>
      <c r="JY24" s="81"/>
    </row>
    <row r="25" spans="2:285">
      <c r="B25" s="3"/>
      <c r="D25" s="39" t="str">
        <f t="shared" si="7"/>
        <v>-/-</v>
      </c>
      <c r="F25" s="3"/>
      <c r="H25" s="120"/>
      <c r="J25" s="120"/>
      <c r="L25" s="118"/>
      <c r="N25" s="120"/>
      <c r="P25" s="120"/>
      <c r="Q25" s="120"/>
      <c r="R25" s="120"/>
      <c r="S25" s="120"/>
      <c r="T25" s="120"/>
      <c r="U25" s="120"/>
      <c r="W25" s="120"/>
      <c r="X25" s="120"/>
      <c r="Y25" s="120"/>
      <c r="Z25" s="120"/>
      <c r="AA25" s="120"/>
      <c r="AB25" s="120"/>
      <c r="AC25" s="120"/>
      <c r="AD25" s="120"/>
      <c r="AF25" s="19"/>
      <c r="AG25" s="19"/>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EA25" s="25"/>
      <c r="EB25" s="25"/>
      <c r="EC25" s="25"/>
      <c r="ED25" s="25"/>
      <c r="EE25" s="25"/>
      <c r="EF25" s="25"/>
      <c r="EG25" s="25"/>
      <c r="EH25" s="25"/>
      <c r="EI25" s="25"/>
      <c r="EJ25" s="25"/>
      <c r="EK25" s="25"/>
      <c r="EL25" s="25"/>
      <c r="EM25" s="25"/>
      <c r="EN25" s="25"/>
      <c r="EO25" s="25"/>
      <c r="EP25" s="25"/>
      <c r="EQ25" s="25"/>
      <c r="ER25" s="25"/>
      <c r="ES25" s="25"/>
      <c r="ET25" s="25"/>
      <c r="EU25" s="25"/>
      <c r="EV25" s="25"/>
      <c r="EW25" s="25"/>
      <c r="EX25" s="25"/>
      <c r="EY25" s="25"/>
      <c r="EZ25" s="25"/>
      <c r="FA25" s="25"/>
      <c r="FB25" s="25"/>
      <c r="FC25" s="25"/>
      <c r="FD25" s="25"/>
      <c r="FE25" s="25"/>
      <c r="FG25" s="23"/>
      <c r="FI25" s="25"/>
      <c r="FJ25" s="25"/>
      <c r="FK25" s="25"/>
      <c r="FL25" s="25"/>
      <c r="FM25" s="25"/>
      <c r="FN25" s="25"/>
      <c r="FO25" s="25"/>
      <c r="FP25" s="25"/>
      <c r="FQ25" s="25"/>
      <c r="FR25" s="25"/>
      <c r="FS25" s="25"/>
      <c r="FT25" s="25"/>
      <c r="FU25" s="25"/>
      <c r="FV25" s="25"/>
      <c r="FW25" s="25"/>
      <c r="FX25" s="25"/>
      <c r="FY25" s="25"/>
      <c r="FZ25" s="25"/>
      <c r="GA25" s="25"/>
      <c r="GB25" s="25"/>
      <c r="GC25" s="25"/>
      <c r="GD25" s="25"/>
      <c r="GE25" s="25"/>
      <c r="GF25" s="25"/>
      <c r="GG25" s="25"/>
      <c r="GH25" s="25"/>
      <c r="GI25" s="25"/>
      <c r="GJ25" s="25"/>
      <c r="GK25" s="25"/>
      <c r="GL25" s="25"/>
      <c r="GM25" s="25"/>
      <c r="GO25" s="25"/>
      <c r="GP25" s="25"/>
      <c r="GQ25" s="25"/>
      <c r="GR25" s="25"/>
      <c r="GS25" s="25"/>
      <c r="GT25" s="25"/>
      <c r="GU25" s="25"/>
      <c r="GV25" s="25"/>
      <c r="GW25" s="25"/>
      <c r="GX25" s="25"/>
      <c r="GY25" s="25"/>
      <c r="GZ25" s="25"/>
      <c r="HA25" s="25"/>
      <c r="HB25" s="25"/>
      <c r="HC25" s="25"/>
      <c r="HD25" s="25"/>
      <c r="HE25" s="25"/>
      <c r="HF25" s="25"/>
      <c r="HG25" s="25"/>
      <c r="HH25" s="25"/>
      <c r="HI25" s="25"/>
      <c r="HJ25" s="25"/>
      <c r="HK25" s="25"/>
      <c r="HL25" s="25"/>
      <c r="HM25" s="25"/>
      <c r="HN25" s="25"/>
      <c r="HO25" s="25"/>
      <c r="HP25" s="25"/>
      <c r="HQ25" s="25"/>
      <c r="HR25" s="25"/>
      <c r="HS25" s="25"/>
      <c r="HU25" s="25"/>
      <c r="HV25" s="25"/>
      <c r="HW25" s="25"/>
      <c r="HX25" s="25"/>
      <c r="HY25" s="25"/>
      <c r="HZ25" s="25"/>
      <c r="IA25" s="25"/>
      <c r="IB25" s="25"/>
      <c r="IC25" s="25"/>
      <c r="ID25" s="25"/>
      <c r="IE25" s="25"/>
      <c r="IF25" s="25"/>
      <c r="IG25" s="25"/>
      <c r="IH25" s="25"/>
      <c r="II25" s="25"/>
      <c r="IJ25" s="25"/>
      <c r="IK25" s="25"/>
      <c r="IL25" s="25"/>
      <c r="IM25" s="25"/>
      <c r="IN25" s="25"/>
      <c r="IO25" s="25"/>
      <c r="IP25" s="25"/>
      <c r="IQ25" s="25"/>
      <c r="IR25" s="25"/>
      <c r="IS25" s="25"/>
      <c r="IT25" s="25"/>
      <c r="IU25" s="25"/>
      <c r="IV25" s="25"/>
      <c r="IW25" s="25"/>
      <c r="IX25" s="25"/>
      <c r="IY25" s="25"/>
      <c r="JA25" s="19"/>
      <c r="JB25" s="25"/>
      <c r="JC25" s="29"/>
      <c r="JD25" s="23"/>
      <c r="JE25" s="23"/>
      <c r="JF25" s="23"/>
      <c r="JG25" s="23"/>
      <c r="JH25" s="23"/>
      <c r="JI25" s="23"/>
      <c r="JJ25" s="23"/>
      <c r="JL25" s="29"/>
      <c r="JM25" s="29"/>
      <c r="JN25" s="29"/>
      <c r="JO25" s="29"/>
      <c r="JQ25" s="29"/>
      <c r="JR25" s="3"/>
      <c r="JS25" s="29"/>
      <c r="JT25" s="3"/>
      <c r="JW25" s="35"/>
      <c r="JX25" s="81"/>
      <c r="JY25" s="81"/>
    </row>
    <row r="26" spans="2:285">
      <c r="B26" s="3"/>
      <c r="D26" s="39" t="str">
        <f t="shared" si="7"/>
        <v>-/-</v>
      </c>
      <c r="F26" s="3"/>
      <c r="H26" s="120"/>
      <c r="J26" s="120"/>
      <c r="L26" s="118"/>
      <c r="N26" s="120"/>
      <c r="P26" s="120"/>
      <c r="Q26" s="120"/>
      <c r="R26" s="120"/>
      <c r="S26" s="120"/>
      <c r="T26" s="120"/>
      <c r="U26" s="120"/>
      <c r="W26" s="120"/>
      <c r="X26" s="120"/>
      <c r="Y26" s="120"/>
      <c r="Z26" s="120"/>
      <c r="AA26" s="120"/>
      <c r="AB26" s="120"/>
      <c r="AC26" s="120"/>
      <c r="AD26" s="120"/>
      <c r="AF26" s="19"/>
      <c r="AG26" s="19"/>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c r="BK26" s="25"/>
      <c r="BL26" s="25"/>
      <c r="BM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G26" s="23"/>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N26" s="25"/>
      <c r="HO26" s="25"/>
      <c r="HP26" s="25"/>
      <c r="HQ26" s="25"/>
      <c r="HR26" s="25"/>
      <c r="HS26" s="25"/>
      <c r="HU26" s="25"/>
      <c r="HV26" s="25"/>
      <c r="HW26" s="25"/>
      <c r="HX26" s="25"/>
      <c r="HY26" s="25"/>
      <c r="HZ26" s="25"/>
      <c r="IA26" s="25"/>
      <c r="IB26" s="25"/>
      <c r="IC26" s="25"/>
      <c r="ID26" s="25"/>
      <c r="IE26" s="25"/>
      <c r="IF26" s="25"/>
      <c r="IG26" s="25"/>
      <c r="IH26" s="25"/>
      <c r="II26" s="25"/>
      <c r="IJ26" s="25"/>
      <c r="IK26" s="25"/>
      <c r="IL26" s="25"/>
      <c r="IM26" s="25"/>
      <c r="IN26" s="25"/>
      <c r="IO26" s="25"/>
      <c r="IP26" s="25"/>
      <c r="IQ26" s="25"/>
      <c r="IR26" s="25"/>
      <c r="IS26" s="25"/>
      <c r="IT26" s="25"/>
      <c r="IU26" s="25"/>
      <c r="IV26" s="25"/>
      <c r="IW26" s="25"/>
      <c r="IX26" s="25"/>
      <c r="IY26" s="25"/>
      <c r="JA26" s="19"/>
      <c r="JB26" s="25"/>
      <c r="JC26" s="29"/>
      <c r="JD26" s="23"/>
      <c r="JE26" s="23"/>
      <c r="JF26" s="23"/>
      <c r="JG26" s="23"/>
      <c r="JH26" s="23"/>
      <c r="JI26" s="23"/>
      <c r="JJ26" s="23"/>
      <c r="JL26" s="29"/>
      <c r="JM26" s="29"/>
      <c r="JN26" s="29"/>
      <c r="JO26" s="29"/>
      <c r="JQ26" s="29"/>
      <c r="JR26" s="3"/>
      <c r="JS26" s="29"/>
      <c r="JT26" s="3"/>
      <c r="JW26" s="35"/>
      <c r="JX26" s="81"/>
      <c r="JY26" s="81"/>
    </row>
    <row r="27" spans="2:285">
      <c r="B27" s="3"/>
      <c r="D27" s="39" t="str">
        <f t="shared" si="7"/>
        <v>-/-</v>
      </c>
      <c r="F27" s="3"/>
      <c r="H27" s="120"/>
      <c r="J27" s="120"/>
      <c r="L27" s="118"/>
      <c r="N27" s="120"/>
      <c r="P27" s="120"/>
      <c r="Q27" s="120"/>
      <c r="R27" s="120"/>
      <c r="S27" s="120"/>
      <c r="T27" s="120"/>
      <c r="U27" s="120"/>
      <c r="W27" s="120"/>
      <c r="X27" s="120"/>
      <c r="Y27" s="120"/>
      <c r="Z27" s="120"/>
      <c r="AA27" s="120"/>
      <c r="AB27" s="120"/>
      <c r="AC27" s="120"/>
      <c r="AD27" s="120"/>
      <c r="AF27" s="19"/>
      <c r="AG27" s="19"/>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V27" s="25"/>
      <c r="DW27" s="25"/>
      <c r="DX27" s="25"/>
      <c r="DY27" s="2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B27" s="25"/>
      <c r="FC27" s="25"/>
      <c r="FD27" s="25"/>
      <c r="FE27" s="25"/>
      <c r="FG27" s="23"/>
      <c r="FI27" s="25"/>
      <c r="FJ27" s="25"/>
      <c r="FK27" s="25"/>
      <c r="FL27" s="25"/>
      <c r="FM27" s="25"/>
      <c r="FN27" s="25"/>
      <c r="FO27" s="25"/>
      <c r="FP27" s="25"/>
      <c r="FQ27" s="25"/>
      <c r="FR27" s="25"/>
      <c r="FS27" s="25"/>
      <c r="FT27" s="25"/>
      <c r="FU27" s="25"/>
      <c r="FV27" s="25"/>
      <c r="FW27" s="25"/>
      <c r="FX27" s="25"/>
      <c r="FY27" s="25"/>
      <c r="FZ27" s="25"/>
      <c r="GA27" s="25"/>
      <c r="GB27" s="25"/>
      <c r="GC27" s="25"/>
      <c r="GD27" s="25"/>
      <c r="GE27" s="25"/>
      <c r="GF27" s="25"/>
      <c r="GG27" s="25"/>
      <c r="GH27" s="25"/>
      <c r="GI27" s="25"/>
      <c r="GJ27" s="25"/>
      <c r="GK27" s="25"/>
      <c r="GL27" s="25"/>
      <c r="GM27" s="25"/>
      <c r="GO27" s="25"/>
      <c r="GP27" s="25"/>
      <c r="GQ27" s="25"/>
      <c r="GR27" s="25"/>
      <c r="GS27" s="25"/>
      <c r="GT27" s="25"/>
      <c r="GU27" s="25"/>
      <c r="GV27" s="25"/>
      <c r="GW27" s="25"/>
      <c r="GX27" s="25"/>
      <c r="GY27" s="25"/>
      <c r="GZ27" s="25"/>
      <c r="HA27" s="25"/>
      <c r="HB27" s="25"/>
      <c r="HC27" s="25"/>
      <c r="HD27" s="25"/>
      <c r="HE27" s="25"/>
      <c r="HF27" s="25"/>
      <c r="HG27" s="25"/>
      <c r="HH27" s="25"/>
      <c r="HI27" s="25"/>
      <c r="HJ27" s="25"/>
      <c r="HK27" s="25"/>
      <c r="HL27" s="25"/>
      <c r="HM27" s="25"/>
      <c r="HN27" s="25"/>
      <c r="HO27" s="25"/>
      <c r="HP27" s="25"/>
      <c r="HQ27" s="25"/>
      <c r="HR27" s="25"/>
      <c r="HS27" s="25"/>
      <c r="HU27" s="25"/>
      <c r="HV27" s="25"/>
      <c r="HW27" s="25"/>
      <c r="HX27" s="25"/>
      <c r="HY27" s="25"/>
      <c r="HZ27" s="25"/>
      <c r="IA27" s="25"/>
      <c r="IB27" s="25"/>
      <c r="IC27" s="25"/>
      <c r="ID27" s="25"/>
      <c r="IE27" s="25"/>
      <c r="IF27" s="25"/>
      <c r="IG27" s="25"/>
      <c r="IH27" s="25"/>
      <c r="II27" s="25"/>
      <c r="IJ27" s="25"/>
      <c r="IK27" s="25"/>
      <c r="IL27" s="25"/>
      <c r="IM27" s="25"/>
      <c r="IN27" s="25"/>
      <c r="IO27" s="25"/>
      <c r="IP27" s="25"/>
      <c r="IQ27" s="25"/>
      <c r="IR27" s="25"/>
      <c r="IS27" s="25"/>
      <c r="IT27" s="25"/>
      <c r="IU27" s="25"/>
      <c r="IV27" s="25"/>
      <c r="IW27" s="25"/>
      <c r="IX27" s="25"/>
      <c r="IY27" s="25"/>
      <c r="JA27" s="19"/>
      <c r="JB27" s="25"/>
      <c r="JC27" s="29"/>
      <c r="JD27" s="23"/>
      <c r="JE27" s="23"/>
      <c r="JF27" s="23"/>
      <c r="JG27" s="23"/>
      <c r="JH27" s="23"/>
      <c r="JI27" s="23"/>
      <c r="JJ27" s="23"/>
      <c r="JL27" s="29"/>
      <c r="JM27" s="29"/>
      <c r="JN27" s="29"/>
      <c r="JO27" s="29"/>
      <c r="JQ27" s="29"/>
      <c r="JR27" s="3"/>
      <c r="JS27" s="29"/>
      <c r="JT27" s="3"/>
      <c r="JW27" s="35"/>
      <c r="JX27" s="81"/>
      <c r="JY27" s="81"/>
    </row>
    <row r="28" spans="2:285">
      <c r="B28" s="3"/>
      <c r="D28" s="39" t="str">
        <f t="shared" si="7"/>
        <v>-/-</v>
      </c>
      <c r="F28" s="3"/>
      <c r="H28" s="120"/>
      <c r="J28" s="120"/>
      <c r="L28" s="118"/>
      <c r="N28" s="120"/>
      <c r="P28" s="120"/>
      <c r="Q28" s="120"/>
      <c r="R28" s="120"/>
      <c r="S28" s="120"/>
      <c r="T28" s="120"/>
      <c r="U28" s="120"/>
      <c r="W28" s="120"/>
      <c r="X28" s="120"/>
      <c r="Y28" s="120"/>
      <c r="Z28" s="120"/>
      <c r="AA28" s="120"/>
      <c r="AB28" s="120"/>
      <c r="AC28" s="120"/>
      <c r="AD28" s="120"/>
      <c r="AF28" s="19"/>
      <c r="AG28" s="19"/>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D28" s="25"/>
      <c r="FE28" s="25"/>
      <c r="FG28" s="23"/>
      <c r="FI28" s="25"/>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H28" s="25"/>
      <c r="GI28" s="25"/>
      <c r="GJ28" s="25"/>
      <c r="GK28" s="25"/>
      <c r="GL28" s="25"/>
      <c r="GM28" s="25"/>
      <c r="GO28" s="25"/>
      <c r="GP28" s="25"/>
      <c r="GQ28" s="25"/>
      <c r="GR28" s="25"/>
      <c r="GS28" s="25"/>
      <c r="GT28" s="25"/>
      <c r="GU28" s="25"/>
      <c r="GV28" s="25"/>
      <c r="GW28" s="25"/>
      <c r="GX28" s="25"/>
      <c r="GY28" s="25"/>
      <c r="GZ28" s="25"/>
      <c r="HA28" s="25"/>
      <c r="HB28" s="25"/>
      <c r="HC28" s="25"/>
      <c r="HD28" s="25"/>
      <c r="HE28" s="25"/>
      <c r="HF28" s="25"/>
      <c r="HG28" s="25"/>
      <c r="HH28" s="25"/>
      <c r="HI28" s="25"/>
      <c r="HJ28" s="25"/>
      <c r="HK28" s="25"/>
      <c r="HL28" s="25"/>
      <c r="HM28" s="25"/>
      <c r="HN28" s="25"/>
      <c r="HO28" s="25"/>
      <c r="HP28" s="25"/>
      <c r="HQ28" s="25"/>
      <c r="HR28" s="25"/>
      <c r="HS28" s="25"/>
      <c r="HU28" s="25"/>
      <c r="HV28" s="25"/>
      <c r="HW28" s="25"/>
      <c r="HX28" s="25"/>
      <c r="HY28" s="25"/>
      <c r="HZ28" s="25"/>
      <c r="IA28" s="25"/>
      <c r="IB28" s="25"/>
      <c r="IC28" s="25"/>
      <c r="ID28" s="25"/>
      <c r="IE28" s="25"/>
      <c r="IF28" s="25"/>
      <c r="IG28" s="25"/>
      <c r="IH28" s="25"/>
      <c r="II28" s="25"/>
      <c r="IJ28" s="25"/>
      <c r="IK28" s="25"/>
      <c r="IL28" s="25"/>
      <c r="IM28" s="25"/>
      <c r="IN28" s="25"/>
      <c r="IO28" s="25"/>
      <c r="IP28" s="25"/>
      <c r="IQ28" s="25"/>
      <c r="IR28" s="25"/>
      <c r="IS28" s="25"/>
      <c r="IT28" s="25"/>
      <c r="IU28" s="25"/>
      <c r="IV28" s="25"/>
      <c r="IW28" s="25"/>
      <c r="IX28" s="25"/>
      <c r="IY28" s="25"/>
      <c r="JA28" s="19"/>
      <c r="JB28" s="25"/>
      <c r="JC28" s="29"/>
      <c r="JD28" s="23"/>
      <c r="JE28" s="23"/>
      <c r="JF28" s="23"/>
      <c r="JG28" s="23"/>
      <c r="JH28" s="23"/>
      <c r="JI28" s="23"/>
      <c r="JJ28" s="23"/>
      <c r="JL28" s="29"/>
      <c r="JM28" s="29"/>
      <c r="JN28" s="29"/>
      <c r="JO28" s="29"/>
      <c r="JQ28" s="29"/>
      <c r="JR28" s="3"/>
      <c r="JS28" s="29"/>
      <c r="JT28" s="3"/>
      <c r="JW28" s="35"/>
      <c r="JX28" s="81"/>
      <c r="JY28" s="81"/>
    </row>
    <row r="29" spans="2:285">
      <c r="B29" s="3"/>
      <c r="D29" s="39" t="str">
        <f t="shared" si="7"/>
        <v>-/-</v>
      </c>
      <c r="F29" s="3"/>
      <c r="H29" s="120"/>
      <c r="J29" s="120"/>
      <c r="L29" s="118"/>
      <c r="N29" s="120"/>
      <c r="P29" s="120"/>
      <c r="Q29" s="120"/>
      <c r="R29" s="120"/>
      <c r="S29" s="120"/>
      <c r="T29" s="120"/>
      <c r="U29" s="120"/>
      <c r="W29" s="120"/>
      <c r="X29" s="120"/>
      <c r="Y29" s="120"/>
      <c r="Z29" s="120"/>
      <c r="AA29" s="120"/>
      <c r="AB29" s="120"/>
      <c r="AC29" s="120"/>
      <c r="AD29" s="120"/>
      <c r="AF29" s="19"/>
      <c r="AG29" s="19"/>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c r="BK29" s="25"/>
      <c r="BL29" s="25"/>
      <c r="BM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R29" s="25"/>
      <c r="CS29" s="25"/>
      <c r="CU29" s="25"/>
      <c r="CV29" s="25"/>
      <c r="CW29" s="25"/>
      <c r="CX29" s="25"/>
      <c r="CY29" s="25"/>
      <c r="CZ29" s="25"/>
      <c r="DA29" s="25"/>
      <c r="DB29" s="25"/>
      <c r="DC29" s="25"/>
      <c r="DD29" s="25"/>
      <c r="DE29" s="25"/>
      <c r="DF29" s="25"/>
      <c r="DG29" s="25"/>
      <c r="DH29" s="25"/>
      <c r="DI29" s="25"/>
      <c r="DJ29" s="25"/>
      <c r="DK29" s="25"/>
      <c r="DL29" s="25"/>
      <c r="DM29" s="25"/>
      <c r="DN29" s="25"/>
      <c r="DO29" s="25"/>
      <c r="DP29" s="25"/>
      <c r="DQ29" s="25"/>
      <c r="DR29" s="25"/>
      <c r="DS29" s="25"/>
      <c r="DT29" s="25"/>
      <c r="DU29" s="25"/>
      <c r="DV29" s="25"/>
      <c r="DW29" s="25"/>
      <c r="DX29" s="25"/>
      <c r="DY29" s="2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B29" s="25"/>
      <c r="FC29" s="25"/>
      <c r="FD29" s="25"/>
      <c r="FE29" s="25"/>
      <c r="FG29" s="23"/>
      <c r="FI29" s="25"/>
      <c r="FJ29" s="25"/>
      <c r="FK29" s="25"/>
      <c r="FL29" s="25"/>
      <c r="FM29" s="25"/>
      <c r="FN29" s="25"/>
      <c r="FO29" s="25"/>
      <c r="FP29" s="25"/>
      <c r="FQ29" s="25"/>
      <c r="FR29" s="25"/>
      <c r="FS29" s="25"/>
      <c r="FT29" s="25"/>
      <c r="FU29" s="25"/>
      <c r="FV29" s="25"/>
      <c r="FW29" s="25"/>
      <c r="FX29" s="25"/>
      <c r="FY29" s="25"/>
      <c r="FZ29" s="25"/>
      <c r="GA29" s="25"/>
      <c r="GB29" s="25"/>
      <c r="GC29" s="25"/>
      <c r="GD29" s="25"/>
      <c r="GE29" s="25"/>
      <c r="GF29" s="25"/>
      <c r="GG29" s="25"/>
      <c r="GH29" s="25"/>
      <c r="GI29" s="25"/>
      <c r="GJ29" s="25"/>
      <c r="GK29" s="25"/>
      <c r="GL29" s="25"/>
      <c r="GM29" s="25"/>
      <c r="GO29" s="25"/>
      <c r="GP29" s="25"/>
      <c r="GQ29" s="25"/>
      <c r="GR29" s="25"/>
      <c r="GS29" s="25"/>
      <c r="GT29" s="25"/>
      <c r="GU29" s="25"/>
      <c r="GV29" s="25"/>
      <c r="GW29" s="25"/>
      <c r="GX29" s="25"/>
      <c r="GY29" s="25"/>
      <c r="GZ29" s="25"/>
      <c r="HA29" s="25"/>
      <c r="HB29" s="25"/>
      <c r="HC29" s="25"/>
      <c r="HD29" s="25"/>
      <c r="HE29" s="25"/>
      <c r="HF29" s="25"/>
      <c r="HG29" s="25"/>
      <c r="HH29" s="25"/>
      <c r="HI29" s="25"/>
      <c r="HJ29" s="25"/>
      <c r="HK29" s="25"/>
      <c r="HL29" s="25"/>
      <c r="HM29" s="25"/>
      <c r="HN29" s="25"/>
      <c r="HO29" s="25"/>
      <c r="HP29" s="25"/>
      <c r="HQ29" s="25"/>
      <c r="HR29" s="25"/>
      <c r="HS29" s="25"/>
      <c r="HU29" s="25"/>
      <c r="HV29" s="25"/>
      <c r="HW29" s="25"/>
      <c r="HX29" s="25"/>
      <c r="HY29" s="25"/>
      <c r="HZ29" s="25"/>
      <c r="IA29" s="25"/>
      <c r="IB29" s="25"/>
      <c r="IC29" s="25"/>
      <c r="ID29" s="25"/>
      <c r="IE29" s="25"/>
      <c r="IF29" s="25"/>
      <c r="IG29" s="25"/>
      <c r="IH29" s="25"/>
      <c r="II29" s="25"/>
      <c r="IJ29" s="25"/>
      <c r="IK29" s="25"/>
      <c r="IL29" s="25"/>
      <c r="IM29" s="25"/>
      <c r="IN29" s="25"/>
      <c r="IO29" s="25"/>
      <c r="IP29" s="25"/>
      <c r="IQ29" s="25"/>
      <c r="IR29" s="25"/>
      <c r="IS29" s="25"/>
      <c r="IT29" s="25"/>
      <c r="IU29" s="25"/>
      <c r="IV29" s="25"/>
      <c r="IW29" s="25"/>
      <c r="IX29" s="25"/>
      <c r="IY29" s="25"/>
      <c r="JA29" s="19"/>
      <c r="JB29" s="25"/>
      <c r="JC29" s="29"/>
      <c r="JD29" s="23"/>
      <c r="JE29" s="23"/>
      <c r="JF29" s="23"/>
      <c r="JG29" s="23"/>
      <c r="JH29" s="23"/>
      <c r="JI29" s="23"/>
      <c r="JJ29" s="23"/>
      <c r="JL29" s="29"/>
      <c r="JM29" s="29"/>
      <c r="JN29" s="29"/>
      <c r="JO29" s="29"/>
      <c r="JQ29" s="29"/>
      <c r="JR29" s="3"/>
      <c r="JS29" s="29"/>
      <c r="JT29" s="3"/>
      <c r="JW29" s="35"/>
      <c r="JX29" s="81"/>
      <c r="JY29" s="81"/>
    </row>
    <row r="30" spans="2:285">
      <c r="B30" s="3"/>
      <c r="D30" s="39" t="str">
        <f t="shared" si="7"/>
        <v>-/-</v>
      </c>
      <c r="F30" s="3"/>
      <c r="H30" s="120"/>
      <c r="J30" s="120"/>
      <c r="L30" s="118"/>
      <c r="N30" s="120"/>
      <c r="P30" s="120"/>
      <c r="Q30" s="120"/>
      <c r="R30" s="120"/>
      <c r="S30" s="120"/>
      <c r="T30" s="120"/>
      <c r="U30" s="120"/>
      <c r="W30" s="120"/>
      <c r="X30" s="120"/>
      <c r="Y30" s="120"/>
      <c r="Z30" s="120"/>
      <c r="AA30" s="120"/>
      <c r="AB30" s="120"/>
      <c r="AC30" s="120"/>
      <c r="AD30" s="120"/>
      <c r="AF30" s="19"/>
      <c r="AG30" s="19"/>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c r="DR30" s="25"/>
      <c r="DS30" s="25"/>
      <c r="DT30" s="25"/>
      <c r="DU30" s="25"/>
      <c r="DV30" s="25"/>
      <c r="DW30" s="25"/>
      <c r="DX30" s="25"/>
      <c r="DY30" s="25"/>
      <c r="EA30" s="25"/>
      <c r="EB30" s="25"/>
      <c r="EC30" s="25"/>
      <c r="ED30" s="25"/>
      <c r="EE30" s="25"/>
      <c r="EF30" s="25"/>
      <c r="EG30" s="25"/>
      <c r="EH30" s="25"/>
      <c r="EI30" s="25"/>
      <c r="EJ30" s="25"/>
      <c r="EK30" s="25"/>
      <c r="EL30" s="25"/>
      <c r="EM30" s="25"/>
      <c r="EN30" s="25"/>
      <c r="EO30" s="25"/>
      <c r="EP30" s="25"/>
      <c r="EQ30" s="25"/>
      <c r="ER30" s="25"/>
      <c r="ES30" s="25"/>
      <c r="ET30" s="25"/>
      <c r="EU30" s="25"/>
      <c r="EV30" s="25"/>
      <c r="EW30" s="25"/>
      <c r="EX30" s="25"/>
      <c r="EY30" s="25"/>
      <c r="EZ30" s="25"/>
      <c r="FA30" s="25"/>
      <c r="FB30" s="25"/>
      <c r="FC30" s="25"/>
      <c r="FD30" s="25"/>
      <c r="FE30" s="25"/>
      <c r="FG30" s="23"/>
      <c r="FI30" s="25"/>
      <c r="FJ30" s="25"/>
      <c r="FK30" s="25"/>
      <c r="FL30" s="25"/>
      <c r="FM30" s="25"/>
      <c r="FN30" s="25"/>
      <c r="FO30" s="25"/>
      <c r="FP30" s="25"/>
      <c r="FQ30" s="25"/>
      <c r="FR30" s="25"/>
      <c r="FS30" s="25"/>
      <c r="FT30" s="25"/>
      <c r="FU30" s="25"/>
      <c r="FV30" s="25"/>
      <c r="FW30" s="25"/>
      <c r="FX30" s="25"/>
      <c r="FY30" s="25"/>
      <c r="FZ30" s="25"/>
      <c r="GA30" s="25"/>
      <c r="GB30" s="25"/>
      <c r="GC30" s="25"/>
      <c r="GD30" s="25"/>
      <c r="GE30" s="25"/>
      <c r="GF30" s="25"/>
      <c r="GG30" s="25"/>
      <c r="GH30" s="25"/>
      <c r="GI30" s="25"/>
      <c r="GJ30" s="25"/>
      <c r="GK30" s="25"/>
      <c r="GL30" s="25"/>
      <c r="GM30" s="25"/>
      <c r="GO30" s="25"/>
      <c r="GP30" s="25"/>
      <c r="GQ30" s="25"/>
      <c r="GR30" s="25"/>
      <c r="GS30" s="25"/>
      <c r="GT30" s="25"/>
      <c r="GU30" s="25"/>
      <c r="GV30" s="25"/>
      <c r="GW30" s="25"/>
      <c r="GX30" s="25"/>
      <c r="GY30" s="25"/>
      <c r="GZ30" s="25"/>
      <c r="HA30" s="25"/>
      <c r="HB30" s="25"/>
      <c r="HC30" s="25"/>
      <c r="HD30" s="25"/>
      <c r="HE30" s="25"/>
      <c r="HF30" s="25"/>
      <c r="HG30" s="25"/>
      <c r="HH30" s="25"/>
      <c r="HI30" s="25"/>
      <c r="HJ30" s="25"/>
      <c r="HK30" s="25"/>
      <c r="HL30" s="25"/>
      <c r="HM30" s="25"/>
      <c r="HN30" s="25"/>
      <c r="HO30" s="25"/>
      <c r="HP30" s="25"/>
      <c r="HQ30" s="25"/>
      <c r="HR30" s="25"/>
      <c r="HS30" s="25"/>
      <c r="HU30" s="25"/>
      <c r="HV30" s="25"/>
      <c r="HW30" s="25"/>
      <c r="HX30" s="25"/>
      <c r="HY30" s="25"/>
      <c r="HZ30" s="25"/>
      <c r="IA30" s="25"/>
      <c r="IB30" s="25"/>
      <c r="IC30" s="25"/>
      <c r="ID30" s="25"/>
      <c r="IE30" s="25"/>
      <c r="IF30" s="25"/>
      <c r="IG30" s="25"/>
      <c r="IH30" s="25"/>
      <c r="II30" s="25"/>
      <c r="IJ30" s="25"/>
      <c r="IK30" s="25"/>
      <c r="IL30" s="25"/>
      <c r="IM30" s="25"/>
      <c r="IN30" s="25"/>
      <c r="IO30" s="25"/>
      <c r="IP30" s="25"/>
      <c r="IQ30" s="25"/>
      <c r="IR30" s="25"/>
      <c r="IS30" s="25"/>
      <c r="IT30" s="25"/>
      <c r="IU30" s="25"/>
      <c r="IV30" s="25"/>
      <c r="IW30" s="25"/>
      <c r="IX30" s="25"/>
      <c r="IY30" s="25"/>
      <c r="JA30" s="19"/>
      <c r="JB30" s="25"/>
      <c r="JC30" s="29"/>
      <c r="JD30" s="23"/>
      <c r="JE30" s="23"/>
      <c r="JF30" s="23"/>
      <c r="JG30" s="23"/>
      <c r="JH30" s="23"/>
      <c r="JI30" s="23"/>
      <c r="JJ30" s="23"/>
      <c r="JL30" s="29"/>
      <c r="JM30" s="29"/>
      <c r="JN30" s="29"/>
      <c r="JO30" s="29"/>
      <c r="JQ30" s="29"/>
      <c r="JR30" s="3"/>
      <c r="JS30" s="29"/>
      <c r="JT30" s="3"/>
      <c r="JW30" s="35"/>
      <c r="JX30" s="81"/>
      <c r="JY30" s="81"/>
    </row>
    <row r="31" spans="2:285">
      <c r="B31" s="3"/>
      <c r="D31" s="39" t="str">
        <f t="shared" si="7"/>
        <v>-/-</v>
      </c>
      <c r="F31" s="3"/>
      <c r="H31" s="120"/>
      <c r="J31" s="120"/>
      <c r="L31" s="118"/>
      <c r="N31" s="120"/>
      <c r="P31" s="120"/>
      <c r="Q31" s="120"/>
      <c r="R31" s="120"/>
      <c r="S31" s="120"/>
      <c r="T31" s="120"/>
      <c r="U31" s="120"/>
      <c r="W31" s="120"/>
      <c r="X31" s="120"/>
      <c r="Y31" s="120"/>
      <c r="Z31" s="120"/>
      <c r="AA31" s="120"/>
      <c r="AB31" s="120"/>
      <c r="AC31" s="120"/>
      <c r="AD31" s="120"/>
      <c r="AF31" s="19"/>
      <c r="AG31" s="19"/>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c r="BK31" s="25"/>
      <c r="BL31" s="25"/>
      <c r="BM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c r="DR31" s="25"/>
      <c r="DS31" s="25"/>
      <c r="DT31" s="25"/>
      <c r="DU31" s="25"/>
      <c r="DV31" s="25"/>
      <c r="DW31" s="25"/>
      <c r="DX31" s="25"/>
      <c r="DY31" s="2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B31" s="25"/>
      <c r="FC31" s="25"/>
      <c r="FD31" s="25"/>
      <c r="FE31" s="25"/>
      <c r="FG31" s="23"/>
      <c r="FI31" s="25"/>
      <c r="FJ31" s="25"/>
      <c r="FK31" s="25"/>
      <c r="FL31" s="25"/>
      <c r="FM31" s="25"/>
      <c r="FN31" s="25"/>
      <c r="FO31" s="25"/>
      <c r="FP31" s="25"/>
      <c r="FQ31" s="25"/>
      <c r="FR31" s="25"/>
      <c r="FS31" s="25"/>
      <c r="FT31" s="25"/>
      <c r="FU31" s="25"/>
      <c r="FV31" s="25"/>
      <c r="FW31" s="25"/>
      <c r="FX31" s="25"/>
      <c r="FY31" s="25"/>
      <c r="FZ31" s="25"/>
      <c r="GA31" s="25"/>
      <c r="GB31" s="25"/>
      <c r="GC31" s="25"/>
      <c r="GD31" s="25"/>
      <c r="GE31" s="25"/>
      <c r="GF31" s="25"/>
      <c r="GG31" s="25"/>
      <c r="GH31" s="25"/>
      <c r="GI31" s="25"/>
      <c r="GJ31" s="25"/>
      <c r="GK31" s="25"/>
      <c r="GL31" s="25"/>
      <c r="GM31" s="25"/>
      <c r="GO31" s="25"/>
      <c r="GP31" s="25"/>
      <c r="GQ31" s="25"/>
      <c r="GR31" s="25"/>
      <c r="GS31" s="25"/>
      <c r="GT31" s="25"/>
      <c r="GU31" s="25"/>
      <c r="GV31" s="25"/>
      <c r="GW31" s="25"/>
      <c r="GX31" s="25"/>
      <c r="GY31" s="25"/>
      <c r="GZ31" s="25"/>
      <c r="HA31" s="25"/>
      <c r="HB31" s="25"/>
      <c r="HC31" s="25"/>
      <c r="HD31" s="25"/>
      <c r="HE31" s="25"/>
      <c r="HF31" s="25"/>
      <c r="HG31" s="25"/>
      <c r="HH31" s="25"/>
      <c r="HI31" s="25"/>
      <c r="HJ31" s="25"/>
      <c r="HK31" s="25"/>
      <c r="HL31" s="25"/>
      <c r="HM31" s="25"/>
      <c r="HN31" s="25"/>
      <c r="HO31" s="25"/>
      <c r="HP31" s="25"/>
      <c r="HQ31" s="25"/>
      <c r="HR31" s="25"/>
      <c r="HS31" s="25"/>
      <c r="HU31" s="25"/>
      <c r="HV31" s="25"/>
      <c r="HW31" s="25"/>
      <c r="HX31" s="25"/>
      <c r="HY31" s="25"/>
      <c r="HZ31" s="25"/>
      <c r="IA31" s="25"/>
      <c r="IB31" s="25"/>
      <c r="IC31" s="25"/>
      <c r="ID31" s="25"/>
      <c r="IE31" s="25"/>
      <c r="IF31" s="25"/>
      <c r="IG31" s="25"/>
      <c r="IH31" s="25"/>
      <c r="II31" s="25"/>
      <c r="IJ31" s="25"/>
      <c r="IK31" s="25"/>
      <c r="IL31" s="25"/>
      <c r="IM31" s="25"/>
      <c r="IN31" s="25"/>
      <c r="IO31" s="25"/>
      <c r="IP31" s="25"/>
      <c r="IQ31" s="25"/>
      <c r="IR31" s="25"/>
      <c r="IS31" s="25"/>
      <c r="IT31" s="25"/>
      <c r="IU31" s="25"/>
      <c r="IV31" s="25"/>
      <c r="IW31" s="25"/>
      <c r="IX31" s="25"/>
      <c r="IY31" s="25"/>
      <c r="JA31" s="19"/>
      <c r="JB31" s="25"/>
      <c r="JC31" s="29"/>
      <c r="JD31" s="23"/>
      <c r="JE31" s="23"/>
      <c r="JF31" s="23"/>
      <c r="JG31" s="23"/>
      <c r="JH31" s="23"/>
      <c r="JI31" s="23"/>
      <c r="JJ31" s="23"/>
      <c r="JL31" s="29"/>
      <c r="JM31" s="29"/>
      <c r="JN31" s="29"/>
      <c r="JO31" s="29"/>
      <c r="JQ31" s="29"/>
      <c r="JR31" s="3"/>
      <c r="JS31" s="29"/>
      <c r="JT31" s="3"/>
      <c r="JW31" s="35"/>
      <c r="JX31" s="81"/>
      <c r="JY31" s="81"/>
    </row>
    <row r="32" spans="2:285">
      <c r="B32" s="3"/>
      <c r="D32" s="39" t="str">
        <f t="shared" si="7"/>
        <v>-/-</v>
      </c>
      <c r="F32" s="3"/>
      <c r="H32" s="120"/>
      <c r="J32" s="120"/>
      <c r="L32" s="118"/>
      <c r="N32" s="120"/>
      <c r="P32" s="120"/>
      <c r="Q32" s="120"/>
      <c r="R32" s="120"/>
      <c r="S32" s="120"/>
      <c r="T32" s="120"/>
      <c r="U32" s="120"/>
      <c r="W32" s="120"/>
      <c r="X32" s="120"/>
      <c r="Y32" s="120"/>
      <c r="Z32" s="120"/>
      <c r="AA32" s="120"/>
      <c r="AB32" s="120"/>
      <c r="AC32" s="120"/>
      <c r="AD32" s="120"/>
      <c r="AF32" s="19"/>
      <c r="AG32" s="19"/>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V32" s="25"/>
      <c r="DW32" s="25"/>
      <c r="DX32" s="25"/>
      <c r="DY32" s="2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B32" s="25"/>
      <c r="FC32" s="25"/>
      <c r="FD32" s="25"/>
      <c r="FE32" s="25"/>
      <c r="FG32" s="23"/>
      <c r="FI32" s="25"/>
      <c r="FJ32" s="25"/>
      <c r="FK32" s="25"/>
      <c r="FL32" s="25"/>
      <c r="FM32" s="25"/>
      <c r="FN32" s="25"/>
      <c r="FO32" s="25"/>
      <c r="FP32" s="25"/>
      <c r="FQ32" s="25"/>
      <c r="FR32" s="25"/>
      <c r="FS32" s="25"/>
      <c r="FT32" s="25"/>
      <c r="FU32" s="25"/>
      <c r="FV32" s="25"/>
      <c r="FW32" s="25"/>
      <c r="FX32" s="25"/>
      <c r="FY32" s="25"/>
      <c r="FZ32" s="25"/>
      <c r="GA32" s="25"/>
      <c r="GB32" s="25"/>
      <c r="GC32" s="25"/>
      <c r="GD32" s="25"/>
      <c r="GE32" s="25"/>
      <c r="GF32" s="25"/>
      <c r="GG32" s="25"/>
      <c r="GH32" s="25"/>
      <c r="GI32" s="25"/>
      <c r="GJ32" s="25"/>
      <c r="GK32" s="25"/>
      <c r="GL32" s="25"/>
      <c r="GM32" s="25"/>
      <c r="GO32" s="25"/>
      <c r="GP32" s="25"/>
      <c r="GQ32" s="25"/>
      <c r="GR32" s="25"/>
      <c r="GS32" s="25"/>
      <c r="GT32" s="25"/>
      <c r="GU32" s="25"/>
      <c r="GV32" s="25"/>
      <c r="GW32" s="25"/>
      <c r="GX32" s="25"/>
      <c r="GY32" s="25"/>
      <c r="GZ32" s="25"/>
      <c r="HA32" s="25"/>
      <c r="HB32" s="25"/>
      <c r="HC32" s="25"/>
      <c r="HD32" s="25"/>
      <c r="HE32" s="25"/>
      <c r="HF32" s="25"/>
      <c r="HG32" s="25"/>
      <c r="HH32" s="25"/>
      <c r="HI32" s="25"/>
      <c r="HJ32" s="25"/>
      <c r="HK32" s="25"/>
      <c r="HL32" s="25"/>
      <c r="HM32" s="25"/>
      <c r="HN32" s="25"/>
      <c r="HO32" s="25"/>
      <c r="HP32" s="25"/>
      <c r="HQ32" s="25"/>
      <c r="HR32" s="25"/>
      <c r="HS32" s="25"/>
      <c r="HU32" s="25"/>
      <c r="HV32" s="25"/>
      <c r="HW32" s="25"/>
      <c r="HX32" s="25"/>
      <c r="HY32" s="25"/>
      <c r="HZ32" s="25"/>
      <c r="IA32" s="25"/>
      <c r="IB32" s="25"/>
      <c r="IC32" s="25"/>
      <c r="ID32" s="25"/>
      <c r="IE32" s="25"/>
      <c r="IF32" s="25"/>
      <c r="IG32" s="25"/>
      <c r="IH32" s="25"/>
      <c r="II32" s="25"/>
      <c r="IJ32" s="25"/>
      <c r="IK32" s="25"/>
      <c r="IL32" s="25"/>
      <c r="IM32" s="25"/>
      <c r="IN32" s="25"/>
      <c r="IO32" s="25"/>
      <c r="IP32" s="25"/>
      <c r="IQ32" s="25"/>
      <c r="IR32" s="25"/>
      <c r="IS32" s="25"/>
      <c r="IT32" s="25"/>
      <c r="IU32" s="25"/>
      <c r="IV32" s="25"/>
      <c r="IW32" s="25"/>
      <c r="IX32" s="25"/>
      <c r="IY32" s="25"/>
      <c r="JA32" s="19"/>
      <c r="JB32" s="25"/>
      <c r="JC32" s="29"/>
      <c r="JD32" s="23"/>
      <c r="JE32" s="23"/>
      <c r="JF32" s="23"/>
      <c r="JG32" s="23"/>
      <c r="JH32" s="23"/>
      <c r="JI32" s="23"/>
      <c r="JJ32" s="23"/>
      <c r="JL32" s="29"/>
      <c r="JM32" s="29"/>
      <c r="JN32" s="29"/>
      <c r="JO32" s="29"/>
      <c r="JQ32" s="29"/>
      <c r="JR32" s="3"/>
      <c r="JS32" s="29"/>
      <c r="JT32" s="3"/>
      <c r="JW32" s="35"/>
      <c r="JX32" s="81"/>
      <c r="JY32" s="81"/>
    </row>
    <row r="33" spans="2:285">
      <c r="B33" s="3"/>
      <c r="D33" s="39" t="str">
        <f t="shared" si="7"/>
        <v>-/-</v>
      </c>
      <c r="F33" s="3"/>
      <c r="H33" s="120"/>
      <c r="J33" s="120"/>
      <c r="L33" s="118"/>
      <c r="N33" s="120"/>
      <c r="P33" s="120"/>
      <c r="Q33" s="120"/>
      <c r="R33" s="120"/>
      <c r="S33" s="120"/>
      <c r="T33" s="120"/>
      <c r="U33" s="120"/>
      <c r="W33" s="120"/>
      <c r="X33" s="120"/>
      <c r="Y33" s="120"/>
      <c r="Z33" s="120"/>
      <c r="AA33" s="120"/>
      <c r="AB33" s="120"/>
      <c r="AC33" s="120"/>
      <c r="AD33" s="120"/>
      <c r="AF33" s="19"/>
      <c r="AG33" s="19"/>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V33" s="25"/>
      <c r="DW33" s="25"/>
      <c r="DX33" s="25"/>
      <c r="DY33" s="2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B33" s="25"/>
      <c r="FC33" s="25"/>
      <c r="FD33" s="25"/>
      <c r="FE33" s="25"/>
      <c r="FG33" s="23"/>
      <c r="FI33" s="25"/>
      <c r="FJ33" s="25"/>
      <c r="FK33" s="25"/>
      <c r="FL33" s="25"/>
      <c r="FM33" s="25"/>
      <c r="FN33" s="25"/>
      <c r="FO33" s="25"/>
      <c r="FP33" s="25"/>
      <c r="FQ33" s="25"/>
      <c r="FR33" s="25"/>
      <c r="FS33" s="25"/>
      <c r="FT33" s="25"/>
      <c r="FU33" s="25"/>
      <c r="FV33" s="25"/>
      <c r="FW33" s="25"/>
      <c r="FX33" s="25"/>
      <c r="FY33" s="25"/>
      <c r="FZ33" s="25"/>
      <c r="GA33" s="25"/>
      <c r="GB33" s="25"/>
      <c r="GC33" s="25"/>
      <c r="GD33" s="25"/>
      <c r="GE33" s="25"/>
      <c r="GF33" s="25"/>
      <c r="GG33" s="25"/>
      <c r="GH33" s="25"/>
      <c r="GI33" s="25"/>
      <c r="GJ33" s="25"/>
      <c r="GK33" s="25"/>
      <c r="GL33" s="25"/>
      <c r="GM33" s="25"/>
      <c r="GO33" s="25"/>
      <c r="GP33" s="25"/>
      <c r="GQ33" s="25"/>
      <c r="GR33" s="25"/>
      <c r="GS33" s="25"/>
      <c r="GT33" s="25"/>
      <c r="GU33" s="25"/>
      <c r="GV33" s="25"/>
      <c r="GW33" s="25"/>
      <c r="GX33" s="25"/>
      <c r="GY33" s="25"/>
      <c r="GZ33" s="25"/>
      <c r="HA33" s="25"/>
      <c r="HB33" s="25"/>
      <c r="HC33" s="25"/>
      <c r="HD33" s="25"/>
      <c r="HE33" s="25"/>
      <c r="HF33" s="25"/>
      <c r="HG33" s="25"/>
      <c r="HH33" s="25"/>
      <c r="HI33" s="25"/>
      <c r="HJ33" s="25"/>
      <c r="HK33" s="25"/>
      <c r="HL33" s="25"/>
      <c r="HM33" s="25"/>
      <c r="HN33" s="25"/>
      <c r="HO33" s="25"/>
      <c r="HP33" s="25"/>
      <c r="HQ33" s="25"/>
      <c r="HR33" s="25"/>
      <c r="HS33" s="25"/>
      <c r="HU33" s="25"/>
      <c r="HV33" s="25"/>
      <c r="HW33" s="25"/>
      <c r="HX33" s="25"/>
      <c r="HY33" s="25"/>
      <c r="HZ33" s="25"/>
      <c r="IA33" s="25"/>
      <c r="IB33" s="25"/>
      <c r="IC33" s="25"/>
      <c r="ID33" s="25"/>
      <c r="IE33" s="25"/>
      <c r="IF33" s="25"/>
      <c r="IG33" s="25"/>
      <c r="IH33" s="25"/>
      <c r="II33" s="25"/>
      <c r="IJ33" s="25"/>
      <c r="IK33" s="25"/>
      <c r="IL33" s="25"/>
      <c r="IM33" s="25"/>
      <c r="IN33" s="25"/>
      <c r="IO33" s="25"/>
      <c r="IP33" s="25"/>
      <c r="IQ33" s="25"/>
      <c r="IR33" s="25"/>
      <c r="IS33" s="25"/>
      <c r="IT33" s="25"/>
      <c r="IU33" s="25"/>
      <c r="IV33" s="25"/>
      <c r="IW33" s="25"/>
      <c r="IX33" s="25"/>
      <c r="IY33" s="25"/>
      <c r="JA33" s="19"/>
      <c r="JB33" s="25"/>
      <c r="JC33" s="29"/>
      <c r="JD33" s="23"/>
      <c r="JE33" s="23"/>
      <c r="JF33" s="23"/>
      <c r="JG33" s="23"/>
      <c r="JH33" s="23"/>
      <c r="JI33" s="23"/>
      <c r="JJ33" s="23"/>
      <c r="JL33" s="29"/>
      <c r="JM33" s="29"/>
      <c r="JN33" s="29"/>
      <c r="JO33" s="29"/>
      <c r="JQ33" s="29"/>
      <c r="JR33" s="3"/>
      <c r="JS33" s="29"/>
      <c r="JT33" s="3"/>
      <c r="JW33" s="35"/>
      <c r="JX33" s="81"/>
      <c r="JY33" s="81"/>
    </row>
    <row r="34" spans="2:285">
      <c r="B34" s="3"/>
      <c r="D34" s="39" t="str">
        <f t="shared" si="7"/>
        <v>-/-</v>
      </c>
      <c r="F34" s="3"/>
      <c r="H34" s="120"/>
      <c r="J34" s="120"/>
      <c r="L34" s="118"/>
      <c r="N34" s="120"/>
      <c r="P34" s="120"/>
      <c r="Q34" s="120"/>
      <c r="R34" s="120"/>
      <c r="S34" s="120"/>
      <c r="T34" s="120"/>
      <c r="U34" s="120"/>
      <c r="W34" s="120"/>
      <c r="X34" s="120"/>
      <c r="Y34" s="120"/>
      <c r="Z34" s="120"/>
      <c r="AA34" s="120"/>
      <c r="AB34" s="120"/>
      <c r="AC34" s="120"/>
      <c r="AD34" s="120"/>
      <c r="AF34" s="19"/>
      <c r="AG34" s="19"/>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G34" s="23"/>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J34" s="25"/>
      <c r="GK34" s="25"/>
      <c r="GL34" s="25"/>
      <c r="GM34" s="25"/>
      <c r="GO34" s="25"/>
      <c r="GP34" s="25"/>
      <c r="GQ34" s="25"/>
      <c r="GR34" s="25"/>
      <c r="GS34" s="25"/>
      <c r="GT34" s="25"/>
      <c r="GU34" s="25"/>
      <c r="GV34" s="25"/>
      <c r="GW34" s="25"/>
      <c r="GX34" s="25"/>
      <c r="GY34" s="25"/>
      <c r="GZ34" s="25"/>
      <c r="HA34" s="25"/>
      <c r="HB34" s="25"/>
      <c r="HC34" s="25"/>
      <c r="HD34" s="25"/>
      <c r="HE34" s="25"/>
      <c r="HF34" s="25"/>
      <c r="HG34" s="25"/>
      <c r="HH34" s="25"/>
      <c r="HI34" s="25"/>
      <c r="HJ34" s="25"/>
      <c r="HK34" s="25"/>
      <c r="HL34" s="25"/>
      <c r="HM34" s="25"/>
      <c r="HN34" s="25"/>
      <c r="HO34" s="25"/>
      <c r="HP34" s="25"/>
      <c r="HQ34" s="25"/>
      <c r="HR34" s="25"/>
      <c r="HS34" s="25"/>
      <c r="HU34" s="25"/>
      <c r="HV34" s="25"/>
      <c r="HW34" s="25"/>
      <c r="HX34" s="25"/>
      <c r="HY34" s="25"/>
      <c r="HZ34" s="25"/>
      <c r="IA34" s="25"/>
      <c r="IB34" s="25"/>
      <c r="IC34" s="25"/>
      <c r="ID34" s="25"/>
      <c r="IE34" s="25"/>
      <c r="IF34" s="25"/>
      <c r="IG34" s="25"/>
      <c r="IH34" s="25"/>
      <c r="II34" s="25"/>
      <c r="IJ34" s="25"/>
      <c r="IK34" s="25"/>
      <c r="IL34" s="25"/>
      <c r="IM34" s="25"/>
      <c r="IN34" s="25"/>
      <c r="IO34" s="25"/>
      <c r="IP34" s="25"/>
      <c r="IQ34" s="25"/>
      <c r="IR34" s="25"/>
      <c r="IS34" s="25"/>
      <c r="IT34" s="25"/>
      <c r="IU34" s="25"/>
      <c r="IV34" s="25"/>
      <c r="IW34" s="25"/>
      <c r="IX34" s="25"/>
      <c r="IY34" s="25"/>
      <c r="JA34" s="19"/>
      <c r="JB34" s="25"/>
      <c r="JC34" s="29"/>
      <c r="JD34" s="23"/>
      <c r="JE34" s="23"/>
      <c r="JF34" s="23"/>
      <c r="JG34" s="23"/>
      <c r="JH34" s="23"/>
      <c r="JI34" s="23"/>
      <c r="JJ34" s="23"/>
      <c r="JL34" s="29"/>
      <c r="JM34" s="29"/>
      <c r="JN34" s="29"/>
      <c r="JO34" s="29"/>
      <c r="JQ34" s="29"/>
      <c r="JR34" s="3"/>
      <c r="JS34" s="29"/>
      <c r="JT34" s="3"/>
      <c r="JW34" s="35"/>
      <c r="JX34" s="81"/>
      <c r="JY34" s="81"/>
    </row>
    <row r="35" spans="2:285">
      <c r="B35" s="3"/>
      <c r="D35" s="39" t="str">
        <f t="shared" si="7"/>
        <v>-/-</v>
      </c>
      <c r="F35" s="3"/>
      <c r="H35" s="120"/>
      <c r="J35" s="120"/>
      <c r="L35" s="118"/>
      <c r="N35" s="120"/>
      <c r="P35" s="120"/>
      <c r="Q35" s="120"/>
      <c r="R35" s="120"/>
      <c r="S35" s="120"/>
      <c r="T35" s="120"/>
      <c r="U35" s="120"/>
      <c r="W35" s="120"/>
      <c r="X35" s="120"/>
      <c r="Y35" s="120"/>
      <c r="Z35" s="120"/>
      <c r="AA35" s="120"/>
      <c r="AB35" s="120"/>
      <c r="AC35" s="120"/>
      <c r="AD35" s="120"/>
      <c r="AF35" s="19"/>
      <c r="AG35" s="19"/>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U35" s="25"/>
      <c r="CV35" s="25"/>
      <c r="CW35" s="25"/>
      <c r="CX35" s="25"/>
      <c r="CY35" s="25"/>
      <c r="CZ35" s="25"/>
      <c r="DA35" s="25"/>
      <c r="DB35" s="25"/>
      <c r="DC35" s="25"/>
      <c r="DD35" s="25"/>
      <c r="DE35" s="25"/>
      <c r="DF35" s="25"/>
      <c r="DG35" s="25"/>
      <c r="DH35" s="25"/>
      <c r="DI35" s="25"/>
      <c r="DJ35" s="25"/>
      <c r="DK35" s="25"/>
      <c r="DL35" s="25"/>
      <c r="DM35" s="25"/>
      <c r="DN35" s="25"/>
      <c r="DO35" s="25"/>
      <c r="DP35" s="25"/>
      <c r="DQ35" s="25"/>
      <c r="DR35" s="25"/>
      <c r="DS35" s="25"/>
      <c r="DT35" s="25"/>
      <c r="DU35" s="25"/>
      <c r="DV35" s="25"/>
      <c r="DW35" s="25"/>
      <c r="DX35" s="25"/>
      <c r="DY35" s="2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B35" s="25"/>
      <c r="FC35" s="25"/>
      <c r="FD35" s="25"/>
      <c r="FE35" s="25"/>
      <c r="FG35" s="23"/>
      <c r="FI35" s="25"/>
      <c r="FJ35" s="25"/>
      <c r="FK35" s="25"/>
      <c r="FL35" s="25"/>
      <c r="FM35" s="25"/>
      <c r="FN35" s="25"/>
      <c r="FO35" s="25"/>
      <c r="FP35" s="25"/>
      <c r="FQ35" s="25"/>
      <c r="FR35" s="25"/>
      <c r="FS35" s="25"/>
      <c r="FT35" s="25"/>
      <c r="FU35" s="25"/>
      <c r="FV35" s="25"/>
      <c r="FW35" s="25"/>
      <c r="FX35" s="25"/>
      <c r="FY35" s="25"/>
      <c r="FZ35" s="25"/>
      <c r="GA35" s="25"/>
      <c r="GB35" s="25"/>
      <c r="GC35" s="25"/>
      <c r="GD35" s="25"/>
      <c r="GE35" s="25"/>
      <c r="GF35" s="25"/>
      <c r="GG35" s="25"/>
      <c r="GH35" s="25"/>
      <c r="GI35" s="25"/>
      <c r="GJ35" s="25"/>
      <c r="GK35" s="25"/>
      <c r="GL35" s="25"/>
      <c r="GM35" s="25"/>
      <c r="GO35" s="25"/>
      <c r="GP35" s="25"/>
      <c r="GQ35" s="25"/>
      <c r="GR35" s="25"/>
      <c r="GS35" s="25"/>
      <c r="GT35" s="25"/>
      <c r="GU35" s="25"/>
      <c r="GV35" s="25"/>
      <c r="GW35" s="25"/>
      <c r="GX35" s="25"/>
      <c r="GY35" s="25"/>
      <c r="GZ35" s="25"/>
      <c r="HA35" s="25"/>
      <c r="HB35" s="25"/>
      <c r="HC35" s="25"/>
      <c r="HD35" s="25"/>
      <c r="HE35" s="25"/>
      <c r="HF35" s="25"/>
      <c r="HG35" s="25"/>
      <c r="HH35" s="25"/>
      <c r="HI35" s="25"/>
      <c r="HJ35" s="25"/>
      <c r="HK35" s="25"/>
      <c r="HL35" s="25"/>
      <c r="HM35" s="25"/>
      <c r="HN35" s="25"/>
      <c r="HO35" s="25"/>
      <c r="HP35" s="25"/>
      <c r="HQ35" s="25"/>
      <c r="HR35" s="25"/>
      <c r="HS35" s="25"/>
      <c r="HU35" s="25"/>
      <c r="HV35" s="25"/>
      <c r="HW35" s="25"/>
      <c r="HX35" s="25"/>
      <c r="HY35" s="25"/>
      <c r="HZ35" s="25"/>
      <c r="IA35" s="25"/>
      <c r="IB35" s="25"/>
      <c r="IC35" s="25"/>
      <c r="ID35" s="25"/>
      <c r="IE35" s="25"/>
      <c r="IF35" s="25"/>
      <c r="IG35" s="25"/>
      <c r="IH35" s="25"/>
      <c r="II35" s="25"/>
      <c r="IJ35" s="25"/>
      <c r="IK35" s="25"/>
      <c r="IL35" s="25"/>
      <c r="IM35" s="25"/>
      <c r="IN35" s="25"/>
      <c r="IO35" s="25"/>
      <c r="IP35" s="25"/>
      <c r="IQ35" s="25"/>
      <c r="IR35" s="25"/>
      <c r="IS35" s="25"/>
      <c r="IT35" s="25"/>
      <c r="IU35" s="25"/>
      <c r="IV35" s="25"/>
      <c r="IW35" s="25"/>
      <c r="IX35" s="25"/>
      <c r="IY35" s="25"/>
      <c r="JA35" s="19"/>
      <c r="JB35" s="25"/>
      <c r="JC35" s="29"/>
      <c r="JD35" s="23"/>
      <c r="JE35" s="23"/>
      <c r="JF35" s="23"/>
      <c r="JG35" s="23"/>
      <c r="JH35" s="23"/>
      <c r="JI35" s="23"/>
      <c r="JJ35" s="23"/>
      <c r="JL35" s="29"/>
      <c r="JM35" s="29"/>
      <c r="JN35" s="29"/>
      <c r="JO35" s="29"/>
      <c r="JQ35" s="29"/>
      <c r="JR35" s="3"/>
      <c r="JS35" s="29"/>
      <c r="JT35" s="3"/>
      <c r="JW35" s="35"/>
      <c r="JX35" s="81"/>
      <c r="JY35" s="81"/>
    </row>
  </sheetData>
  <dataConsolidate/>
  <conditionalFormatting sqref="JT11:JT35 JR11:JR35">
    <cfRule type="expression" dxfId="44" priority="3">
      <formula>NOT(ISBLANK(JQ11))</formula>
    </cfRule>
  </conditionalFormatting>
  <conditionalFormatting sqref="JS11:JS35 JQ11:JQ35">
    <cfRule type="expression" dxfId="43" priority="4">
      <formula>NOT(ISBLANK(JR11))</formula>
    </cfRule>
  </conditionalFormatting>
  <conditionalFormatting sqref="D11:D35">
    <cfRule type="cellIs" dxfId="42" priority="2" operator="equal">
      <formula>FALSE</formula>
    </cfRule>
  </conditionalFormatting>
  <conditionalFormatting sqref="A11:A35">
    <cfRule type="duplicateValues" dxfId="41" priority="1727"/>
  </conditionalFormatting>
  <dataValidations count="5">
    <dataValidation type="list" allowBlank="1" showInputMessage="1" showErrorMessage="1" sqref="N11:N35" xr:uid="{37DB420B-D988-774E-93A7-0CBF84E8F360}">
      <formula1>OFFSET(lists_candidate_fuels,,,COUNTA(lists_candidate_fuels))</formula1>
    </dataValidation>
    <dataValidation type="list" allowBlank="1" showInputMessage="1" showErrorMessage="1" sqref="H11:H35" xr:uid="{28DC5CE2-55ED-EB40-9536-FE8DB88CE016}">
      <formula1>OFFSET(lists_zones,,,COUNTA(lists_zones))</formula1>
    </dataValidation>
    <dataValidation type="list" allowBlank="1" showInputMessage="1" showErrorMessage="1" sqref="JA11:JA35 P11:U35 W11:AD35 AF11:AG35" xr:uid="{A0BE6079-6918-2645-880F-FF409C444FEF}">
      <formula1>"TRUE,FALSE"</formula1>
    </dataValidation>
    <dataValidation type="list" allowBlank="1" showInputMessage="1" showErrorMessage="1" sqref="L11:L35" xr:uid="{39DC9B2E-DB08-A347-B9F9-3555994B84A3}">
      <formula1>OFFSET(lists_outage_distributions,,,COUNTA(lists_outage_distributions))</formula1>
    </dataValidation>
    <dataValidation type="list" allowBlank="1" showInputMessage="1" showErrorMessage="1" sqref="J11:L35" xr:uid="{F60130B1-F5ED-4083-8B11-A7FE9F76E3A0}">
      <formula1>ResourceGroup</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10" id="{E577D37C-58F0-AA40-9D8E-81846E20337E}">
            <xm:f>ISNUMBER(MATCH(F11,'RESOLVE Case Settings'!$C$19:$C$42,0))</xm:f>
            <x14:dxf>
              <font>
                <color rgb="FF006100"/>
              </font>
              <fill>
                <patternFill>
                  <bgColor rgb="FFC6EFCE"/>
                </patternFill>
              </fill>
            </x14:dxf>
          </x14:cfRule>
          <xm:sqref>F11:F35</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5302F-8B43-BB49-8D8A-F1517858874D}">
  <sheetPr codeName="Sheet21">
    <tabColor theme="7" tint="0.79998168889431442"/>
  </sheetPr>
  <dimension ref="A1:JN35"/>
  <sheetViews>
    <sheetView showGridLines="0" zoomScale="55" zoomScaleNormal="55" workbookViewId="0">
      <pane xSplit="7" ySplit="10" topLeftCell="DO11" activePane="bottomRight" state="frozen"/>
      <selection pane="topRight" activeCell="N35" sqref="N35"/>
      <selection pane="bottomLeft" activeCell="N35" sqref="N35"/>
      <selection pane="bottomRight" activeCell="AD30" sqref="AD30"/>
    </sheetView>
  </sheetViews>
  <sheetFormatPr baseColWidth="10" defaultColWidth="11" defaultRowHeight="12" outlineLevelRow="1" outlineLevelCol="2"/>
  <cols>
    <col min="2" max="2" width="43.59765625" customWidth="1"/>
    <col min="3" max="3" width="3" hidden="1" customWidth="1" outlineLevel="1"/>
    <col min="4" max="4" width="25" hidden="1" customWidth="1" outlineLevel="1"/>
    <col min="5" max="5" width="3" hidden="1" customWidth="1" outlineLevel="1"/>
    <col min="6" max="6" width="30.3984375" hidden="1" customWidth="1" outlineLevel="1"/>
    <col min="7" max="7" width="3" customWidth="1" collapsed="1"/>
    <col min="8" max="8" width="18.3984375" customWidth="1" outlineLevel="1"/>
    <col min="9" max="9" width="3" customWidth="1" outlineLevel="1"/>
    <col min="10" max="10" width="17" customWidth="1" outlineLevel="1"/>
    <col min="11" max="11" width="4.59765625" customWidth="1" outlineLevel="1"/>
    <col min="12" max="12" width="18.3984375" customWidth="1" outlineLevel="1"/>
    <col min="13" max="14" width="3" customWidth="1" outlineLevel="1"/>
    <col min="15" max="19" width="16" customWidth="1" outlineLevel="1"/>
    <col min="20" max="20" width="3" customWidth="1" outlineLevel="1"/>
    <col min="21" max="26" width="16" hidden="1" customWidth="1" outlineLevel="2"/>
    <col min="27" max="27" width="3" hidden="1" customWidth="1" outlineLevel="2"/>
    <col min="28" max="28" width="20" hidden="1" customWidth="1" outlineLevel="2"/>
    <col min="29" max="29" width="3" customWidth="1" outlineLevel="1" collapsed="1"/>
    <col min="30" max="30" width="16" customWidth="1"/>
    <col min="31" max="31" width="3" customWidth="1"/>
    <col min="32" max="33" width="16" customWidth="1" outlineLevel="1"/>
    <col min="34" max="34" width="3" customWidth="1" outlineLevel="1"/>
    <col min="35" max="35" width="16" customWidth="1"/>
    <col min="36" max="36" width="16" hidden="1" customWidth="1" outlineLevel="1"/>
    <col min="37" max="37" width="24.59765625" hidden="1" customWidth="1" outlineLevel="1"/>
    <col min="38" max="39" width="16" hidden="1" customWidth="1" outlineLevel="1"/>
    <col min="40" max="40" width="16" customWidth="1" collapsed="1"/>
    <col min="41" max="42" width="24.59765625" hidden="1" customWidth="1" outlineLevel="1"/>
    <col min="43" max="43" width="24.59765625" hidden="1" customWidth="1" outlineLevel="1" collapsed="1"/>
    <col min="44" max="44" width="24.59765625" hidden="1" customWidth="1" outlineLevel="1"/>
    <col min="45" max="45" width="16" customWidth="1" collapsed="1"/>
    <col min="46" max="46" width="16" hidden="1" customWidth="1" outlineLevel="1"/>
    <col min="47" max="47" width="16" hidden="1" customWidth="1" outlineLevel="1" collapsed="1"/>
    <col min="48" max="49" width="16" hidden="1" customWidth="1" outlineLevel="1"/>
    <col min="50" max="50" width="16" customWidth="1" collapsed="1"/>
    <col min="51" max="53" width="16" hidden="1" customWidth="1" outlineLevel="1"/>
    <col min="54" max="54" width="16" hidden="1" customWidth="1" outlineLevel="1" collapsed="1"/>
    <col min="55" max="55" width="16" customWidth="1" collapsed="1"/>
    <col min="56" max="59" width="16" hidden="1" customWidth="1" outlineLevel="1"/>
    <col min="60" max="60" width="16" customWidth="1" collapsed="1"/>
    <col min="61" max="64" width="16" hidden="1" customWidth="1" outlineLevel="1"/>
    <col min="65" max="65" width="16" customWidth="1" collapsed="1"/>
    <col min="66" max="66" width="3" customWidth="1"/>
    <col min="67" max="67" width="16" customWidth="1" outlineLevel="1"/>
    <col min="68" max="69" width="16" hidden="1" customWidth="1" outlineLevel="2"/>
    <col min="70" max="70" width="16" hidden="1" customWidth="1" outlineLevel="2" collapsed="1"/>
    <col min="71" max="71" width="16" hidden="1" customWidth="1" outlineLevel="2"/>
    <col min="72" max="72" width="16" customWidth="1" outlineLevel="1" collapsed="1"/>
    <col min="73" max="74" width="16" hidden="1" customWidth="1" outlineLevel="2"/>
    <col min="75" max="75" width="16" hidden="1" customWidth="1" outlineLevel="2" collapsed="1"/>
    <col min="76" max="76" width="16" hidden="1" customWidth="1" outlineLevel="2"/>
    <col min="77" max="77" width="16" customWidth="1" outlineLevel="1" collapsed="1"/>
    <col min="78" max="78" width="16" hidden="1" customWidth="1" outlineLevel="2"/>
    <col min="79" max="79" width="16" hidden="1" customWidth="1" outlineLevel="2" collapsed="1"/>
    <col min="80" max="81" width="16" hidden="1" customWidth="1" outlineLevel="2"/>
    <col min="82" max="82" width="16" customWidth="1" outlineLevel="1" collapsed="1"/>
    <col min="83" max="85" width="16" hidden="1" customWidth="1" outlineLevel="2"/>
    <col min="86" max="86" width="16" hidden="1" customWidth="1" outlineLevel="2" collapsed="1"/>
    <col min="87" max="87" width="16" customWidth="1" outlineLevel="1" collapsed="1"/>
    <col min="88" max="91" width="16" hidden="1" customWidth="1" outlineLevel="2"/>
    <col min="92" max="92" width="16" customWidth="1" outlineLevel="1" collapsed="1"/>
    <col min="93" max="96" width="16" hidden="1" customWidth="1" outlineLevel="2"/>
    <col min="97" max="97" width="16" customWidth="1" outlineLevel="1" collapsed="1"/>
    <col min="98" max="98" width="3" customWidth="1" outlineLevel="1"/>
    <col min="99" max="99" width="16" customWidth="1" outlineLevel="1"/>
    <col min="100" max="101" width="16" hidden="1" customWidth="1" outlineLevel="2"/>
    <col min="102" max="102" width="16" hidden="1" customWidth="1" outlineLevel="2" collapsed="1"/>
    <col min="103" max="103" width="16" hidden="1" customWidth="1" outlineLevel="2"/>
    <col min="104" max="104" width="16" customWidth="1" outlineLevel="1" collapsed="1"/>
    <col min="105" max="106" width="16" hidden="1" customWidth="1" outlineLevel="2"/>
    <col min="107" max="107" width="16" hidden="1" customWidth="1" outlineLevel="2" collapsed="1"/>
    <col min="108" max="108" width="16" hidden="1" customWidth="1" outlineLevel="2"/>
    <col min="109" max="109" width="16" customWidth="1" outlineLevel="1" collapsed="1"/>
    <col min="110" max="110" width="16" hidden="1" customWidth="1" outlineLevel="2"/>
    <col min="111" max="111" width="16" hidden="1" customWidth="1" outlineLevel="2" collapsed="1"/>
    <col min="112" max="113" width="16" hidden="1" customWidth="1" outlineLevel="2"/>
    <col min="114" max="114" width="16" customWidth="1" outlineLevel="1" collapsed="1"/>
    <col min="115" max="117" width="16" hidden="1" customWidth="1" outlineLevel="2"/>
    <col min="118" max="118" width="16" hidden="1" customWidth="1" outlineLevel="2" collapsed="1"/>
    <col min="119" max="119" width="16" customWidth="1" outlineLevel="1" collapsed="1"/>
    <col min="120" max="123" width="16" hidden="1" customWidth="1" outlineLevel="2"/>
    <col min="124" max="124" width="16" customWidth="1" outlineLevel="1" collapsed="1"/>
    <col min="125" max="128" width="16" hidden="1" customWidth="1" outlineLevel="2"/>
    <col min="129" max="129" width="16" customWidth="1" outlineLevel="1" collapsed="1"/>
    <col min="130" max="130" width="3" customWidth="1" outlineLevel="1"/>
    <col min="131" max="131" width="16" customWidth="1" outlineLevel="1"/>
    <col min="132" max="133" width="16" hidden="1" customWidth="1" outlineLevel="2"/>
    <col min="134" max="134" width="16" hidden="1" customWidth="1" outlineLevel="2" collapsed="1"/>
    <col min="135" max="135" width="16" hidden="1" customWidth="1" outlineLevel="2"/>
    <col min="136" max="136" width="16" customWidth="1" outlineLevel="1" collapsed="1"/>
    <col min="137" max="138" width="16" hidden="1" customWidth="1" outlineLevel="2"/>
    <col min="139" max="139" width="16" hidden="1" customWidth="1" outlineLevel="2" collapsed="1"/>
    <col min="140" max="140" width="16.59765625" hidden="1" customWidth="1" outlineLevel="2"/>
    <col min="141" max="141" width="16" customWidth="1" outlineLevel="1" collapsed="1"/>
    <col min="142" max="142" width="16" hidden="1" customWidth="1" outlineLevel="2"/>
    <col min="143" max="143" width="16" hidden="1" customWidth="1" outlineLevel="2" collapsed="1"/>
    <col min="144" max="145" width="16" hidden="1" customWidth="1" outlineLevel="2"/>
    <col min="146" max="146" width="16" customWidth="1" outlineLevel="1" collapsed="1"/>
    <col min="147" max="149" width="16" hidden="1" customWidth="1" outlineLevel="2"/>
    <col min="150" max="150" width="16" hidden="1" customWidth="1" outlineLevel="2" collapsed="1"/>
    <col min="151" max="151" width="16" customWidth="1" outlineLevel="1" collapsed="1"/>
    <col min="152" max="155" width="16" hidden="1" customWidth="1" outlineLevel="2"/>
    <col min="156" max="156" width="16" customWidth="1" outlineLevel="1" collapsed="1"/>
    <col min="157" max="160" width="16" hidden="1" customWidth="1" outlineLevel="2"/>
    <col min="161" max="161" width="16" customWidth="1" outlineLevel="1" collapsed="1"/>
    <col min="162" max="162" width="3" customWidth="1"/>
    <col min="163" max="164" width="16" hidden="1" customWidth="1" outlineLevel="1"/>
    <col min="165" max="165" width="3" hidden="1" customWidth="1" outlineLevel="1"/>
    <col min="166" max="166" width="16" hidden="1" customWidth="1" outlineLevel="1"/>
    <col min="167" max="168" width="16" hidden="1" customWidth="1" outlineLevel="2"/>
    <col min="169" max="169" width="16" hidden="1" customWidth="1" outlineLevel="2" collapsed="1"/>
    <col min="170" max="170" width="16" hidden="1" customWidth="1" outlineLevel="2"/>
    <col min="171" max="171" width="16" hidden="1" customWidth="1" outlineLevel="1" collapsed="1"/>
    <col min="172" max="173" width="16" hidden="1" customWidth="1" outlineLevel="2"/>
    <col min="174" max="174" width="16" hidden="1" customWidth="1" outlineLevel="2" collapsed="1"/>
    <col min="175" max="175" width="16" hidden="1" customWidth="1" outlineLevel="2"/>
    <col min="176" max="176" width="16" hidden="1" customWidth="1" outlineLevel="1" collapsed="1"/>
    <col min="177" max="177" width="16" hidden="1" customWidth="1" outlineLevel="2"/>
    <col min="178" max="178" width="16" hidden="1" customWidth="1" outlineLevel="2" collapsed="1"/>
    <col min="179" max="180" width="16" hidden="1" customWidth="1" outlineLevel="2"/>
    <col min="181" max="181" width="16" hidden="1" customWidth="1" outlineLevel="1" collapsed="1"/>
    <col min="182" max="184" width="16" hidden="1" customWidth="1" outlineLevel="2"/>
    <col min="185" max="185" width="16" hidden="1" customWidth="1" outlineLevel="2" collapsed="1"/>
    <col min="186" max="186" width="16" hidden="1" customWidth="1" outlineLevel="1" collapsed="1"/>
    <col min="187" max="190" width="16" hidden="1" customWidth="1" outlineLevel="2"/>
    <col min="191" max="191" width="16" hidden="1" customWidth="1" outlineLevel="1" collapsed="1"/>
    <col min="192" max="195" width="16" hidden="1" customWidth="1" outlineLevel="2"/>
    <col min="196" max="196" width="16" hidden="1" customWidth="1" outlineLevel="1" collapsed="1"/>
    <col min="197" max="197" width="3" hidden="1" customWidth="1" outlineLevel="1"/>
    <col min="198" max="198" width="16" hidden="1" customWidth="1" outlineLevel="1"/>
    <col min="199" max="200" width="16" hidden="1" customWidth="1" outlineLevel="2"/>
    <col min="201" max="201" width="16" hidden="1" customWidth="1" outlineLevel="2" collapsed="1"/>
    <col min="202" max="202" width="16" hidden="1" customWidth="1" outlineLevel="2"/>
    <col min="203" max="203" width="16" hidden="1" customWidth="1" outlineLevel="1" collapsed="1"/>
    <col min="204" max="205" width="16" hidden="1" customWidth="1" outlineLevel="2"/>
    <col min="206" max="206" width="16" hidden="1" customWidth="1" outlineLevel="2" collapsed="1"/>
    <col min="207" max="207" width="16" hidden="1" customWidth="1" outlineLevel="2"/>
    <col min="208" max="208" width="16" hidden="1" customWidth="1" outlineLevel="1" collapsed="1"/>
    <col min="209" max="209" width="16" hidden="1" customWidth="1" outlineLevel="2"/>
    <col min="210" max="210" width="16" hidden="1" customWidth="1" outlineLevel="2" collapsed="1"/>
    <col min="211" max="212" width="16" hidden="1" customWidth="1" outlineLevel="2"/>
    <col min="213" max="213" width="16" hidden="1" customWidth="1" outlineLevel="1" collapsed="1"/>
    <col min="214" max="216" width="16" hidden="1" customWidth="1" outlineLevel="2"/>
    <col min="217" max="217" width="16" hidden="1" customWidth="1" outlineLevel="2" collapsed="1"/>
    <col min="218" max="218" width="16" hidden="1" customWidth="1" outlineLevel="1" collapsed="1"/>
    <col min="219" max="222" width="16" hidden="1" customWidth="1" outlineLevel="2"/>
    <col min="223" max="223" width="16" hidden="1" customWidth="1" outlineLevel="1" collapsed="1"/>
    <col min="224" max="227" width="16" hidden="1" customWidth="1" outlineLevel="2"/>
    <col min="228" max="228" width="16" hidden="1" customWidth="1" outlineLevel="1" collapsed="1"/>
    <col min="229" max="229" width="3" hidden="1" customWidth="1" outlineLevel="1"/>
    <col min="230" max="230" width="16" hidden="1" customWidth="1" outlineLevel="1"/>
    <col min="231" max="232" width="16" hidden="1" customWidth="1" outlineLevel="2"/>
    <col min="233" max="233" width="16" hidden="1" customWidth="1" outlineLevel="2" collapsed="1"/>
    <col min="234" max="234" width="16" hidden="1" customWidth="1" outlineLevel="2"/>
    <col min="235" max="235" width="16" hidden="1" customWidth="1" outlineLevel="1" collapsed="1"/>
    <col min="236" max="237" width="16" hidden="1" customWidth="1" outlineLevel="2"/>
    <col min="238" max="238" width="16" hidden="1" customWidth="1" outlineLevel="2" collapsed="1"/>
    <col min="239" max="239" width="16" hidden="1" customWidth="1" outlineLevel="2"/>
    <col min="240" max="240" width="16" hidden="1" customWidth="1" outlineLevel="1" collapsed="1"/>
    <col min="241" max="241" width="16" hidden="1" customWidth="1" outlineLevel="2"/>
    <col min="242" max="242" width="16" hidden="1" customWidth="1" outlineLevel="2" collapsed="1"/>
    <col min="243" max="244" width="16" hidden="1" customWidth="1" outlineLevel="2"/>
    <col min="245" max="245" width="16" hidden="1" customWidth="1" outlineLevel="1" collapsed="1"/>
    <col min="246" max="248" width="16" hidden="1" customWidth="1" outlineLevel="2"/>
    <col min="249" max="249" width="16" hidden="1" customWidth="1" outlineLevel="2" collapsed="1"/>
    <col min="250" max="250" width="16" hidden="1" customWidth="1" outlineLevel="1" collapsed="1"/>
    <col min="251" max="254" width="16" hidden="1" customWidth="1" outlineLevel="2"/>
    <col min="255" max="255" width="16" hidden="1" customWidth="1" outlineLevel="1" collapsed="1"/>
    <col min="256" max="259" width="16" hidden="1" customWidth="1" outlineLevel="2"/>
    <col min="260" max="260" width="16" hidden="1" customWidth="1" outlineLevel="1" collapsed="1"/>
    <col min="261" max="261" width="3" customWidth="1" collapsed="1"/>
    <col min="262" max="262" width="16" hidden="1" customWidth="1" outlineLevel="1"/>
    <col min="263" max="263" width="3" customWidth="1" collapsed="1"/>
    <col min="264" max="264" width="54" bestFit="1" customWidth="1"/>
    <col min="265" max="265" width="3" customWidth="1"/>
    <col min="266" max="267" width="14.796875" hidden="1" customWidth="1" outlineLevel="1"/>
    <col min="268" max="269" width="16.59765625" hidden="1" customWidth="1" outlineLevel="1"/>
    <col min="270" max="270" width="7.59765625" customWidth="1" collapsed="1"/>
    <col min="271" max="273" width="11" outlineLevel="1"/>
  </cols>
  <sheetData>
    <row r="1" spans="1:274" s="5" customFormat="1" ht="29" thickBot="1">
      <c r="A1" s="5" t="s">
        <v>473</v>
      </c>
      <c r="N1" s="133"/>
      <c r="JN1" s="133"/>
    </row>
    <row r="4" spans="1:274" ht="19" thickBot="1">
      <c r="H4" s="9" t="s">
        <v>474</v>
      </c>
      <c r="I4" s="9"/>
      <c r="J4" s="9"/>
      <c r="K4" s="9"/>
      <c r="L4" s="9"/>
      <c r="M4" s="9"/>
      <c r="N4" s="134"/>
      <c r="O4" s="9"/>
      <c r="P4" s="9"/>
      <c r="Q4" s="9"/>
      <c r="R4" s="9"/>
      <c r="S4" s="9"/>
      <c r="T4" s="9"/>
      <c r="U4" s="9"/>
      <c r="V4" s="9"/>
      <c r="W4" s="9"/>
      <c r="X4" s="9"/>
      <c r="Y4" s="9"/>
      <c r="Z4" s="9"/>
      <c r="AA4" s="9"/>
      <c r="AB4" s="9"/>
      <c r="AD4" s="9" t="s">
        <v>398</v>
      </c>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G4" s="9" t="s">
        <v>399</v>
      </c>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W4" s="9"/>
      <c r="IX4" s="9"/>
      <c r="IY4" s="9"/>
      <c r="IZ4" s="9"/>
      <c r="JB4" s="9" t="s">
        <v>414</v>
      </c>
      <c r="JC4" s="9"/>
      <c r="JD4" s="9"/>
      <c r="JE4" s="9"/>
      <c r="JF4" s="9"/>
      <c r="JG4" s="9"/>
      <c r="JH4" s="9"/>
      <c r="JI4" s="9"/>
      <c r="JK4" s="9" t="s">
        <v>415</v>
      </c>
      <c r="JL4" s="9"/>
      <c r="JM4" s="9"/>
    </row>
    <row r="6" spans="1:274" ht="15" thickBot="1">
      <c r="N6" s="83"/>
      <c r="O6" s="83"/>
      <c r="P6" s="83"/>
      <c r="Q6" s="83"/>
      <c r="R6" s="83"/>
      <c r="S6" s="83"/>
      <c r="U6" s="83" t="s">
        <v>302</v>
      </c>
      <c r="V6" s="83"/>
      <c r="W6" s="83"/>
      <c r="X6" s="83"/>
      <c r="Y6" s="83"/>
      <c r="Z6" s="83"/>
      <c r="AA6" s="83"/>
      <c r="AB6" s="83"/>
      <c r="JF6" s="131" t="s">
        <v>836</v>
      </c>
      <c r="JG6" s="131" t="s">
        <v>836</v>
      </c>
      <c r="JH6" s="131" t="s">
        <v>836</v>
      </c>
      <c r="JI6" s="131" t="s">
        <v>836</v>
      </c>
    </row>
    <row r="7" spans="1:274">
      <c r="H7" s="26" t="s">
        <v>834</v>
      </c>
      <c r="J7" s="26" t="s">
        <v>834</v>
      </c>
      <c r="L7" s="26" t="s">
        <v>835</v>
      </c>
      <c r="N7" s="26"/>
      <c r="O7" s="26" t="s">
        <v>834</v>
      </c>
      <c r="P7" s="26" t="s">
        <v>834</v>
      </c>
      <c r="Q7" s="26" t="s">
        <v>834</v>
      </c>
      <c r="R7" s="26" t="s">
        <v>834</v>
      </c>
      <c r="S7" s="26" t="s">
        <v>834</v>
      </c>
      <c r="U7" t="s">
        <v>833</v>
      </c>
      <c r="AB7" t="s">
        <v>833</v>
      </c>
      <c r="AD7" s="48" t="s">
        <v>834</v>
      </c>
      <c r="AF7" s="26" t="s">
        <v>833</v>
      </c>
      <c r="AG7" s="26" t="s">
        <v>833</v>
      </c>
      <c r="AI7" s="26" t="s">
        <v>834</v>
      </c>
      <c r="AJ7" s="26" t="s">
        <v>834</v>
      </c>
      <c r="AK7" s="26" t="s">
        <v>834</v>
      </c>
      <c r="AL7" s="26" t="s">
        <v>834</v>
      </c>
      <c r="AM7" s="26" t="s">
        <v>834</v>
      </c>
      <c r="AN7" s="26" t="s">
        <v>834</v>
      </c>
      <c r="AO7" s="26" t="s">
        <v>834</v>
      </c>
      <c r="AP7" s="26" t="s">
        <v>834</v>
      </c>
      <c r="AQ7" s="26" t="s">
        <v>834</v>
      </c>
      <c r="AR7" s="26" t="s">
        <v>834</v>
      </c>
      <c r="AS7" s="26" t="s">
        <v>834</v>
      </c>
      <c r="AT7" s="26" t="s">
        <v>834</v>
      </c>
      <c r="AU7" s="26" t="s">
        <v>834</v>
      </c>
      <c r="AV7" s="26" t="s">
        <v>834</v>
      </c>
      <c r="AW7" s="26" t="s">
        <v>834</v>
      </c>
      <c r="AX7" s="26" t="s">
        <v>834</v>
      </c>
      <c r="AY7" s="26" t="s">
        <v>834</v>
      </c>
      <c r="AZ7" s="26" t="s">
        <v>834</v>
      </c>
      <c r="BA7" s="26" t="s">
        <v>834</v>
      </c>
      <c r="BB7" s="26" t="s">
        <v>834</v>
      </c>
      <c r="BC7" s="26" t="s">
        <v>834</v>
      </c>
      <c r="BD7" s="26" t="s">
        <v>834</v>
      </c>
      <c r="BE7" s="26" t="s">
        <v>834</v>
      </c>
      <c r="BF7" s="26" t="s">
        <v>834</v>
      </c>
      <c r="BG7" s="26" t="s">
        <v>834</v>
      </c>
      <c r="BH7" s="26" t="s">
        <v>834</v>
      </c>
      <c r="BI7" s="26" t="s">
        <v>834</v>
      </c>
      <c r="BJ7" s="26" t="s">
        <v>834</v>
      </c>
      <c r="BK7" s="26" t="s">
        <v>834</v>
      </c>
      <c r="BL7" s="26" t="s">
        <v>834</v>
      </c>
      <c r="BM7" s="26" t="s">
        <v>834</v>
      </c>
      <c r="BO7" s="26" t="s">
        <v>833</v>
      </c>
      <c r="BP7" s="26" t="s">
        <v>833</v>
      </c>
      <c r="BQ7" s="26" t="s">
        <v>833</v>
      </c>
      <c r="BR7" s="26" t="s">
        <v>833</v>
      </c>
      <c r="BS7" s="26" t="s">
        <v>833</v>
      </c>
      <c r="BT7" s="26" t="s">
        <v>833</v>
      </c>
      <c r="BU7" s="26" t="s">
        <v>833</v>
      </c>
      <c r="BV7" s="26" t="s">
        <v>833</v>
      </c>
      <c r="BW7" s="26" t="s">
        <v>833</v>
      </c>
      <c r="BX7" s="26" t="s">
        <v>833</v>
      </c>
      <c r="BY7" s="26" t="s">
        <v>833</v>
      </c>
      <c r="BZ7" s="26" t="s">
        <v>833</v>
      </c>
      <c r="CA7" s="26" t="s">
        <v>833</v>
      </c>
      <c r="CB7" s="26" t="s">
        <v>833</v>
      </c>
      <c r="CC7" s="26" t="s">
        <v>833</v>
      </c>
      <c r="CD7" s="26" t="s">
        <v>833</v>
      </c>
      <c r="CE7" s="26" t="s">
        <v>833</v>
      </c>
      <c r="CF7" s="26" t="s">
        <v>833</v>
      </c>
      <c r="CG7" s="26" t="s">
        <v>833</v>
      </c>
      <c r="CH7" s="26" t="s">
        <v>833</v>
      </c>
      <c r="CI7" s="26" t="s">
        <v>833</v>
      </c>
      <c r="CJ7" s="26" t="s">
        <v>833</v>
      </c>
      <c r="CK7" s="26" t="s">
        <v>833</v>
      </c>
      <c r="CL7" s="26" t="s">
        <v>833</v>
      </c>
      <c r="CM7" s="26" t="s">
        <v>833</v>
      </c>
      <c r="CN7" s="26" t="s">
        <v>833</v>
      </c>
      <c r="CO7" s="26" t="s">
        <v>833</v>
      </c>
      <c r="CP7" s="26" t="s">
        <v>833</v>
      </c>
      <c r="CQ7" s="26" t="s">
        <v>833</v>
      </c>
      <c r="CR7" s="26" t="s">
        <v>833</v>
      </c>
      <c r="CS7" s="26" t="s">
        <v>833</v>
      </c>
      <c r="CU7" s="26" t="s">
        <v>833</v>
      </c>
      <c r="CV7" s="26" t="s">
        <v>833</v>
      </c>
      <c r="CW7" s="26" t="s">
        <v>833</v>
      </c>
      <c r="CX7" s="26" t="s">
        <v>833</v>
      </c>
      <c r="CY7" s="26" t="s">
        <v>833</v>
      </c>
      <c r="CZ7" s="26" t="s">
        <v>833</v>
      </c>
      <c r="DA7" s="26" t="s">
        <v>833</v>
      </c>
      <c r="DB7" s="26" t="s">
        <v>833</v>
      </c>
      <c r="DC7" s="26" t="s">
        <v>833</v>
      </c>
      <c r="DD7" s="26" t="s">
        <v>833</v>
      </c>
      <c r="DE7" s="26" t="s">
        <v>833</v>
      </c>
      <c r="DF7" s="26" t="s">
        <v>833</v>
      </c>
      <c r="DG7" s="26" t="s">
        <v>833</v>
      </c>
      <c r="DH7" s="26" t="s">
        <v>833</v>
      </c>
      <c r="DI7" s="26" t="s">
        <v>833</v>
      </c>
      <c r="DJ7" s="26" t="s">
        <v>833</v>
      </c>
      <c r="DK7" s="26" t="s">
        <v>833</v>
      </c>
      <c r="DL7" s="26" t="s">
        <v>833</v>
      </c>
      <c r="DM7" s="26" t="s">
        <v>833</v>
      </c>
      <c r="DN7" s="26" t="s">
        <v>833</v>
      </c>
      <c r="DO7" s="26" t="s">
        <v>833</v>
      </c>
      <c r="DP7" s="26" t="s">
        <v>833</v>
      </c>
      <c r="DQ7" s="26" t="s">
        <v>833</v>
      </c>
      <c r="DR7" s="26" t="s">
        <v>833</v>
      </c>
      <c r="DS7" s="26" t="s">
        <v>833</v>
      </c>
      <c r="DT7" s="26" t="s">
        <v>833</v>
      </c>
      <c r="DU7" s="26" t="s">
        <v>833</v>
      </c>
      <c r="DV7" s="26" t="s">
        <v>833</v>
      </c>
      <c r="DW7" s="26" t="s">
        <v>833</v>
      </c>
      <c r="DX7" s="26" t="s">
        <v>833</v>
      </c>
      <c r="DY7" s="26" t="s">
        <v>833</v>
      </c>
      <c r="EA7" s="26" t="s">
        <v>833</v>
      </c>
      <c r="EB7" s="26" t="s">
        <v>833</v>
      </c>
      <c r="EC7" s="26" t="s">
        <v>833</v>
      </c>
      <c r="ED7" s="26" t="s">
        <v>833</v>
      </c>
      <c r="EE7" s="26" t="s">
        <v>833</v>
      </c>
      <c r="EF7" s="26" t="s">
        <v>833</v>
      </c>
      <c r="EG7" s="26" t="s">
        <v>833</v>
      </c>
      <c r="EH7" s="26" t="s">
        <v>833</v>
      </c>
      <c r="EI7" s="26" t="s">
        <v>833</v>
      </c>
      <c r="EJ7" s="26" t="s">
        <v>833</v>
      </c>
      <c r="EK7" s="26" t="s">
        <v>833</v>
      </c>
      <c r="EL7" s="26" t="s">
        <v>833</v>
      </c>
      <c r="EM7" s="26" t="s">
        <v>833</v>
      </c>
      <c r="EN7" s="26" t="s">
        <v>833</v>
      </c>
      <c r="EO7" s="26" t="s">
        <v>833</v>
      </c>
      <c r="EP7" s="26" t="s">
        <v>833</v>
      </c>
      <c r="EQ7" s="26" t="s">
        <v>833</v>
      </c>
      <c r="ER7" s="26" t="s">
        <v>833</v>
      </c>
      <c r="ES7" s="26" t="s">
        <v>833</v>
      </c>
      <c r="ET7" s="26" t="s">
        <v>833</v>
      </c>
      <c r="EU7" s="26" t="s">
        <v>833</v>
      </c>
      <c r="EV7" s="26" t="s">
        <v>833</v>
      </c>
      <c r="EW7" s="26" t="s">
        <v>833</v>
      </c>
      <c r="EX7" s="26" t="s">
        <v>833</v>
      </c>
      <c r="EY7" s="26" t="s">
        <v>833</v>
      </c>
      <c r="EZ7" s="26" t="s">
        <v>833</v>
      </c>
      <c r="FA7" s="26" t="s">
        <v>833</v>
      </c>
      <c r="FB7" s="26" t="s">
        <v>833</v>
      </c>
      <c r="FC7" s="26" t="s">
        <v>833</v>
      </c>
      <c r="FD7" s="26" t="s">
        <v>833</v>
      </c>
      <c r="FE7" s="26" t="s">
        <v>833</v>
      </c>
      <c r="FG7" t="s">
        <v>833</v>
      </c>
      <c r="FH7" t="s">
        <v>833</v>
      </c>
      <c r="FJ7" t="s">
        <v>833</v>
      </c>
      <c r="GP7" t="s">
        <v>833</v>
      </c>
      <c r="HV7" t="s">
        <v>833</v>
      </c>
      <c r="JB7" s="26" t="s">
        <v>833</v>
      </c>
      <c r="JD7" s="26" t="s">
        <v>834</v>
      </c>
      <c r="JF7" s="26" t="s">
        <v>833</v>
      </c>
      <c r="JG7" s="26" t="s">
        <v>833</v>
      </c>
      <c r="JH7" s="26" t="s">
        <v>833</v>
      </c>
      <c r="JI7" s="26" t="s">
        <v>833</v>
      </c>
      <c r="JK7" s="26" t="s">
        <v>835</v>
      </c>
      <c r="JL7" s="26" t="s">
        <v>835</v>
      </c>
      <c r="JM7" s="26" t="s">
        <v>835</v>
      </c>
    </row>
    <row r="8" spans="1:274" ht="56">
      <c r="H8" s="11" t="s">
        <v>203</v>
      </c>
      <c r="J8" s="11" t="s">
        <v>392</v>
      </c>
      <c r="L8" s="11" t="s">
        <v>443</v>
      </c>
      <c r="N8" s="11"/>
      <c r="O8" s="11"/>
      <c r="P8" s="11"/>
      <c r="Q8" s="11"/>
      <c r="R8" s="11"/>
      <c r="S8" s="11"/>
      <c r="U8" s="11" t="e" cm="1" vm="1">
        <f t="array" aca="1" ref="U8" ca="1">TRANSPOSE(OFFSET(lists_non_emissions_policies,,,COUNTA(lists_non_emissions_policies)))</f>
        <v>#VALUE!</v>
      </c>
      <c r="V8" s="11"/>
      <c r="W8" s="11"/>
      <c r="X8" s="11"/>
      <c r="Y8" s="11"/>
      <c r="Z8" s="11"/>
      <c r="AB8" s="11" t="s">
        <v>349</v>
      </c>
      <c r="AD8" s="6" t="s">
        <v>386</v>
      </c>
      <c r="AF8" s="6" t="s">
        <v>417</v>
      </c>
      <c r="AG8" s="6" t="s">
        <v>418</v>
      </c>
      <c r="AI8" s="6" t="s">
        <v>400</v>
      </c>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O8" s="6" t="s">
        <v>419</v>
      </c>
      <c r="BP8" s="6"/>
      <c r="BQ8" s="6"/>
      <c r="BR8" s="6"/>
      <c r="BS8" s="6"/>
      <c r="BT8" s="6"/>
      <c r="BU8" s="6"/>
      <c r="BV8" s="6"/>
      <c r="BW8" s="6"/>
      <c r="BX8" s="6"/>
      <c r="BY8" s="6"/>
      <c r="BZ8" s="6"/>
      <c r="CA8" s="6"/>
      <c r="CB8" s="6"/>
      <c r="CC8" s="6"/>
      <c r="CD8" s="6"/>
      <c r="CE8" s="6"/>
      <c r="CF8" s="6"/>
      <c r="CG8" s="6"/>
      <c r="CH8" s="6"/>
      <c r="CI8" s="6"/>
      <c r="CJ8" s="6"/>
      <c r="CK8" s="6"/>
      <c r="CL8" s="6"/>
      <c r="CM8" s="6"/>
      <c r="CN8" s="6"/>
      <c r="CO8" s="6"/>
      <c r="CP8" s="6"/>
      <c r="CQ8" s="6"/>
      <c r="CR8" s="6"/>
      <c r="CS8" s="6"/>
      <c r="CU8" s="6" t="s">
        <v>401</v>
      </c>
      <c r="CV8" s="6"/>
      <c r="CW8" s="6"/>
      <c r="CX8" s="6"/>
      <c r="CY8" s="6"/>
      <c r="CZ8" s="6"/>
      <c r="DA8" s="6"/>
      <c r="DB8" s="6"/>
      <c r="DC8" s="6"/>
      <c r="DD8" s="6"/>
      <c r="DE8" s="6"/>
      <c r="DF8" s="6"/>
      <c r="DG8" s="6"/>
      <c r="DH8" s="6"/>
      <c r="DI8" s="6"/>
      <c r="DJ8" s="6"/>
      <c r="DK8" s="6"/>
      <c r="DL8" s="6"/>
      <c r="DM8" s="6"/>
      <c r="DN8" s="6"/>
      <c r="DO8" s="6"/>
      <c r="DP8" s="6"/>
      <c r="DQ8" s="6"/>
      <c r="DR8" s="6"/>
      <c r="DS8" s="6"/>
      <c r="DT8" s="6"/>
      <c r="DU8" s="6"/>
      <c r="DV8" s="6"/>
      <c r="DW8" s="6"/>
      <c r="DX8" s="6"/>
      <c r="DY8" s="6"/>
      <c r="EA8" s="6" t="s">
        <v>475</v>
      </c>
      <c r="EB8" s="6"/>
      <c r="EC8" s="6"/>
      <c r="ED8" s="6"/>
      <c r="EE8" s="6"/>
      <c r="EF8" s="6"/>
      <c r="EG8" s="6"/>
      <c r="EH8" s="6"/>
      <c r="EI8" s="6"/>
      <c r="EJ8" s="6"/>
      <c r="EK8" s="6"/>
      <c r="EL8" s="6"/>
      <c r="EM8" s="6"/>
      <c r="EN8" s="6"/>
      <c r="EO8" s="6"/>
      <c r="EP8" s="6"/>
      <c r="EQ8" s="6"/>
      <c r="ER8" s="6"/>
      <c r="ES8" s="6"/>
      <c r="ET8" s="6"/>
      <c r="EU8" s="6"/>
      <c r="EV8" s="6"/>
      <c r="EW8" s="6"/>
      <c r="EX8" s="6"/>
      <c r="EY8" s="6"/>
      <c r="EZ8" s="6"/>
      <c r="FA8" s="6"/>
      <c r="FB8" s="6"/>
      <c r="FC8" s="6"/>
      <c r="FD8" s="6"/>
      <c r="FE8" s="6"/>
      <c r="FG8" s="11" t="s">
        <v>420</v>
      </c>
      <c r="FH8" s="11" t="s">
        <v>476</v>
      </c>
      <c r="FJ8" s="6" t="s">
        <v>404</v>
      </c>
      <c r="FK8" s="6"/>
      <c r="FL8" s="6"/>
      <c r="FM8" s="6"/>
      <c r="FN8" s="6"/>
      <c r="FO8" s="6"/>
      <c r="FP8" s="6"/>
      <c r="FQ8" s="6"/>
      <c r="FR8" s="6"/>
      <c r="FS8" s="6"/>
      <c r="FT8" s="6"/>
      <c r="FU8" s="6"/>
      <c r="FV8" s="6"/>
      <c r="FW8" s="6"/>
      <c r="FX8" s="6"/>
      <c r="FY8" s="6"/>
      <c r="FZ8" s="6"/>
      <c r="GA8" s="6"/>
      <c r="GB8" s="6"/>
      <c r="GC8" s="6"/>
      <c r="GD8" s="6"/>
      <c r="GE8" s="6"/>
      <c r="GF8" s="6"/>
      <c r="GG8" s="6"/>
      <c r="GH8" s="6"/>
      <c r="GI8" s="6"/>
      <c r="GJ8" s="6"/>
      <c r="GK8" s="6"/>
      <c r="GL8" s="6"/>
      <c r="GM8" s="6"/>
      <c r="GN8" s="6"/>
      <c r="GP8" s="6" t="s">
        <v>421</v>
      </c>
      <c r="GQ8" s="6"/>
      <c r="GR8" s="6"/>
      <c r="GS8" s="6"/>
      <c r="GT8" s="6"/>
      <c r="GU8" s="6"/>
      <c r="GV8" s="6"/>
      <c r="GW8" s="6"/>
      <c r="GX8" s="6"/>
      <c r="GY8" s="6"/>
      <c r="GZ8" s="6"/>
      <c r="HA8" s="6"/>
      <c r="HB8" s="6"/>
      <c r="HC8" s="6"/>
      <c r="HD8" s="6"/>
      <c r="HE8" s="6"/>
      <c r="HF8" s="6"/>
      <c r="HG8" s="6"/>
      <c r="HH8" s="6"/>
      <c r="HI8" s="6"/>
      <c r="HJ8" s="6"/>
      <c r="HK8" s="6"/>
      <c r="HL8" s="6"/>
      <c r="HM8" s="6"/>
      <c r="HN8" s="6"/>
      <c r="HO8" s="6"/>
      <c r="HP8" s="6"/>
      <c r="HQ8" s="6"/>
      <c r="HR8" s="6"/>
      <c r="HS8" s="6"/>
      <c r="HT8" s="6"/>
      <c r="HV8" s="6" t="s">
        <v>422</v>
      </c>
      <c r="HW8" s="6"/>
      <c r="HX8" s="6"/>
      <c r="HY8" s="6"/>
      <c r="HZ8" s="6"/>
      <c r="IA8" s="6"/>
      <c r="IB8" s="6"/>
      <c r="IC8" s="6"/>
      <c r="ID8" s="6"/>
      <c r="IE8" s="6"/>
      <c r="IF8" s="6"/>
      <c r="IG8" s="6"/>
      <c r="IH8" s="6"/>
      <c r="II8" s="6"/>
      <c r="IJ8" s="6"/>
      <c r="IK8" s="6"/>
      <c r="IL8" s="6"/>
      <c r="IM8" s="6"/>
      <c r="IN8" s="6"/>
      <c r="IO8" s="6"/>
      <c r="IP8" s="6"/>
      <c r="IQ8" s="6"/>
      <c r="IR8" s="6"/>
      <c r="IS8" s="6"/>
      <c r="IT8" s="6"/>
      <c r="IU8" s="6"/>
      <c r="IV8" s="6"/>
      <c r="IW8" s="6"/>
      <c r="IX8" s="6"/>
      <c r="IY8" s="6"/>
      <c r="IZ8" s="6"/>
      <c r="JB8" s="11" t="s">
        <v>477</v>
      </c>
      <c r="JD8" s="11" t="s">
        <v>440</v>
      </c>
      <c r="JF8" s="11" t="s">
        <v>478</v>
      </c>
      <c r="JG8" s="11" t="s">
        <v>479</v>
      </c>
      <c r="JH8" s="11" t="s">
        <v>480</v>
      </c>
      <c r="JI8" s="11" t="s">
        <v>481</v>
      </c>
      <c r="JK8" s="11" t="s">
        <v>441</v>
      </c>
      <c r="JL8" s="11" t="s">
        <v>442</v>
      </c>
      <c r="JM8" s="11" t="s">
        <v>388</v>
      </c>
    </row>
    <row r="9" spans="1:274" s="30" customFormat="1" outlineLevel="1">
      <c r="B9" s="30" t="s">
        <v>221</v>
      </c>
      <c r="F9"/>
      <c r="H9" s="30" t="s">
        <v>444</v>
      </c>
      <c r="J9" s="30" t="s">
        <v>445</v>
      </c>
      <c r="L9" s="30" t="s">
        <v>471</v>
      </c>
      <c r="N9" s="132"/>
      <c r="O9" s="30" t="s">
        <v>447</v>
      </c>
      <c r="P9" s="30" t="s">
        <v>447</v>
      </c>
      <c r="Q9" s="30" t="s">
        <v>447</v>
      </c>
      <c r="R9" s="30" t="s">
        <v>447</v>
      </c>
      <c r="S9" s="30" t="s">
        <v>447</v>
      </c>
      <c r="U9" s="30" t="s">
        <v>406</v>
      </c>
      <c r="V9" s="30" t="s">
        <v>406</v>
      </c>
      <c r="W9" s="30" t="s">
        <v>406</v>
      </c>
      <c r="X9" s="30" t="s">
        <v>406</v>
      </c>
      <c r="Y9" s="30" t="s">
        <v>406</v>
      </c>
      <c r="Z9" s="30" t="s">
        <v>406</v>
      </c>
      <c r="AB9" s="30" t="s">
        <v>407</v>
      </c>
      <c r="AD9" s="30" t="s">
        <v>389</v>
      </c>
      <c r="AE9"/>
      <c r="AF9" s="30" t="s">
        <v>410</v>
      </c>
      <c r="AG9" s="30" t="s">
        <v>448</v>
      </c>
      <c r="AH9"/>
      <c r="AI9" s="30" t="s">
        <v>408</v>
      </c>
      <c r="AJ9" s="30" t="s">
        <v>408</v>
      </c>
      <c r="AK9" s="30" t="s">
        <v>408</v>
      </c>
      <c r="AL9" s="30" t="s">
        <v>408</v>
      </c>
      <c r="AM9" s="30" t="s">
        <v>408</v>
      </c>
      <c r="AN9" s="30" t="s">
        <v>408</v>
      </c>
      <c r="AO9" s="30" t="s">
        <v>408</v>
      </c>
      <c r="AP9" s="30" t="s">
        <v>408</v>
      </c>
      <c r="AQ9" s="30" t="s">
        <v>408</v>
      </c>
      <c r="AR9" s="30" t="s">
        <v>408</v>
      </c>
      <c r="AS9" s="30" t="s">
        <v>408</v>
      </c>
      <c r="AT9" s="30" t="s">
        <v>408</v>
      </c>
      <c r="AU9" s="30" t="s">
        <v>408</v>
      </c>
      <c r="AV9" s="30" t="s">
        <v>408</v>
      </c>
      <c r="AW9" s="30" t="s">
        <v>408</v>
      </c>
      <c r="AX9" s="30" t="s">
        <v>408</v>
      </c>
      <c r="AY9" s="30" t="s">
        <v>408</v>
      </c>
      <c r="AZ9" s="30" t="s">
        <v>408</v>
      </c>
      <c r="BA9" s="30" t="s">
        <v>408</v>
      </c>
      <c r="BB9" s="30" t="s">
        <v>408</v>
      </c>
      <c r="BC9" s="30" t="s">
        <v>408</v>
      </c>
      <c r="BD9" s="30" t="s">
        <v>408</v>
      </c>
      <c r="BE9" s="30" t="s">
        <v>408</v>
      </c>
      <c r="BF9" s="30" t="s">
        <v>408</v>
      </c>
      <c r="BG9" s="30" t="s">
        <v>408</v>
      </c>
      <c r="BH9" s="30" t="s">
        <v>408</v>
      </c>
      <c r="BI9" s="30" t="s">
        <v>408</v>
      </c>
      <c r="BJ9" s="30" t="s">
        <v>408</v>
      </c>
      <c r="BK9" s="30" t="s">
        <v>408</v>
      </c>
      <c r="BL9" s="30" t="s">
        <v>408</v>
      </c>
      <c r="BM9" s="30" t="s">
        <v>408</v>
      </c>
      <c r="BO9" s="30" t="s">
        <v>449</v>
      </c>
      <c r="BP9" s="30" t="s">
        <v>449</v>
      </c>
      <c r="BQ9" s="30" t="s">
        <v>449</v>
      </c>
      <c r="BR9" s="30" t="s">
        <v>449</v>
      </c>
      <c r="BS9" s="30" t="s">
        <v>449</v>
      </c>
      <c r="BT9" s="30" t="s">
        <v>449</v>
      </c>
      <c r="BU9" s="30" t="s">
        <v>449</v>
      </c>
      <c r="BV9" s="30" t="s">
        <v>449</v>
      </c>
      <c r="BW9" s="30" t="s">
        <v>449</v>
      </c>
      <c r="BX9" s="30" t="s">
        <v>449</v>
      </c>
      <c r="BY9" s="30" t="s">
        <v>449</v>
      </c>
      <c r="BZ9" s="30" t="s">
        <v>449</v>
      </c>
      <c r="CA9" s="30" t="s">
        <v>449</v>
      </c>
      <c r="CB9" s="30" t="s">
        <v>449</v>
      </c>
      <c r="CC9" s="30" t="s">
        <v>449</v>
      </c>
      <c r="CD9" s="30" t="s">
        <v>449</v>
      </c>
      <c r="CE9" s="30" t="s">
        <v>449</v>
      </c>
      <c r="CF9" s="30" t="s">
        <v>449</v>
      </c>
      <c r="CG9" s="30" t="s">
        <v>449</v>
      </c>
      <c r="CH9" s="30" t="s">
        <v>449</v>
      </c>
      <c r="CI9" s="30" t="s">
        <v>449</v>
      </c>
      <c r="CJ9" s="30" t="s">
        <v>449</v>
      </c>
      <c r="CK9" s="30" t="s">
        <v>449</v>
      </c>
      <c r="CL9" s="30" t="s">
        <v>449</v>
      </c>
      <c r="CM9" s="30" t="s">
        <v>449</v>
      </c>
      <c r="CN9" s="30" t="s">
        <v>449</v>
      </c>
      <c r="CO9" s="30" t="s">
        <v>449</v>
      </c>
      <c r="CP9" s="30" t="s">
        <v>449</v>
      </c>
      <c r="CQ9" s="30" t="s">
        <v>449</v>
      </c>
      <c r="CR9" s="30" t="s">
        <v>449</v>
      </c>
      <c r="CS9" s="30" t="s">
        <v>449</v>
      </c>
      <c r="CU9" s="30" t="s">
        <v>409</v>
      </c>
      <c r="CV9" s="30" t="s">
        <v>409</v>
      </c>
      <c r="CW9" s="30" t="s">
        <v>409</v>
      </c>
      <c r="CX9" s="30" t="s">
        <v>409</v>
      </c>
      <c r="CY9" s="30" t="s">
        <v>409</v>
      </c>
      <c r="CZ9" s="30" t="s">
        <v>409</v>
      </c>
      <c r="DA9" s="30" t="s">
        <v>409</v>
      </c>
      <c r="DB9" s="30" t="s">
        <v>409</v>
      </c>
      <c r="DC9" s="30" t="s">
        <v>409</v>
      </c>
      <c r="DD9" s="30" t="s">
        <v>409</v>
      </c>
      <c r="DE9" s="30" t="s">
        <v>409</v>
      </c>
      <c r="DF9" s="30" t="s">
        <v>409</v>
      </c>
      <c r="DG9" s="30" t="s">
        <v>409</v>
      </c>
      <c r="DH9" s="30" t="s">
        <v>409</v>
      </c>
      <c r="DI9" s="30" t="s">
        <v>409</v>
      </c>
      <c r="DJ9" s="30" t="s">
        <v>409</v>
      </c>
      <c r="DK9" s="30" t="s">
        <v>409</v>
      </c>
      <c r="DL9" s="30" t="s">
        <v>409</v>
      </c>
      <c r="DM9" s="30" t="s">
        <v>409</v>
      </c>
      <c r="DN9" s="30" t="s">
        <v>409</v>
      </c>
      <c r="DO9" s="30" t="s">
        <v>409</v>
      </c>
      <c r="DP9" s="30" t="s">
        <v>409</v>
      </c>
      <c r="DQ9" s="30" t="s">
        <v>409</v>
      </c>
      <c r="DR9" s="30" t="s">
        <v>409</v>
      </c>
      <c r="DS9" s="30" t="s">
        <v>409</v>
      </c>
      <c r="DT9" s="30" t="s">
        <v>409</v>
      </c>
      <c r="DU9" s="30" t="s">
        <v>409</v>
      </c>
      <c r="DV9" s="30" t="s">
        <v>409</v>
      </c>
      <c r="DW9" s="30" t="s">
        <v>409</v>
      </c>
      <c r="DX9" s="30" t="s">
        <v>409</v>
      </c>
      <c r="DY9" s="30" t="s">
        <v>409</v>
      </c>
      <c r="EA9" s="30" t="s">
        <v>411</v>
      </c>
      <c r="EB9" s="30" t="s">
        <v>411</v>
      </c>
      <c r="EC9" s="30" t="s">
        <v>411</v>
      </c>
      <c r="ED9" s="30" t="s">
        <v>411</v>
      </c>
      <c r="EE9" s="30" t="s">
        <v>411</v>
      </c>
      <c r="EF9" s="30" t="s">
        <v>411</v>
      </c>
      <c r="EG9" s="30" t="s">
        <v>411</v>
      </c>
      <c r="EH9" s="30" t="s">
        <v>411</v>
      </c>
      <c r="EI9" s="30" t="s">
        <v>411</v>
      </c>
      <c r="EJ9" s="30" t="s">
        <v>411</v>
      </c>
      <c r="EK9" s="30" t="s">
        <v>411</v>
      </c>
      <c r="EL9" s="30" t="s">
        <v>411</v>
      </c>
      <c r="EM9" s="30" t="s">
        <v>411</v>
      </c>
      <c r="EN9" s="30" t="s">
        <v>411</v>
      </c>
      <c r="EO9" s="30" t="s">
        <v>411</v>
      </c>
      <c r="EP9" s="30" t="s">
        <v>411</v>
      </c>
      <c r="EQ9" s="30" t="s">
        <v>411</v>
      </c>
      <c r="ER9" s="30" t="s">
        <v>411</v>
      </c>
      <c r="ES9" s="30" t="s">
        <v>411</v>
      </c>
      <c r="ET9" s="30" t="s">
        <v>411</v>
      </c>
      <c r="EU9" s="30" t="s">
        <v>411</v>
      </c>
      <c r="EV9" s="30" t="s">
        <v>411</v>
      </c>
      <c r="EW9" s="30" t="s">
        <v>411</v>
      </c>
      <c r="EX9" s="30" t="s">
        <v>411</v>
      </c>
      <c r="EY9" s="30" t="s">
        <v>411</v>
      </c>
      <c r="EZ9" s="30" t="s">
        <v>411</v>
      </c>
      <c r="FA9" s="30" t="s">
        <v>411</v>
      </c>
      <c r="FB9" s="30" t="s">
        <v>411</v>
      </c>
      <c r="FC9" s="30" t="s">
        <v>411</v>
      </c>
      <c r="FD9" s="30" t="s">
        <v>411</v>
      </c>
      <c r="FE9" s="30" t="s">
        <v>411</v>
      </c>
      <c r="FG9" s="30" t="s">
        <v>450</v>
      </c>
      <c r="FH9" s="30" t="s">
        <v>482</v>
      </c>
      <c r="FJ9" s="30" t="s">
        <v>412</v>
      </c>
      <c r="FK9" s="30" t="s">
        <v>412</v>
      </c>
      <c r="FL9" s="30" t="s">
        <v>412</v>
      </c>
      <c r="FM9" s="30" t="s">
        <v>412</v>
      </c>
      <c r="FN9" s="30" t="s">
        <v>412</v>
      </c>
      <c r="FO9" s="30" t="s">
        <v>412</v>
      </c>
      <c r="FP9" s="30" t="s">
        <v>412</v>
      </c>
      <c r="FQ9" s="30" t="s">
        <v>412</v>
      </c>
      <c r="FR9" s="30" t="s">
        <v>412</v>
      </c>
      <c r="FS9" s="30" t="s">
        <v>412</v>
      </c>
      <c r="FT9" s="30" t="s">
        <v>412</v>
      </c>
      <c r="FU9" s="30" t="s">
        <v>412</v>
      </c>
      <c r="FV9" s="30" t="s">
        <v>412</v>
      </c>
      <c r="FW9" s="30" t="s">
        <v>412</v>
      </c>
      <c r="FX9" s="30" t="s">
        <v>412</v>
      </c>
      <c r="FY9" s="30" t="s">
        <v>412</v>
      </c>
      <c r="FZ9" s="30" t="s">
        <v>412</v>
      </c>
      <c r="GA9" s="30" t="s">
        <v>412</v>
      </c>
      <c r="GB9" s="30" t="s">
        <v>412</v>
      </c>
      <c r="GC9" s="30" t="s">
        <v>412</v>
      </c>
      <c r="GD9" s="30" t="s">
        <v>412</v>
      </c>
      <c r="GE9" s="30" t="s">
        <v>412</v>
      </c>
      <c r="GF9" s="30" t="s">
        <v>412</v>
      </c>
      <c r="GG9" s="30" t="s">
        <v>412</v>
      </c>
      <c r="GH9" s="30" t="s">
        <v>412</v>
      </c>
      <c r="GI9" s="30" t="s">
        <v>412</v>
      </c>
      <c r="GJ9" s="30" t="s">
        <v>412</v>
      </c>
      <c r="GK9" s="30" t="s">
        <v>412</v>
      </c>
      <c r="GL9" s="30" t="s">
        <v>412</v>
      </c>
      <c r="GM9" s="30" t="s">
        <v>412</v>
      </c>
      <c r="GN9" s="30" t="s">
        <v>412</v>
      </c>
      <c r="GP9" s="30" t="s">
        <v>451</v>
      </c>
      <c r="GQ9" s="30" t="s">
        <v>451</v>
      </c>
      <c r="GR9" s="30" t="s">
        <v>451</v>
      </c>
      <c r="GS9" s="30" t="s">
        <v>451</v>
      </c>
      <c r="GT9" s="30" t="s">
        <v>451</v>
      </c>
      <c r="GU9" s="30" t="s">
        <v>451</v>
      </c>
      <c r="GV9" s="30" t="s">
        <v>451</v>
      </c>
      <c r="GW9" s="30" t="s">
        <v>451</v>
      </c>
      <c r="GX9" s="30" t="s">
        <v>451</v>
      </c>
      <c r="GY9" s="30" t="s">
        <v>451</v>
      </c>
      <c r="GZ9" s="30" t="s">
        <v>451</v>
      </c>
      <c r="HA9" s="30" t="s">
        <v>451</v>
      </c>
      <c r="HB9" s="30" t="s">
        <v>451</v>
      </c>
      <c r="HC9" s="30" t="s">
        <v>451</v>
      </c>
      <c r="HD9" s="30" t="s">
        <v>451</v>
      </c>
      <c r="HE9" s="30" t="s">
        <v>451</v>
      </c>
      <c r="HF9" s="30" t="s">
        <v>451</v>
      </c>
      <c r="HG9" s="30" t="s">
        <v>451</v>
      </c>
      <c r="HH9" s="30" t="s">
        <v>451</v>
      </c>
      <c r="HI9" s="30" t="s">
        <v>451</v>
      </c>
      <c r="HJ9" s="30" t="s">
        <v>451</v>
      </c>
      <c r="HK9" s="30" t="s">
        <v>451</v>
      </c>
      <c r="HL9" s="30" t="s">
        <v>451</v>
      </c>
      <c r="HM9" s="30" t="s">
        <v>451</v>
      </c>
      <c r="HN9" s="30" t="s">
        <v>451</v>
      </c>
      <c r="HO9" s="30" t="s">
        <v>451</v>
      </c>
      <c r="HP9" s="30" t="s">
        <v>451</v>
      </c>
      <c r="HQ9" s="30" t="s">
        <v>451</v>
      </c>
      <c r="HR9" s="30" t="s">
        <v>451</v>
      </c>
      <c r="HS9" s="30" t="s">
        <v>451</v>
      </c>
      <c r="HT9" s="30" t="s">
        <v>451</v>
      </c>
      <c r="HV9" s="30" t="s">
        <v>452</v>
      </c>
      <c r="HW9" s="30" t="s">
        <v>452</v>
      </c>
      <c r="HX9" s="30" t="s">
        <v>452</v>
      </c>
      <c r="HY9" s="30" t="s">
        <v>452</v>
      </c>
      <c r="HZ9" s="30" t="s">
        <v>452</v>
      </c>
      <c r="IA9" s="30" t="s">
        <v>452</v>
      </c>
      <c r="IB9" s="30" t="s">
        <v>452</v>
      </c>
      <c r="IC9" s="30" t="s">
        <v>452</v>
      </c>
      <c r="ID9" s="30" t="s">
        <v>452</v>
      </c>
      <c r="IE9" s="30" t="s">
        <v>452</v>
      </c>
      <c r="IF9" s="30" t="s">
        <v>452</v>
      </c>
      <c r="IG9" s="30" t="s">
        <v>452</v>
      </c>
      <c r="IH9" s="30" t="s">
        <v>452</v>
      </c>
      <c r="II9" s="30" t="s">
        <v>452</v>
      </c>
      <c r="IJ9" s="30" t="s">
        <v>452</v>
      </c>
      <c r="IK9" s="30" t="s">
        <v>452</v>
      </c>
      <c r="IL9" s="30" t="s">
        <v>452</v>
      </c>
      <c r="IM9" s="30" t="s">
        <v>452</v>
      </c>
      <c r="IN9" s="30" t="s">
        <v>452</v>
      </c>
      <c r="IO9" s="30" t="s">
        <v>452</v>
      </c>
      <c r="IP9" s="30" t="s">
        <v>452</v>
      </c>
      <c r="IQ9" s="30" t="s">
        <v>452</v>
      </c>
      <c r="IR9" s="30" t="s">
        <v>452</v>
      </c>
      <c r="IS9" s="30" t="s">
        <v>452</v>
      </c>
      <c r="IT9" s="30" t="s">
        <v>452</v>
      </c>
      <c r="IU9" s="30" t="s">
        <v>452</v>
      </c>
      <c r="IV9" s="30" t="s">
        <v>452</v>
      </c>
      <c r="IW9" s="30" t="s">
        <v>452</v>
      </c>
      <c r="IX9" s="30" t="s">
        <v>452</v>
      </c>
      <c r="IY9" s="30" t="s">
        <v>452</v>
      </c>
      <c r="IZ9" s="30" t="s">
        <v>452</v>
      </c>
      <c r="JB9" s="30" t="s">
        <v>483</v>
      </c>
      <c r="JD9" s="30" t="s">
        <v>468</v>
      </c>
      <c r="JF9" s="30" t="s">
        <v>484</v>
      </c>
      <c r="JG9" s="30" t="s">
        <v>484</v>
      </c>
      <c r="JH9" s="30" t="s">
        <v>485</v>
      </c>
      <c r="JI9" s="30" t="s">
        <v>485</v>
      </c>
      <c r="JK9" s="30" t="s">
        <v>469</v>
      </c>
      <c r="JL9" s="30" t="s">
        <v>470</v>
      </c>
      <c r="JM9" s="30" t="s">
        <v>391</v>
      </c>
      <c r="JN9" s="132"/>
    </row>
    <row r="10" spans="1:274" ht="42">
      <c r="B10" s="6" t="s">
        <v>472</v>
      </c>
      <c r="D10" s="11" t="str">
        <f>"Included in Current System ("&amp;system_name&amp;")"</f>
        <v>Included in Current System (ISONE_toy_system)</v>
      </c>
      <c r="F10" s="11" t="s">
        <v>251</v>
      </c>
      <c r="H10" s="26"/>
      <c r="J10" s="26"/>
      <c r="L10" s="26"/>
      <c r="N10" s="26"/>
      <c r="O10" s="26"/>
      <c r="P10" s="26"/>
      <c r="Q10" s="26"/>
      <c r="R10" s="26"/>
      <c r="S10" s="26"/>
      <c r="U10" s="26"/>
      <c r="V10" s="26"/>
      <c r="W10" s="26"/>
      <c r="X10" s="26"/>
      <c r="Y10" s="26"/>
      <c r="Z10" s="26"/>
      <c r="AB10" s="26"/>
      <c r="AD10" s="26" t="s">
        <v>277</v>
      </c>
      <c r="AF10" s="26" t="s">
        <v>277</v>
      </c>
      <c r="AG10" s="26" t="s">
        <v>277</v>
      </c>
      <c r="AI10" s="59">
        <f>start_year</f>
        <v>43831</v>
      </c>
      <c r="AJ10" s="59">
        <f t="shared" ref="AJ10:BM10" si="0">EDATE(AI10,12)</f>
        <v>44197</v>
      </c>
      <c r="AK10" s="59">
        <f t="shared" si="0"/>
        <v>44562</v>
      </c>
      <c r="AL10" s="59">
        <f t="shared" si="0"/>
        <v>44927</v>
      </c>
      <c r="AM10" s="59">
        <f t="shared" si="0"/>
        <v>45292</v>
      </c>
      <c r="AN10" s="59">
        <f t="shared" si="0"/>
        <v>45658</v>
      </c>
      <c r="AO10" s="59">
        <f t="shared" si="0"/>
        <v>46023</v>
      </c>
      <c r="AP10" s="59">
        <f t="shared" si="0"/>
        <v>46388</v>
      </c>
      <c r="AQ10" s="59">
        <f t="shared" si="0"/>
        <v>46753</v>
      </c>
      <c r="AR10" s="59">
        <f t="shared" si="0"/>
        <v>47119</v>
      </c>
      <c r="AS10" s="59">
        <f t="shared" si="0"/>
        <v>47484</v>
      </c>
      <c r="AT10" s="59">
        <f t="shared" si="0"/>
        <v>47849</v>
      </c>
      <c r="AU10" s="59">
        <f t="shared" si="0"/>
        <v>48214</v>
      </c>
      <c r="AV10" s="59">
        <f t="shared" si="0"/>
        <v>48580</v>
      </c>
      <c r="AW10" s="59">
        <f t="shared" si="0"/>
        <v>48945</v>
      </c>
      <c r="AX10" s="59">
        <f t="shared" si="0"/>
        <v>49310</v>
      </c>
      <c r="AY10" s="59">
        <f t="shared" si="0"/>
        <v>49675</v>
      </c>
      <c r="AZ10" s="59">
        <f t="shared" si="0"/>
        <v>50041</v>
      </c>
      <c r="BA10" s="59">
        <f t="shared" si="0"/>
        <v>50406</v>
      </c>
      <c r="BB10" s="59">
        <f t="shared" si="0"/>
        <v>50771</v>
      </c>
      <c r="BC10" s="59">
        <f t="shared" si="0"/>
        <v>51136</v>
      </c>
      <c r="BD10" s="59">
        <f t="shared" si="0"/>
        <v>51502</v>
      </c>
      <c r="BE10" s="59">
        <f t="shared" si="0"/>
        <v>51867</v>
      </c>
      <c r="BF10" s="59">
        <f t="shared" si="0"/>
        <v>52232</v>
      </c>
      <c r="BG10" s="59">
        <f t="shared" si="0"/>
        <v>52597</v>
      </c>
      <c r="BH10" s="59">
        <f t="shared" si="0"/>
        <v>52963</v>
      </c>
      <c r="BI10" s="59">
        <f t="shared" si="0"/>
        <v>53328</v>
      </c>
      <c r="BJ10" s="59">
        <f t="shared" si="0"/>
        <v>53693</v>
      </c>
      <c r="BK10" s="59">
        <f t="shared" si="0"/>
        <v>54058</v>
      </c>
      <c r="BL10" s="59">
        <f t="shared" si="0"/>
        <v>54424</v>
      </c>
      <c r="BM10" s="59">
        <f t="shared" si="0"/>
        <v>54789</v>
      </c>
      <c r="BO10" s="59">
        <f>start_year</f>
        <v>43831</v>
      </c>
      <c r="BP10" s="59">
        <f t="shared" ref="BP10:CS10" si="1">EDATE(BO10,12)</f>
        <v>44197</v>
      </c>
      <c r="BQ10" s="59">
        <f t="shared" si="1"/>
        <v>44562</v>
      </c>
      <c r="BR10" s="59">
        <f t="shared" si="1"/>
        <v>44927</v>
      </c>
      <c r="BS10" s="59">
        <f t="shared" si="1"/>
        <v>45292</v>
      </c>
      <c r="BT10" s="59">
        <f t="shared" si="1"/>
        <v>45658</v>
      </c>
      <c r="BU10" s="59">
        <f t="shared" si="1"/>
        <v>46023</v>
      </c>
      <c r="BV10" s="59">
        <f t="shared" si="1"/>
        <v>46388</v>
      </c>
      <c r="BW10" s="59">
        <f t="shared" si="1"/>
        <v>46753</v>
      </c>
      <c r="BX10" s="59">
        <f t="shared" si="1"/>
        <v>47119</v>
      </c>
      <c r="BY10" s="59">
        <f t="shared" si="1"/>
        <v>47484</v>
      </c>
      <c r="BZ10" s="59">
        <f t="shared" si="1"/>
        <v>47849</v>
      </c>
      <c r="CA10" s="59">
        <f t="shared" si="1"/>
        <v>48214</v>
      </c>
      <c r="CB10" s="59">
        <f t="shared" si="1"/>
        <v>48580</v>
      </c>
      <c r="CC10" s="59">
        <f t="shared" si="1"/>
        <v>48945</v>
      </c>
      <c r="CD10" s="59">
        <f t="shared" si="1"/>
        <v>49310</v>
      </c>
      <c r="CE10" s="59">
        <f t="shared" si="1"/>
        <v>49675</v>
      </c>
      <c r="CF10" s="59">
        <f t="shared" si="1"/>
        <v>50041</v>
      </c>
      <c r="CG10" s="59">
        <f t="shared" si="1"/>
        <v>50406</v>
      </c>
      <c r="CH10" s="59">
        <f t="shared" si="1"/>
        <v>50771</v>
      </c>
      <c r="CI10" s="59">
        <f t="shared" si="1"/>
        <v>51136</v>
      </c>
      <c r="CJ10" s="59">
        <f t="shared" si="1"/>
        <v>51502</v>
      </c>
      <c r="CK10" s="59">
        <f t="shared" si="1"/>
        <v>51867</v>
      </c>
      <c r="CL10" s="59">
        <f t="shared" si="1"/>
        <v>52232</v>
      </c>
      <c r="CM10" s="59">
        <f t="shared" si="1"/>
        <v>52597</v>
      </c>
      <c r="CN10" s="59">
        <f t="shared" si="1"/>
        <v>52963</v>
      </c>
      <c r="CO10" s="59">
        <f t="shared" si="1"/>
        <v>53328</v>
      </c>
      <c r="CP10" s="59">
        <f t="shared" si="1"/>
        <v>53693</v>
      </c>
      <c r="CQ10" s="59">
        <f t="shared" si="1"/>
        <v>54058</v>
      </c>
      <c r="CR10" s="59">
        <f t="shared" si="1"/>
        <v>54424</v>
      </c>
      <c r="CS10" s="59">
        <f t="shared" si="1"/>
        <v>54789</v>
      </c>
      <c r="CU10" s="59">
        <f>start_year</f>
        <v>43831</v>
      </c>
      <c r="CV10" s="59">
        <f t="shared" ref="CV10:DY10" si="2">EDATE(CU10,12)</f>
        <v>44197</v>
      </c>
      <c r="CW10" s="59">
        <f t="shared" si="2"/>
        <v>44562</v>
      </c>
      <c r="CX10" s="59">
        <f t="shared" si="2"/>
        <v>44927</v>
      </c>
      <c r="CY10" s="59">
        <f t="shared" si="2"/>
        <v>45292</v>
      </c>
      <c r="CZ10" s="59">
        <f t="shared" si="2"/>
        <v>45658</v>
      </c>
      <c r="DA10" s="59">
        <f t="shared" si="2"/>
        <v>46023</v>
      </c>
      <c r="DB10" s="59">
        <f t="shared" si="2"/>
        <v>46388</v>
      </c>
      <c r="DC10" s="59">
        <f t="shared" si="2"/>
        <v>46753</v>
      </c>
      <c r="DD10" s="59">
        <f t="shared" si="2"/>
        <v>47119</v>
      </c>
      <c r="DE10" s="59">
        <f t="shared" si="2"/>
        <v>47484</v>
      </c>
      <c r="DF10" s="59">
        <f t="shared" si="2"/>
        <v>47849</v>
      </c>
      <c r="DG10" s="59">
        <f t="shared" si="2"/>
        <v>48214</v>
      </c>
      <c r="DH10" s="59">
        <f t="shared" si="2"/>
        <v>48580</v>
      </c>
      <c r="DI10" s="59">
        <f t="shared" si="2"/>
        <v>48945</v>
      </c>
      <c r="DJ10" s="59">
        <f t="shared" si="2"/>
        <v>49310</v>
      </c>
      <c r="DK10" s="59">
        <f t="shared" si="2"/>
        <v>49675</v>
      </c>
      <c r="DL10" s="59">
        <f t="shared" si="2"/>
        <v>50041</v>
      </c>
      <c r="DM10" s="59">
        <f t="shared" si="2"/>
        <v>50406</v>
      </c>
      <c r="DN10" s="59">
        <f t="shared" si="2"/>
        <v>50771</v>
      </c>
      <c r="DO10" s="59">
        <f t="shared" si="2"/>
        <v>51136</v>
      </c>
      <c r="DP10" s="59">
        <f t="shared" si="2"/>
        <v>51502</v>
      </c>
      <c r="DQ10" s="59">
        <f t="shared" si="2"/>
        <v>51867</v>
      </c>
      <c r="DR10" s="59">
        <f t="shared" si="2"/>
        <v>52232</v>
      </c>
      <c r="DS10" s="59">
        <f t="shared" si="2"/>
        <v>52597</v>
      </c>
      <c r="DT10" s="59">
        <f t="shared" si="2"/>
        <v>52963</v>
      </c>
      <c r="DU10" s="59">
        <f t="shared" si="2"/>
        <v>53328</v>
      </c>
      <c r="DV10" s="59">
        <f t="shared" si="2"/>
        <v>53693</v>
      </c>
      <c r="DW10" s="59">
        <f t="shared" si="2"/>
        <v>54058</v>
      </c>
      <c r="DX10" s="59">
        <f t="shared" si="2"/>
        <v>54424</v>
      </c>
      <c r="DY10" s="59">
        <f t="shared" si="2"/>
        <v>54789</v>
      </c>
      <c r="EA10" s="59">
        <f>start_year</f>
        <v>43831</v>
      </c>
      <c r="EB10" s="59">
        <f t="shared" ref="EB10:FE10" si="3">EDATE(EA10,12)</f>
        <v>44197</v>
      </c>
      <c r="EC10" s="59">
        <f t="shared" si="3"/>
        <v>44562</v>
      </c>
      <c r="ED10" s="59">
        <f t="shared" si="3"/>
        <v>44927</v>
      </c>
      <c r="EE10" s="59">
        <f t="shared" si="3"/>
        <v>45292</v>
      </c>
      <c r="EF10" s="59">
        <f t="shared" si="3"/>
        <v>45658</v>
      </c>
      <c r="EG10" s="59">
        <f t="shared" si="3"/>
        <v>46023</v>
      </c>
      <c r="EH10" s="59">
        <f t="shared" si="3"/>
        <v>46388</v>
      </c>
      <c r="EI10" s="59">
        <f t="shared" si="3"/>
        <v>46753</v>
      </c>
      <c r="EJ10" s="59">
        <f t="shared" si="3"/>
        <v>47119</v>
      </c>
      <c r="EK10" s="59">
        <f t="shared" si="3"/>
        <v>47484</v>
      </c>
      <c r="EL10" s="59">
        <f t="shared" si="3"/>
        <v>47849</v>
      </c>
      <c r="EM10" s="59">
        <f t="shared" si="3"/>
        <v>48214</v>
      </c>
      <c r="EN10" s="59">
        <f t="shared" si="3"/>
        <v>48580</v>
      </c>
      <c r="EO10" s="59">
        <f t="shared" si="3"/>
        <v>48945</v>
      </c>
      <c r="EP10" s="59">
        <f t="shared" si="3"/>
        <v>49310</v>
      </c>
      <c r="EQ10" s="59">
        <f t="shared" si="3"/>
        <v>49675</v>
      </c>
      <c r="ER10" s="59">
        <f t="shared" si="3"/>
        <v>50041</v>
      </c>
      <c r="ES10" s="59">
        <f t="shared" si="3"/>
        <v>50406</v>
      </c>
      <c r="ET10" s="59">
        <f t="shared" si="3"/>
        <v>50771</v>
      </c>
      <c r="EU10" s="59">
        <f t="shared" si="3"/>
        <v>51136</v>
      </c>
      <c r="EV10" s="59">
        <f t="shared" si="3"/>
        <v>51502</v>
      </c>
      <c r="EW10" s="59">
        <f t="shared" si="3"/>
        <v>51867</v>
      </c>
      <c r="EX10" s="59">
        <f t="shared" si="3"/>
        <v>52232</v>
      </c>
      <c r="EY10" s="59">
        <f t="shared" si="3"/>
        <v>52597</v>
      </c>
      <c r="EZ10" s="59">
        <f t="shared" si="3"/>
        <v>52963</v>
      </c>
      <c r="FA10" s="59">
        <f t="shared" si="3"/>
        <v>53328</v>
      </c>
      <c r="FB10" s="59">
        <f t="shared" si="3"/>
        <v>53693</v>
      </c>
      <c r="FC10" s="59">
        <f t="shared" si="3"/>
        <v>54058</v>
      </c>
      <c r="FD10" s="59">
        <f t="shared" si="3"/>
        <v>54424</v>
      </c>
      <c r="FE10" s="59">
        <f t="shared" si="3"/>
        <v>54789</v>
      </c>
      <c r="FG10" s="59">
        <f>start_year</f>
        <v>43831</v>
      </c>
      <c r="FH10" s="59">
        <f>start_year</f>
        <v>43831</v>
      </c>
      <c r="FJ10" s="59">
        <f>start_year</f>
        <v>43831</v>
      </c>
      <c r="FK10" s="59">
        <f t="shared" ref="FK10:GN10" si="4">EDATE(FJ10,12)</f>
        <v>44197</v>
      </c>
      <c r="FL10" s="59">
        <f t="shared" si="4"/>
        <v>44562</v>
      </c>
      <c r="FM10" s="59">
        <f t="shared" si="4"/>
        <v>44927</v>
      </c>
      <c r="FN10" s="59">
        <f t="shared" si="4"/>
        <v>45292</v>
      </c>
      <c r="FO10" s="59">
        <f t="shared" si="4"/>
        <v>45658</v>
      </c>
      <c r="FP10" s="59">
        <f t="shared" si="4"/>
        <v>46023</v>
      </c>
      <c r="FQ10" s="59">
        <f t="shared" si="4"/>
        <v>46388</v>
      </c>
      <c r="FR10" s="59">
        <f t="shared" si="4"/>
        <v>46753</v>
      </c>
      <c r="FS10" s="59">
        <f t="shared" si="4"/>
        <v>47119</v>
      </c>
      <c r="FT10" s="59">
        <f t="shared" si="4"/>
        <v>47484</v>
      </c>
      <c r="FU10" s="59">
        <f t="shared" si="4"/>
        <v>47849</v>
      </c>
      <c r="FV10" s="59">
        <f t="shared" si="4"/>
        <v>48214</v>
      </c>
      <c r="FW10" s="59">
        <f t="shared" si="4"/>
        <v>48580</v>
      </c>
      <c r="FX10" s="59">
        <f t="shared" si="4"/>
        <v>48945</v>
      </c>
      <c r="FY10" s="59">
        <f t="shared" si="4"/>
        <v>49310</v>
      </c>
      <c r="FZ10" s="59">
        <f t="shared" si="4"/>
        <v>49675</v>
      </c>
      <c r="GA10" s="59">
        <f t="shared" si="4"/>
        <v>50041</v>
      </c>
      <c r="GB10" s="59">
        <f t="shared" si="4"/>
        <v>50406</v>
      </c>
      <c r="GC10" s="59">
        <f t="shared" si="4"/>
        <v>50771</v>
      </c>
      <c r="GD10" s="59">
        <f t="shared" si="4"/>
        <v>51136</v>
      </c>
      <c r="GE10" s="59">
        <f t="shared" si="4"/>
        <v>51502</v>
      </c>
      <c r="GF10" s="59">
        <f t="shared" si="4"/>
        <v>51867</v>
      </c>
      <c r="GG10" s="59">
        <f t="shared" si="4"/>
        <v>52232</v>
      </c>
      <c r="GH10" s="59">
        <f t="shared" si="4"/>
        <v>52597</v>
      </c>
      <c r="GI10" s="59">
        <f t="shared" si="4"/>
        <v>52963</v>
      </c>
      <c r="GJ10" s="59">
        <f t="shared" si="4"/>
        <v>53328</v>
      </c>
      <c r="GK10" s="59">
        <f t="shared" si="4"/>
        <v>53693</v>
      </c>
      <c r="GL10" s="59">
        <f t="shared" si="4"/>
        <v>54058</v>
      </c>
      <c r="GM10" s="59">
        <f t="shared" si="4"/>
        <v>54424</v>
      </c>
      <c r="GN10" s="59">
        <f t="shared" si="4"/>
        <v>54789</v>
      </c>
      <c r="GP10" s="59">
        <f>start_year</f>
        <v>43831</v>
      </c>
      <c r="GQ10" s="59">
        <f t="shared" ref="GQ10:HT10" si="5">EDATE(GP10,12)</f>
        <v>44197</v>
      </c>
      <c r="GR10" s="59">
        <f t="shared" si="5"/>
        <v>44562</v>
      </c>
      <c r="GS10" s="59">
        <f t="shared" si="5"/>
        <v>44927</v>
      </c>
      <c r="GT10" s="59">
        <f t="shared" si="5"/>
        <v>45292</v>
      </c>
      <c r="GU10" s="59">
        <f t="shared" si="5"/>
        <v>45658</v>
      </c>
      <c r="GV10" s="59">
        <f t="shared" si="5"/>
        <v>46023</v>
      </c>
      <c r="GW10" s="59">
        <f t="shared" si="5"/>
        <v>46388</v>
      </c>
      <c r="GX10" s="59">
        <f t="shared" si="5"/>
        <v>46753</v>
      </c>
      <c r="GY10" s="59">
        <f t="shared" si="5"/>
        <v>47119</v>
      </c>
      <c r="GZ10" s="59">
        <f t="shared" si="5"/>
        <v>47484</v>
      </c>
      <c r="HA10" s="59">
        <f t="shared" si="5"/>
        <v>47849</v>
      </c>
      <c r="HB10" s="59">
        <f t="shared" si="5"/>
        <v>48214</v>
      </c>
      <c r="HC10" s="59">
        <f t="shared" si="5"/>
        <v>48580</v>
      </c>
      <c r="HD10" s="59">
        <f t="shared" si="5"/>
        <v>48945</v>
      </c>
      <c r="HE10" s="59">
        <f t="shared" si="5"/>
        <v>49310</v>
      </c>
      <c r="HF10" s="59">
        <f t="shared" si="5"/>
        <v>49675</v>
      </c>
      <c r="HG10" s="59">
        <f t="shared" si="5"/>
        <v>50041</v>
      </c>
      <c r="HH10" s="59">
        <f t="shared" si="5"/>
        <v>50406</v>
      </c>
      <c r="HI10" s="59">
        <f t="shared" si="5"/>
        <v>50771</v>
      </c>
      <c r="HJ10" s="59">
        <f t="shared" si="5"/>
        <v>51136</v>
      </c>
      <c r="HK10" s="59">
        <f t="shared" si="5"/>
        <v>51502</v>
      </c>
      <c r="HL10" s="59">
        <f t="shared" si="5"/>
        <v>51867</v>
      </c>
      <c r="HM10" s="59">
        <f t="shared" si="5"/>
        <v>52232</v>
      </c>
      <c r="HN10" s="59">
        <f t="shared" si="5"/>
        <v>52597</v>
      </c>
      <c r="HO10" s="59">
        <f t="shared" si="5"/>
        <v>52963</v>
      </c>
      <c r="HP10" s="59">
        <f t="shared" si="5"/>
        <v>53328</v>
      </c>
      <c r="HQ10" s="59">
        <f t="shared" si="5"/>
        <v>53693</v>
      </c>
      <c r="HR10" s="59">
        <f t="shared" si="5"/>
        <v>54058</v>
      </c>
      <c r="HS10" s="59">
        <f t="shared" si="5"/>
        <v>54424</v>
      </c>
      <c r="HT10" s="59">
        <f t="shared" si="5"/>
        <v>54789</v>
      </c>
      <c r="HV10" s="59">
        <f>start_year</f>
        <v>43831</v>
      </c>
      <c r="HW10" s="59">
        <f t="shared" ref="HW10:IZ10" si="6">EDATE(HV10,12)</f>
        <v>44197</v>
      </c>
      <c r="HX10" s="59">
        <f t="shared" si="6"/>
        <v>44562</v>
      </c>
      <c r="HY10" s="59">
        <f t="shared" si="6"/>
        <v>44927</v>
      </c>
      <c r="HZ10" s="59">
        <f t="shared" si="6"/>
        <v>45292</v>
      </c>
      <c r="IA10" s="59">
        <f t="shared" si="6"/>
        <v>45658</v>
      </c>
      <c r="IB10" s="59">
        <f t="shared" si="6"/>
        <v>46023</v>
      </c>
      <c r="IC10" s="59">
        <f t="shared" si="6"/>
        <v>46388</v>
      </c>
      <c r="ID10" s="59">
        <f t="shared" si="6"/>
        <v>46753</v>
      </c>
      <c r="IE10" s="59">
        <f t="shared" si="6"/>
        <v>47119</v>
      </c>
      <c r="IF10" s="59">
        <f t="shared" si="6"/>
        <v>47484</v>
      </c>
      <c r="IG10" s="59">
        <f t="shared" si="6"/>
        <v>47849</v>
      </c>
      <c r="IH10" s="59">
        <f t="shared" si="6"/>
        <v>48214</v>
      </c>
      <c r="II10" s="59">
        <f t="shared" si="6"/>
        <v>48580</v>
      </c>
      <c r="IJ10" s="59">
        <f t="shared" si="6"/>
        <v>48945</v>
      </c>
      <c r="IK10" s="59">
        <f t="shared" si="6"/>
        <v>49310</v>
      </c>
      <c r="IL10" s="59">
        <f t="shared" si="6"/>
        <v>49675</v>
      </c>
      <c r="IM10" s="59">
        <f t="shared" si="6"/>
        <v>50041</v>
      </c>
      <c r="IN10" s="59">
        <f t="shared" si="6"/>
        <v>50406</v>
      </c>
      <c r="IO10" s="59">
        <f t="shared" si="6"/>
        <v>50771</v>
      </c>
      <c r="IP10" s="59">
        <f t="shared" si="6"/>
        <v>51136</v>
      </c>
      <c r="IQ10" s="59">
        <f t="shared" si="6"/>
        <v>51502</v>
      </c>
      <c r="IR10" s="59">
        <f t="shared" si="6"/>
        <v>51867</v>
      </c>
      <c r="IS10" s="59">
        <f t="shared" si="6"/>
        <v>52232</v>
      </c>
      <c r="IT10" s="59">
        <f t="shared" si="6"/>
        <v>52597</v>
      </c>
      <c r="IU10" s="59">
        <f t="shared" si="6"/>
        <v>52963</v>
      </c>
      <c r="IV10" s="59">
        <f t="shared" si="6"/>
        <v>53328</v>
      </c>
      <c r="IW10" s="59">
        <f t="shared" si="6"/>
        <v>53693</v>
      </c>
      <c r="IX10" s="59">
        <f t="shared" si="6"/>
        <v>54058</v>
      </c>
      <c r="IY10" s="59">
        <f t="shared" si="6"/>
        <v>54424</v>
      </c>
      <c r="IZ10" s="59">
        <f t="shared" si="6"/>
        <v>54789</v>
      </c>
      <c r="JB10" s="14"/>
      <c r="JD10" s="26"/>
      <c r="JF10" s="59">
        <f>start_year</f>
        <v>43831</v>
      </c>
      <c r="JG10" s="26" t="s">
        <v>277</v>
      </c>
      <c r="JH10" s="59">
        <f>start_year</f>
        <v>43831</v>
      </c>
      <c r="JI10" s="26" t="s">
        <v>277</v>
      </c>
      <c r="JK10" s="14"/>
      <c r="JL10" s="40"/>
      <c r="JM10" s="40"/>
    </row>
    <row r="11" spans="1:274">
      <c r="B11" s="3" t="s">
        <v>222</v>
      </c>
      <c r="D11" s="39" t="b">
        <f t="shared" ref="D11:D35" si="7">IF(ISBLANK($B11),"-/-",COUNTIFS(component_names,$B11,component_types,$B$9)&gt;0)</f>
        <v>1</v>
      </c>
      <c r="F11" s="3"/>
      <c r="H11" s="118" t="s">
        <v>110</v>
      </c>
      <c r="J11" s="118" t="s">
        <v>207</v>
      </c>
      <c r="L11" s="119" t="s">
        <v>216</v>
      </c>
      <c r="N11" s="118"/>
      <c r="O11" s="118"/>
      <c r="P11" s="118"/>
      <c r="Q11" s="118"/>
      <c r="R11" s="118"/>
      <c r="S11" s="118"/>
      <c r="U11" s="118"/>
      <c r="V11" s="118"/>
      <c r="W11" s="118"/>
      <c r="X11" s="118"/>
      <c r="Y11" s="118"/>
      <c r="Z11" s="118"/>
      <c r="AB11" s="118"/>
      <c r="AD11" s="19"/>
      <c r="AF11" s="19"/>
      <c r="AG11" s="19"/>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v>54360</v>
      </c>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E11" s="25"/>
      <c r="FG11" s="23"/>
      <c r="FH11" s="23"/>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T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W11" s="25"/>
      <c r="IX11" s="25"/>
      <c r="IY11" s="25"/>
      <c r="IZ11" s="25"/>
      <c r="JB11" s="19"/>
      <c r="JD11" s="29" t="s">
        <v>486</v>
      </c>
      <c r="JF11" s="3"/>
      <c r="JG11" s="3"/>
      <c r="JH11" s="3"/>
      <c r="JI11" s="3"/>
      <c r="JK11" s="35">
        <v>0</v>
      </c>
      <c r="JL11" s="81">
        <v>24</v>
      </c>
      <c r="JM11" s="81">
        <v>1</v>
      </c>
    </row>
    <row r="12" spans="1:274">
      <c r="B12" s="3" t="s">
        <v>223</v>
      </c>
      <c r="D12" s="39" t="b">
        <f t="shared" si="7"/>
        <v>1</v>
      </c>
      <c r="F12" s="3"/>
      <c r="H12" s="118" t="s">
        <v>110</v>
      </c>
      <c r="J12" s="118" t="s">
        <v>207</v>
      </c>
      <c r="L12" s="119" t="s">
        <v>216</v>
      </c>
      <c r="N12" s="118"/>
      <c r="O12" s="118"/>
      <c r="P12" s="118"/>
      <c r="Q12" s="118"/>
      <c r="R12" s="118"/>
      <c r="S12" s="118"/>
      <c r="U12" s="118"/>
      <c r="V12" s="118"/>
      <c r="W12" s="118"/>
      <c r="X12" s="118"/>
      <c r="Y12" s="118"/>
      <c r="Z12" s="118"/>
      <c r="AB12" s="118"/>
      <c r="AD12" s="19"/>
      <c r="AF12" s="19"/>
      <c r="AG12" s="19"/>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c r="BK12" s="25"/>
      <c r="BL12" s="25"/>
      <c r="BM12" s="25">
        <v>19500</v>
      </c>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B12" s="25"/>
      <c r="FC12" s="25"/>
      <c r="FD12" s="25"/>
      <c r="FE12" s="25"/>
      <c r="FG12" s="23"/>
      <c r="FH12" s="23"/>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N12" s="25"/>
      <c r="HO12" s="25"/>
      <c r="HP12" s="25"/>
      <c r="HQ12" s="25"/>
      <c r="HR12" s="25"/>
      <c r="HS12" s="25"/>
      <c r="HT12" s="25"/>
      <c r="HV12" s="25"/>
      <c r="HW12" s="25"/>
      <c r="HX12" s="25"/>
      <c r="HY12" s="25"/>
      <c r="HZ12" s="25"/>
      <c r="IA12" s="25"/>
      <c r="IB12" s="25"/>
      <c r="IC12" s="25"/>
      <c r="ID12" s="25"/>
      <c r="IE12" s="25"/>
      <c r="IF12" s="25"/>
      <c r="IG12" s="25"/>
      <c r="IH12" s="25"/>
      <c r="II12" s="25"/>
      <c r="IJ12" s="25"/>
      <c r="IK12" s="25"/>
      <c r="IL12" s="25"/>
      <c r="IM12" s="25"/>
      <c r="IN12" s="25"/>
      <c r="IO12" s="25"/>
      <c r="IP12" s="25"/>
      <c r="IQ12" s="25"/>
      <c r="IR12" s="25"/>
      <c r="IS12" s="25"/>
      <c r="IT12" s="25"/>
      <c r="IU12" s="25"/>
      <c r="IV12" s="25"/>
      <c r="IW12" s="25"/>
      <c r="IX12" s="25"/>
      <c r="IY12" s="25"/>
      <c r="IZ12" s="25"/>
      <c r="JB12" s="19"/>
      <c r="JD12" s="29" t="s">
        <v>487</v>
      </c>
      <c r="JF12" s="3"/>
      <c r="JG12" s="3"/>
      <c r="JH12" s="3"/>
      <c r="JI12" s="3"/>
      <c r="JK12" s="35">
        <v>0</v>
      </c>
      <c r="JL12" s="81">
        <v>24</v>
      </c>
      <c r="JM12" s="81">
        <v>2</v>
      </c>
    </row>
    <row r="13" spans="1:274">
      <c r="B13" s="3" t="s">
        <v>224</v>
      </c>
      <c r="D13" s="39" t="b">
        <f t="shared" si="7"/>
        <v>1</v>
      </c>
      <c r="F13" s="3"/>
      <c r="H13" s="118" t="s">
        <v>110</v>
      </c>
      <c r="J13" s="118" t="s">
        <v>205</v>
      </c>
      <c r="L13" s="119" t="s">
        <v>216</v>
      </c>
      <c r="N13" s="118"/>
      <c r="O13" s="118"/>
      <c r="P13" s="118"/>
      <c r="Q13" s="118"/>
      <c r="R13" s="118"/>
      <c r="S13" s="118"/>
      <c r="U13" s="118"/>
      <c r="V13" s="118"/>
      <c r="W13" s="118"/>
      <c r="X13" s="118"/>
      <c r="Y13" s="118"/>
      <c r="Z13" s="118"/>
      <c r="AB13" s="118"/>
      <c r="AD13" s="19"/>
      <c r="AF13" s="19"/>
      <c r="AG13" s="19"/>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c r="BK13" s="25"/>
      <c r="BL13" s="25"/>
      <c r="BM13" s="25">
        <v>15440</v>
      </c>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B13" s="25"/>
      <c r="FC13" s="25"/>
      <c r="FD13" s="25"/>
      <c r="FE13" s="25"/>
      <c r="FG13" s="23"/>
      <c r="FH13" s="23"/>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N13" s="25"/>
      <c r="HO13" s="25"/>
      <c r="HP13" s="25"/>
      <c r="HQ13" s="25"/>
      <c r="HR13" s="25"/>
      <c r="HS13" s="25"/>
      <c r="HT13" s="25"/>
      <c r="HV13" s="25"/>
      <c r="HW13" s="25"/>
      <c r="HX13" s="25"/>
      <c r="HY13" s="25"/>
      <c r="HZ13" s="25"/>
      <c r="IA13" s="25"/>
      <c r="IB13" s="25"/>
      <c r="IC13" s="25"/>
      <c r="ID13" s="25"/>
      <c r="IE13" s="25"/>
      <c r="IF13" s="25"/>
      <c r="IG13" s="25"/>
      <c r="IH13" s="25"/>
      <c r="II13" s="25"/>
      <c r="IJ13" s="25"/>
      <c r="IK13" s="25"/>
      <c r="IL13" s="25"/>
      <c r="IM13" s="25"/>
      <c r="IN13" s="25"/>
      <c r="IO13" s="25"/>
      <c r="IP13" s="25"/>
      <c r="IQ13" s="25"/>
      <c r="IR13" s="25"/>
      <c r="IS13" s="25"/>
      <c r="IT13" s="25"/>
      <c r="IU13" s="25"/>
      <c r="IV13" s="25"/>
      <c r="IW13" s="25"/>
      <c r="IX13" s="25"/>
      <c r="IY13" s="25"/>
      <c r="IZ13" s="25"/>
      <c r="JB13" s="19"/>
      <c r="JD13" s="29" t="s">
        <v>488</v>
      </c>
      <c r="JF13" s="3"/>
      <c r="JG13" s="3"/>
      <c r="JH13" s="3"/>
      <c r="JI13" s="3"/>
      <c r="JK13" s="35">
        <v>0</v>
      </c>
      <c r="JL13" s="81">
        <v>24</v>
      </c>
      <c r="JM13" s="81">
        <v>3</v>
      </c>
    </row>
    <row r="14" spans="1:274">
      <c r="B14" s="3" t="s">
        <v>225</v>
      </c>
      <c r="D14" s="39" t="b">
        <f t="shared" si="7"/>
        <v>1</v>
      </c>
      <c r="F14" s="3"/>
      <c r="H14" s="118" t="s">
        <v>110</v>
      </c>
      <c r="J14" s="118" t="s">
        <v>206</v>
      </c>
      <c r="L14" s="119" t="s">
        <v>216</v>
      </c>
      <c r="N14" s="118"/>
      <c r="O14" s="118"/>
      <c r="P14" s="118"/>
      <c r="Q14" s="118"/>
      <c r="R14" s="118"/>
      <c r="S14" s="118"/>
      <c r="U14" s="118"/>
      <c r="V14" s="118"/>
      <c r="W14" s="118"/>
      <c r="X14" s="118"/>
      <c r="Y14" s="118"/>
      <c r="Z14" s="118"/>
      <c r="AB14" s="118"/>
      <c r="AD14" s="19"/>
      <c r="AF14" s="19"/>
      <c r="AG14" s="19"/>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v>35590</v>
      </c>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B14" s="25"/>
      <c r="FC14" s="25"/>
      <c r="FD14" s="25"/>
      <c r="FE14" s="25"/>
      <c r="FG14" s="23"/>
      <c r="FH14" s="23"/>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N14" s="25"/>
      <c r="HO14" s="25"/>
      <c r="HP14" s="25"/>
      <c r="HQ14" s="25"/>
      <c r="HR14" s="25"/>
      <c r="HS14" s="25"/>
      <c r="HT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25"/>
      <c r="IV14" s="25"/>
      <c r="IW14" s="25"/>
      <c r="IX14" s="25"/>
      <c r="IY14" s="25"/>
      <c r="IZ14" s="25"/>
      <c r="JB14" s="19"/>
      <c r="JD14" s="29" t="s">
        <v>489</v>
      </c>
      <c r="JF14" s="3"/>
      <c r="JG14" s="3"/>
      <c r="JH14" s="3"/>
      <c r="JI14" s="3"/>
      <c r="JK14" s="35">
        <v>0</v>
      </c>
      <c r="JL14" s="81">
        <v>24</v>
      </c>
      <c r="JM14" s="81">
        <v>3</v>
      </c>
    </row>
    <row r="15" spans="1:274">
      <c r="B15" s="3"/>
      <c r="D15" s="39" t="str">
        <f t="shared" si="7"/>
        <v>-/-</v>
      </c>
      <c r="F15" s="3"/>
      <c r="H15" s="118"/>
      <c r="J15" s="118"/>
      <c r="L15" s="119"/>
      <c r="N15" s="118"/>
      <c r="O15" s="118"/>
      <c r="P15" s="118"/>
      <c r="Q15" s="118"/>
      <c r="R15" s="118"/>
      <c r="S15" s="118"/>
      <c r="U15" s="118"/>
      <c r="V15" s="118"/>
      <c r="W15" s="118"/>
      <c r="X15" s="118"/>
      <c r="Y15" s="118"/>
      <c r="Z15" s="118"/>
      <c r="AB15" s="118"/>
      <c r="AD15" s="19"/>
      <c r="AF15" s="19"/>
      <c r="AG15" s="19"/>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B15" s="25"/>
      <c r="FC15" s="25"/>
      <c r="FD15" s="25"/>
      <c r="FE15" s="25"/>
      <c r="FG15" s="23"/>
      <c r="FH15" s="23"/>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N15" s="25"/>
      <c r="HO15" s="25"/>
      <c r="HP15" s="25"/>
      <c r="HQ15" s="25"/>
      <c r="HR15" s="25"/>
      <c r="HS15" s="25"/>
      <c r="HT15" s="25"/>
      <c r="HV15" s="25"/>
      <c r="HW15" s="25"/>
      <c r="HX15" s="25"/>
      <c r="HY15" s="25"/>
      <c r="HZ15" s="25"/>
      <c r="IA15" s="25"/>
      <c r="IB15" s="25"/>
      <c r="IC15" s="25"/>
      <c r="ID15" s="25"/>
      <c r="IE15" s="25"/>
      <c r="IF15" s="25"/>
      <c r="IG15" s="25"/>
      <c r="IH15" s="25"/>
      <c r="II15" s="25"/>
      <c r="IJ15" s="25"/>
      <c r="IK15" s="25"/>
      <c r="IL15" s="25"/>
      <c r="IM15" s="25"/>
      <c r="IN15" s="25"/>
      <c r="IO15" s="25"/>
      <c r="IP15" s="25"/>
      <c r="IQ15" s="25"/>
      <c r="IR15" s="25"/>
      <c r="IS15" s="25"/>
      <c r="IT15" s="25"/>
      <c r="IU15" s="25"/>
      <c r="IV15" s="25"/>
      <c r="IW15" s="25"/>
      <c r="IX15" s="25"/>
      <c r="IY15" s="25"/>
      <c r="IZ15" s="25"/>
      <c r="JB15" s="19"/>
      <c r="JD15" s="29"/>
      <c r="JF15" s="3"/>
      <c r="JG15" s="3"/>
      <c r="JH15" s="3"/>
      <c r="JI15" s="3"/>
      <c r="JK15" s="35"/>
      <c r="JL15" s="81"/>
      <c r="JM15" s="81"/>
    </row>
    <row r="16" spans="1:274">
      <c r="B16" s="3"/>
      <c r="D16" s="39" t="str">
        <f t="shared" si="7"/>
        <v>-/-</v>
      </c>
      <c r="F16" s="3"/>
      <c r="H16" s="118"/>
      <c r="J16" s="118"/>
      <c r="L16" s="119"/>
      <c r="N16" s="118"/>
      <c r="O16" s="118"/>
      <c r="P16" s="118"/>
      <c r="Q16" s="118"/>
      <c r="R16" s="118"/>
      <c r="S16" s="118"/>
      <c r="U16" s="118"/>
      <c r="V16" s="118"/>
      <c r="W16" s="118"/>
      <c r="X16" s="118"/>
      <c r="Y16" s="118"/>
      <c r="Z16" s="118"/>
      <c r="AB16" s="118"/>
      <c r="AD16" s="19"/>
      <c r="AF16" s="19"/>
      <c r="AG16" s="19"/>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D16" s="25"/>
      <c r="FE16" s="25"/>
      <c r="FG16" s="23"/>
      <c r="FH16" s="23"/>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H16" s="25"/>
      <c r="GI16" s="25"/>
      <c r="GJ16" s="25"/>
      <c r="GK16" s="25"/>
      <c r="GL16" s="25"/>
      <c r="GM16" s="25"/>
      <c r="GN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N16" s="25"/>
      <c r="HO16" s="25"/>
      <c r="HP16" s="25"/>
      <c r="HQ16" s="25"/>
      <c r="HR16" s="25"/>
      <c r="HS16" s="25"/>
      <c r="HT16" s="25"/>
      <c r="HV16" s="25"/>
      <c r="HW16" s="25"/>
      <c r="HX16" s="25"/>
      <c r="HY16" s="25"/>
      <c r="HZ16" s="25"/>
      <c r="IA16" s="25"/>
      <c r="IB16" s="25"/>
      <c r="IC16" s="25"/>
      <c r="ID16" s="25"/>
      <c r="IE16" s="25"/>
      <c r="IF16" s="25"/>
      <c r="IG16" s="25"/>
      <c r="IH16" s="25"/>
      <c r="II16" s="25"/>
      <c r="IJ16" s="25"/>
      <c r="IK16" s="25"/>
      <c r="IL16" s="25"/>
      <c r="IM16" s="25"/>
      <c r="IN16" s="25"/>
      <c r="IO16" s="25"/>
      <c r="IP16" s="25"/>
      <c r="IQ16" s="25"/>
      <c r="IR16" s="25"/>
      <c r="IS16" s="25"/>
      <c r="IT16" s="25"/>
      <c r="IU16" s="25"/>
      <c r="IV16" s="25"/>
      <c r="IW16" s="25"/>
      <c r="IX16" s="25"/>
      <c r="IY16" s="25"/>
      <c r="IZ16" s="25"/>
      <c r="JB16" s="19"/>
      <c r="JD16" s="29"/>
      <c r="JF16" s="3"/>
      <c r="JG16" s="3"/>
      <c r="JH16" s="3"/>
      <c r="JI16" s="3"/>
      <c r="JK16" s="35"/>
      <c r="JL16" s="81"/>
      <c r="JM16" s="81"/>
    </row>
    <row r="17" spans="2:273">
      <c r="B17" s="3"/>
      <c r="D17" s="39" t="str">
        <f t="shared" si="7"/>
        <v>-/-</v>
      </c>
      <c r="F17" s="3"/>
      <c r="H17" s="118"/>
      <c r="J17" s="118"/>
      <c r="L17" s="119"/>
      <c r="N17" s="118"/>
      <c r="O17" s="118"/>
      <c r="P17" s="118"/>
      <c r="Q17" s="118"/>
      <c r="R17" s="118"/>
      <c r="S17" s="118"/>
      <c r="U17" s="118"/>
      <c r="V17" s="118"/>
      <c r="W17" s="118"/>
      <c r="X17" s="118"/>
      <c r="Y17" s="118"/>
      <c r="Z17" s="118"/>
      <c r="AB17" s="118"/>
      <c r="AD17" s="19"/>
      <c r="AF17" s="19"/>
      <c r="AG17" s="19"/>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c r="BK17" s="25"/>
      <c r="BL17" s="25"/>
      <c r="BM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V17" s="25"/>
      <c r="DW17" s="25"/>
      <c r="DX17" s="25"/>
      <c r="DY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B17" s="25"/>
      <c r="FC17" s="25"/>
      <c r="FD17" s="25"/>
      <c r="FE17" s="25"/>
      <c r="FG17" s="23"/>
      <c r="FH17" s="23"/>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H17" s="25"/>
      <c r="GI17" s="25"/>
      <c r="GJ17" s="25"/>
      <c r="GK17" s="25"/>
      <c r="GL17" s="25"/>
      <c r="GM17" s="25"/>
      <c r="GN17" s="25"/>
      <c r="GP17" s="25"/>
      <c r="GQ17" s="25"/>
      <c r="GR17" s="25"/>
      <c r="GS17" s="25"/>
      <c r="GT17" s="25"/>
      <c r="GU17" s="25"/>
      <c r="GV17" s="25"/>
      <c r="GW17" s="25"/>
      <c r="GX17" s="25"/>
      <c r="GY17" s="25"/>
      <c r="GZ17" s="25"/>
      <c r="HA17" s="25"/>
      <c r="HB17" s="25"/>
      <c r="HC17" s="25"/>
      <c r="HD17" s="25"/>
      <c r="HE17" s="25"/>
      <c r="HF17" s="25"/>
      <c r="HG17" s="25"/>
      <c r="HH17" s="25"/>
      <c r="HI17" s="25"/>
      <c r="HJ17" s="25"/>
      <c r="HK17" s="25"/>
      <c r="HL17" s="25"/>
      <c r="HM17" s="25"/>
      <c r="HN17" s="25"/>
      <c r="HO17" s="25"/>
      <c r="HP17" s="25"/>
      <c r="HQ17" s="25"/>
      <c r="HR17" s="25"/>
      <c r="HS17" s="25"/>
      <c r="HT17" s="25"/>
      <c r="HV17" s="25"/>
      <c r="HW17" s="25"/>
      <c r="HX17" s="25"/>
      <c r="HY17" s="25"/>
      <c r="HZ17" s="25"/>
      <c r="IA17" s="25"/>
      <c r="IB17" s="25"/>
      <c r="IC17" s="25"/>
      <c r="ID17" s="25"/>
      <c r="IE17" s="25"/>
      <c r="IF17" s="25"/>
      <c r="IG17" s="25"/>
      <c r="IH17" s="25"/>
      <c r="II17" s="25"/>
      <c r="IJ17" s="25"/>
      <c r="IK17" s="25"/>
      <c r="IL17" s="25"/>
      <c r="IM17" s="25"/>
      <c r="IN17" s="25"/>
      <c r="IO17" s="25"/>
      <c r="IP17" s="25"/>
      <c r="IQ17" s="25"/>
      <c r="IR17" s="25"/>
      <c r="IS17" s="25"/>
      <c r="IT17" s="25"/>
      <c r="IU17" s="25"/>
      <c r="IV17" s="25"/>
      <c r="IW17" s="25"/>
      <c r="IX17" s="25"/>
      <c r="IY17" s="25"/>
      <c r="IZ17" s="25"/>
      <c r="JB17" s="19"/>
      <c r="JD17" s="29"/>
      <c r="JF17" s="3"/>
      <c r="JG17" s="3"/>
      <c r="JH17" s="3"/>
      <c r="JI17" s="3"/>
      <c r="JK17" s="35"/>
      <c r="JL17" s="81"/>
      <c r="JM17" s="81"/>
    </row>
    <row r="18" spans="2:273">
      <c r="B18" s="3"/>
      <c r="D18" s="39" t="str">
        <f t="shared" si="7"/>
        <v>-/-</v>
      </c>
      <c r="F18" s="3"/>
      <c r="H18" s="118"/>
      <c r="J18" s="118"/>
      <c r="L18" s="119"/>
      <c r="N18" s="118"/>
      <c r="O18" s="118"/>
      <c r="P18" s="118"/>
      <c r="Q18" s="118"/>
      <c r="R18" s="118"/>
      <c r="S18" s="118"/>
      <c r="U18" s="118"/>
      <c r="V18" s="118"/>
      <c r="W18" s="118"/>
      <c r="X18" s="118"/>
      <c r="Y18" s="118"/>
      <c r="Z18" s="118"/>
      <c r="AB18" s="118"/>
      <c r="AD18" s="19"/>
      <c r="AF18" s="19"/>
      <c r="AG18" s="19"/>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G18" s="23"/>
      <c r="FH18" s="23"/>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IZ18" s="25"/>
      <c r="JB18" s="19"/>
      <c r="JD18" s="29"/>
      <c r="JF18" s="3"/>
      <c r="JG18" s="3"/>
      <c r="JH18" s="3"/>
      <c r="JI18" s="3"/>
      <c r="JK18" s="35"/>
      <c r="JL18" s="81"/>
      <c r="JM18" s="81"/>
    </row>
    <row r="19" spans="2:273">
      <c r="B19" s="3"/>
      <c r="D19" s="39" t="str">
        <f t="shared" si="7"/>
        <v>-/-</v>
      </c>
      <c r="F19" s="3"/>
      <c r="H19" s="118"/>
      <c r="J19" s="118"/>
      <c r="L19" s="119"/>
      <c r="N19" s="118"/>
      <c r="O19" s="118"/>
      <c r="P19" s="118"/>
      <c r="Q19" s="118"/>
      <c r="R19" s="118"/>
      <c r="S19" s="118"/>
      <c r="U19" s="118"/>
      <c r="V19" s="118"/>
      <c r="W19" s="118"/>
      <c r="X19" s="118"/>
      <c r="Y19" s="118"/>
      <c r="Z19" s="118"/>
      <c r="AB19" s="118"/>
      <c r="AD19" s="19"/>
      <c r="AF19" s="19"/>
      <c r="AG19" s="19"/>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R19" s="25"/>
      <c r="CS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V19" s="25"/>
      <c r="DW19" s="25"/>
      <c r="DX19" s="25"/>
      <c r="DY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B19" s="25"/>
      <c r="FC19" s="25"/>
      <c r="FD19" s="25"/>
      <c r="FE19" s="25"/>
      <c r="FG19" s="23"/>
      <c r="FH19" s="23"/>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K19" s="25"/>
      <c r="GL19" s="25"/>
      <c r="GM19" s="25"/>
      <c r="GN19" s="25"/>
      <c r="GP19" s="25"/>
      <c r="GQ19" s="25"/>
      <c r="GR19" s="25"/>
      <c r="GS19" s="25"/>
      <c r="GT19" s="25"/>
      <c r="GU19" s="25"/>
      <c r="GV19" s="25"/>
      <c r="GW19" s="25"/>
      <c r="GX19" s="25"/>
      <c r="GY19" s="25"/>
      <c r="GZ19" s="25"/>
      <c r="HA19" s="25"/>
      <c r="HB19" s="25"/>
      <c r="HC19" s="25"/>
      <c r="HD19" s="25"/>
      <c r="HE19" s="25"/>
      <c r="HF19" s="25"/>
      <c r="HG19" s="25"/>
      <c r="HH19" s="25"/>
      <c r="HI19" s="25"/>
      <c r="HJ19" s="25"/>
      <c r="HK19" s="25"/>
      <c r="HL19" s="25"/>
      <c r="HM19" s="25"/>
      <c r="HN19" s="25"/>
      <c r="HO19" s="25"/>
      <c r="HP19" s="25"/>
      <c r="HQ19" s="25"/>
      <c r="HR19" s="25"/>
      <c r="HS19" s="25"/>
      <c r="HT19" s="25"/>
      <c r="HV19" s="25"/>
      <c r="HW19" s="25"/>
      <c r="HX19" s="25"/>
      <c r="HY19" s="25"/>
      <c r="HZ19" s="25"/>
      <c r="IA19" s="25"/>
      <c r="IB19" s="25"/>
      <c r="IC19" s="25"/>
      <c r="ID19" s="25"/>
      <c r="IE19" s="25"/>
      <c r="IF19" s="25"/>
      <c r="IG19" s="25"/>
      <c r="IH19" s="25"/>
      <c r="II19" s="25"/>
      <c r="IJ19" s="25"/>
      <c r="IK19" s="25"/>
      <c r="IL19" s="25"/>
      <c r="IM19" s="25"/>
      <c r="IN19" s="25"/>
      <c r="IO19" s="25"/>
      <c r="IP19" s="25"/>
      <c r="IQ19" s="25"/>
      <c r="IR19" s="25"/>
      <c r="IS19" s="25"/>
      <c r="IT19" s="25"/>
      <c r="IU19" s="25"/>
      <c r="IV19" s="25"/>
      <c r="IW19" s="25"/>
      <c r="IX19" s="25"/>
      <c r="IY19" s="25"/>
      <c r="IZ19" s="25"/>
      <c r="JB19" s="19"/>
      <c r="JD19" s="29"/>
      <c r="JF19" s="3"/>
      <c r="JG19" s="3"/>
      <c r="JH19" s="3"/>
      <c r="JI19" s="3"/>
      <c r="JK19" s="35"/>
      <c r="JL19" s="81"/>
      <c r="JM19" s="81"/>
    </row>
    <row r="20" spans="2:273">
      <c r="B20" s="3"/>
      <c r="D20" s="39" t="str">
        <f t="shared" si="7"/>
        <v>-/-</v>
      </c>
      <c r="F20" s="3"/>
      <c r="H20" s="118"/>
      <c r="J20" s="118"/>
      <c r="L20" s="119"/>
      <c r="N20" s="118"/>
      <c r="O20" s="118"/>
      <c r="P20" s="118"/>
      <c r="Q20" s="118"/>
      <c r="R20" s="118"/>
      <c r="S20" s="118"/>
      <c r="U20" s="118"/>
      <c r="V20" s="118"/>
      <c r="W20" s="118"/>
      <c r="X20" s="118"/>
      <c r="Y20" s="118"/>
      <c r="Z20" s="118"/>
      <c r="AB20" s="118"/>
      <c r="AD20" s="19"/>
      <c r="AF20" s="19"/>
      <c r="AG20" s="19"/>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R20" s="25"/>
      <c r="CS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V20" s="25"/>
      <c r="DW20" s="25"/>
      <c r="DX20" s="25"/>
      <c r="DY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B20" s="25"/>
      <c r="FC20" s="25"/>
      <c r="FD20" s="25"/>
      <c r="FE20" s="25"/>
      <c r="FG20" s="23"/>
      <c r="FH20" s="23"/>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K20" s="25"/>
      <c r="GL20" s="25"/>
      <c r="GM20" s="25"/>
      <c r="GN20" s="25"/>
      <c r="GP20" s="25"/>
      <c r="GQ20" s="25"/>
      <c r="GR20" s="25"/>
      <c r="GS20" s="25"/>
      <c r="GT20" s="25"/>
      <c r="GU20" s="25"/>
      <c r="GV20" s="25"/>
      <c r="GW20" s="25"/>
      <c r="GX20" s="25"/>
      <c r="GY20" s="25"/>
      <c r="GZ20" s="25"/>
      <c r="HA20" s="25"/>
      <c r="HB20" s="25"/>
      <c r="HC20" s="25"/>
      <c r="HD20" s="25"/>
      <c r="HE20" s="25"/>
      <c r="HF20" s="25"/>
      <c r="HG20" s="25"/>
      <c r="HH20" s="25"/>
      <c r="HI20" s="25"/>
      <c r="HJ20" s="25"/>
      <c r="HK20" s="25"/>
      <c r="HL20" s="25"/>
      <c r="HM20" s="25"/>
      <c r="HN20" s="25"/>
      <c r="HO20" s="25"/>
      <c r="HP20" s="25"/>
      <c r="HQ20" s="25"/>
      <c r="HR20" s="25"/>
      <c r="HS20" s="25"/>
      <c r="HT20" s="25"/>
      <c r="HV20" s="25"/>
      <c r="HW20" s="25"/>
      <c r="HX20" s="25"/>
      <c r="HY20" s="25"/>
      <c r="HZ20" s="25"/>
      <c r="IA20" s="25"/>
      <c r="IB20" s="25"/>
      <c r="IC20" s="25"/>
      <c r="ID20" s="25"/>
      <c r="IE20" s="25"/>
      <c r="IF20" s="25"/>
      <c r="IG20" s="25"/>
      <c r="IH20" s="25"/>
      <c r="II20" s="25"/>
      <c r="IJ20" s="25"/>
      <c r="IK20" s="25"/>
      <c r="IL20" s="25"/>
      <c r="IM20" s="25"/>
      <c r="IN20" s="25"/>
      <c r="IO20" s="25"/>
      <c r="IP20" s="25"/>
      <c r="IQ20" s="25"/>
      <c r="IR20" s="25"/>
      <c r="IS20" s="25"/>
      <c r="IT20" s="25"/>
      <c r="IU20" s="25"/>
      <c r="IV20" s="25"/>
      <c r="IW20" s="25"/>
      <c r="IX20" s="25"/>
      <c r="IY20" s="25"/>
      <c r="IZ20" s="25"/>
      <c r="JB20" s="19"/>
      <c r="JD20" s="29"/>
      <c r="JF20" s="3"/>
      <c r="JG20" s="3"/>
      <c r="JH20" s="3"/>
      <c r="JI20" s="3"/>
      <c r="JK20" s="35"/>
      <c r="JL20" s="81"/>
      <c r="JM20" s="81"/>
    </row>
    <row r="21" spans="2:273">
      <c r="B21" s="3"/>
      <c r="D21" s="39" t="str">
        <f t="shared" si="7"/>
        <v>-/-</v>
      </c>
      <c r="F21" s="3"/>
      <c r="H21" s="118"/>
      <c r="J21" s="118"/>
      <c r="L21" s="119"/>
      <c r="N21" s="118"/>
      <c r="O21" s="118"/>
      <c r="P21" s="118"/>
      <c r="Q21" s="118"/>
      <c r="R21" s="118"/>
      <c r="S21" s="118"/>
      <c r="U21" s="118"/>
      <c r="V21" s="118"/>
      <c r="W21" s="118"/>
      <c r="X21" s="118"/>
      <c r="Y21" s="118"/>
      <c r="Z21" s="118"/>
      <c r="AB21" s="118"/>
      <c r="AD21" s="19"/>
      <c r="AF21" s="19"/>
      <c r="AG21" s="19"/>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c r="BK21" s="25"/>
      <c r="BL21" s="25"/>
      <c r="BM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X21" s="25"/>
      <c r="DY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25"/>
      <c r="FB21" s="25"/>
      <c r="FC21" s="25"/>
      <c r="FD21" s="25"/>
      <c r="FE21" s="25"/>
      <c r="FG21" s="23"/>
      <c r="FH21" s="23"/>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H21" s="25"/>
      <c r="GI21" s="25"/>
      <c r="GJ21" s="25"/>
      <c r="GK21" s="25"/>
      <c r="GL21" s="25"/>
      <c r="GM21" s="25"/>
      <c r="GN21" s="25"/>
      <c r="GP21" s="25"/>
      <c r="GQ21" s="25"/>
      <c r="GR21" s="25"/>
      <c r="GS21" s="25"/>
      <c r="GT21" s="25"/>
      <c r="GU21" s="25"/>
      <c r="GV21" s="25"/>
      <c r="GW21" s="25"/>
      <c r="GX21" s="25"/>
      <c r="GY21" s="25"/>
      <c r="GZ21" s="25"/>
      <c r="HA21" s="25"/>
      <c r="HB21" s="25"/>
      <c r="HC21" s="25"/>
      <c r="HD21" s="25"/>
      <c r="HE21" s="25"/>
      <c r="HF21" s="25"/>
      <c r="HG21" s="25"/>
      <c r="HH21" s="25"/>
      <c r="HI21" s="25"/>
      <c r="HJ21" s="25"/>
      <c r="HK21" s="25"/>
      <c r="HL21" s="25"/>
      <c r="HM21" s="25"/>
      <c r="HN21" s="25"/>
      <c r="HO21" s="25"/>
      <c r="HP21" s="25"/>
      <c r="HQ21" s="25"/>
      <c r="HR21" s="25"/>
      <c r="HS21" s="25"/>
      <c r="HT21" s="25"/>
      <c r="HV21" s="25"/>
      <c r="HW21" s="25"/>
      <c r="HX21" s="25"/>
      <c r="HY21" s="25"/>
      <c r="HZ21" s="25"/>
      <c r="IA21" s="25"/>
      <c r="IB21" s="25"/>
      <c r="IC21" s="25"/>
      <c r="ID21" s="25"/>
      <c r="IE21" s="25"/>
      <c r="IF21" s="25"/>
      <c r="IG21" s="25"/>
      <c r="IH21" s="25"/>
      <c r="II21" s="25"/>
      <c r="IJ21" s="25"/>
      <c r="IK21" s="25"/>
      <c r="IL21" s="25"/>
      <c r="IM21" s="25"/>
      <c r="IN21" s="25"/>
      <c r="IO21" s="25"/>
      <c r="IP21" s="25"/>
      <c r="IQ21" s="25"/>
      <c r="IR21" s="25"/>
      <c r="IS21" s="25"/>
      <c r="IT21" s="25"/>
      <c r="IU21" s="25"/>
      <c r="IV21" s="25"/>
      <c r="IW21" s="25"/>
      <c r="IX21" s="25"/>
      <c r="IY21" s="25"/>
      <c r="IZ21" s="25"/>
      <c r="JB21" s="19"/>
      <c r="JD21" s="29"/>
      <c r="JF21" s="3"/>
      <c r="JG21" s="3"/>
      <c r="JH21" s="3"/>
      <c r="JI21" s="3"/>
      <c r="JK21" s="35"/>
      <c r="JL21" s="81"/>
      <c r="JM21" s="81"/>
    </row>
    <row r="22" spans="2:273">
      <c r="B22" s="3"/>
      <c r="D22" s="39" t="str">
        <f t="shared" si="7"/>
        <v>-/-</v>
      </c>
      <c r="F22" s="3"/>
      <c r="H22" s="118"/>
      <c r="J22" s="118"/>
      <c r="L22" s="119"/>
      <c r="N22" s="118"/>
      <c r="O22" s="118"/>
      <c r="P22" s="118"/>
      <c r="Q22" s="118"/>
      <c r="R22" s="118"/>
      <c r="S22" s="118"/>
      <c r="U22" s="118"/>
      <c r="V22" s="118"/>
      <c r="W22" s="118"/>
      <c r="X22" s="118"/>
      <c r="Y22" s="118"/>
      <c r="Z22" s="118"/>
      <c r="AB22" s="118"/>
      <c r="AD22" s="19"/>
      <c r="AF22" s="19"/>
      <c r="AG22" s="19"/>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c r="BK22" s="25"/>
      <c r="BL22" s="25"/>
      <c r="BM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V22" s="25"/>
      <c r="DW22" s="25"/>
      <c r="DX22" s="25"/>
      <c r="DY22" s="25"/>
      <c r="EA22" s="25"/>
      <c r="EB22" s="25"/>
      <c r="EC22" s="25"/>
      <c r="ED22" s="25"/>
      <c r="EE22" s="25"/>
      <c r="EF22" s="25"/>
      <c r="EG22" s="25"/>
      <c r="EH22" s="25"/>
      <c r="EI22" s="25"/>
      <c r="EJ22" s="25"/>
      <c r="EK22" s="25"/>
      <c r="EL22" s="25"/>
      <c r="EM22" s="25"/>
      <c r="EN22" s="25"/>
      <c r="EO22" s="25"/>
      <c r="EP22" s="25"/>
      <c r="EQ22" s="25"/>
      <c r="ER22" s="25"/>
      <c r="ES22" s="25"/>
      <c r="ET22" s="25"/>
      <c r="EU22" s="25"/>
      <c r="EV22" s="25"/>
      <c r="EW22" s="25"/>
      <c r="EX22" s="25"/>
      <c r="EY22" s="25"/>
      <c r="EZ22" s="25"/>
      <c r="FA22" s="25"/>
      <c r="FB22" s="25"/>
      <c r="FC22" s="25"/>
      <c r="FD22" s="25"/>
      <c r="FE22" s="25"/>
      <c r="FG22" s="23"/>
      <c r="FH22" s="23"/>
      <c r="FJ22" s="25"/>
      <c r="FK22" s="25"/>
      <c r="FL22" s="25"/>
      <c r="FM22" s="25"/>
      <c r="FN22" s="25"/>
      <c r="FO22" s="25"/>
      <c r="FP22" s="25"/>
      <c r="FQ22" s="25"/>
      <c r="FR22" s="25"/>
      <c r="FS22" s="25"/>
      <c r="FT22" s="25"/>
      <c r="FU22" s="25"/>
      <c r="FV22" s="25"/>
      <c r="FW22" s="25"/>
      <c r="FX22" s="25"/>
      <c r="FY22" s="25"/>
      <c r="FZ22" s="25"/>
      <c r="GA22" s="25"/>
      <c r="GB22" s="25"/>
      <c r="GC22" s="25"/>
      <c r="GD22" s="25"/>
      <c r="GE22" s="25"/>
      <c r="GF22" s="25"/>
      <c r="GG22" s="25"/>
      <c r="GH22" s="25"/>
      <c r="GI22" s="25"/>
      <c r="GJ22" s="25"/>
      <c r="GK22" s="25"/>
      <c r="GL22" s="25"/>
      <c r="GM22" s="25"/>
      <c r="GN22" s="25"/>
      <c r="GP22" s="25"/>
      <c r="GQ22" s="25"/>
      <c r="GR22" s="25"/>
      <c r="GS22" s="25"/>
      <c r="GT22" s="25"/>
      <c r="GU22" s="25"/>
      <c r="GV22" s="25"/>
      <c r="GW22" s="25"/>
      <c r="GX22" s="25"/>
      <c r="GY22" s="25"/>
      <c r="GZ22" s="25"/>
      <c r="HA22" s="25"/>
      <c r="HB22" s="25"/>
      <c r="HC22" s="25"/>
      <c r="HD22" s="25"/>
      <c r="HE22" s="25"/>
      <c r="HF22" s="25"/>
      <c r="HG22" s="25"/>
      <c r="HH22" s="25"/>
      <c r="HI22" s="25"/>
      <c r="HJ22" s="25"/>
      <c r="HK22" s="25"/>
      <c r="HL22" s="25"/>
      <c r="HM22" s="25"/>
      <c r="HN22" s="25"/>
      <c r="HO22" s="25"/>
      <c r="HP22" s="25"/>
      <c r="HQ22" s="25"/>
      <c r="HR22" s="25"/>
      <c r="HS22" s="25"/>
      <c r="HT22" s="25"/>
      <c r="HV22" s="25"/>
      <c r="HW22" s="25"/>
      <c r="HX22" s="25"/>
      <c r="HY22" s="25"/>
      <c r="HZ22" s="25"/>
      <c r="IA22" s="25"/>
      <c r="IB22" s="25"/>
      <c r="IC22" s="25"/>
      <c r="ID22" s="25"/>
      <c r="IE22" s="25"/>
      <c r="IF22" s="25"/>
      <c r="IG22" s="25"/>
      <c r="IH22" s="25"/>
      <c r="II22" s="25"/>
      <c r="IJ22" s="25"/>
      <c r="IK22" s="25"/>
      <c r="IL22" s="25"/>
      <c r="IM22" s="25"/>
      <c r="IN22" s="25"/>
      <c r="IO22" s="25"/>
      <c r="IP22" s="25"/>
      <c r="IQ22" s="25"/>
      <c r="IR22" s="25"/>
      <c r="IS22" s="25"/>
      <c r="IT22" s="25"/>
      <c r="IU22" s="25"/>
      <c r="IV22" s="25"/>
      <c r="IW22" s="25"/>
      <c r="IX22" s="25"/>
      <c r="IY22" s="25"/>
      <c r="IZ22" s="25"/>
      <c r="JB22" s="19"/>
      <c r="JD22" s="29"/>
      <c r="JF22" s="3"/>
      <c r="JG22" s="3"/>
      <c r="JH22" s="3"/>
      <c r="JI22" s="3"/>
      <c r="JK22" s="35"/>
      <c r="JL22" s="81"/>
      <c r="JM22" s="81"/>
    </row>
    <row r="23" spans="2:273">
      <c r="B23" s="3"/>
      <c r="D23" s="39" t="str">
        <f t="shared" si="7"/>
        <v>-/-</v>
      </c>
      <c r="F23" s="3"/>
      <c r="H23" s="118"/>
      <c r="J23" s="118"/>
      <c r="L23" s="119"/>
      <c r="N23" s="118"/>
      <c r="O23" s="118"/>
      <c r="P23" s="118"/>
      <c r="Q23" s="118"/>
      <c r="R23" s="118"/>
      <c r="S23" s="118"/>
      <c r="U23" s="118"/>
      <c r="V23" s="118"/>
      <c r="W23" s="118"/>
      <c r="X23" s="118"/>
      <c r="Y23" s="118"/>
      <c r="Z23" s="118"/>
      <c r="AB23" s="118"/>
      <c r="AD23" s="19"/>
      <c r="AF23" s="19"/>
      <c r="AG23" s="19"/>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c r="BK23" s="25"/>
      <c r="BL23" s="25"/>
      <c r="BM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X23" s="25"/>
      <c r="DY23" s="25"/>
      <c r="EA23" s="25"/>
      <c r="EB23" s="25"/>
      <c r="EC23" s="25"/>
      <c r="ED23" s="25"/>
      <c r="EE23" s="25"/>
      <c r="EF23" s="25"/>
      <c r="EG23" s="25"/>
      <c r="EH23" s="25"/>
      <c r="EI23" s="25"/>
      <c r="EJ23" s="25"/>
      <c r="EK23" s="25"/>
      <c r="EL23" s="25"/>
      <c r="EM23" s="25"/>
      <c r="EN23" s="25"/>
      <c r="EO23" s="25"/>
      <c r="EP23" s="25"/>
      <c r="EQ23" s="25"/>
      <c r="ER23" s="25"/>
      <c r="ES23" s="25"/>
      <c r="ET23" s="25"/>
      <c r="EU23" s="25"/>
      <c r="EV23" s="25"/>
      <c r="EW23" s="25"/>
      <c r="EX23" s="25"/>
      <c r="EY23" s="25"/>
      <c r="EZ23" s="25"/>
      <c r="FA23" s="25"/>
      <c r="FB23" s="25"/>
      <c r="FC23" s="25"/>
      <c r="FD23" s="25"/>
      <c r="FE23" s="25"/>
      <c r="FG23" s="23"/>
      <c r="FH23" s="23"/>
      <c r="FJ23" s="25"/>
      <c r="FK23" s="25"/>
      <c r="FL23" s="25"/>
      <c r="FM23" s="25"/>
      <c r="FN23" s="25"/>
      <c r="FO23" s="25"/>
      <c r="FP23" s="25"/>
      <c r="FQ23" s="25"/>
      <c r="FR23" s="25"/>
      <c r="FS23" s="25"/>
      <c r="FT23" s="25"/>
      <c r="FU23" s="25"/>
      <c r="FV23" s="25"/>
      <c r="FW23" s="25"/>
      <c r="FX23" s="25"/>
      <c r="FY23" s="25"/>
      <c r="FZ23" s="25"/>
      <c r="GA23" s="25"/>
      <c r="GB23" s="25"/>
      <c r="GC23" s="25"/>
      <c r="GD23" s="25"/>
      <c r="GE23" s="25"/>
      <c r="GF23" s="25"/>
      <c r="GG23" s="25"/>
      <c r="GH23" s="25"/>
      <c r="GI23" s="25"/>
      <c r="GJ23" s="25"/>
      <c r="GK23" s="25"/>
      <c r="GL23" s="25"/>
      <c r="GM23" s="25"/>
      <c r="GN23" s="25"/>
      <c r="GP23" s="25"/>
      <c r="GQ23" s="25"/>
      <c r="GR23" s="25"/>
      <c r="GS23" s="25"/>
      <c r="GT23" s="25"/>
      <c r="GU23" s="25"/>
      <c r="GV23" s="25"/>
      <c r="GW23" s="25"/>
      <c r="GX23" s="25"/>
      <c r="GY23" s="25"/>
      <c r="GZ23" s="25"/>
      <c r="HA23" s="25"/>
      <c r="HB23" s="25"/>
      <c r="HC23" s="25"/>
      <c r="HD23" s="25"/>
      <c r="HE23" s="25"/>
      <c r="HF23" s="25"/>
      <c r="HG23" s="25"/>
      <c r="HH23" s="25"/>
      <c r="HI23" s="25"/>
      <c r="HJ23" s="25"/>
      <c r="HK23" s="25"/>
      <c r="HL23" s="25"/>
      <c r="HM23" s="25"/>
      <c r="HN23" s="25"/>
      <c r="HO23" s="25"/>
      <c r="HP23" s="25"/>
      <c r="HQ23" s="25"/>
      <c r="HR23" s="25"/>
      <c r="HS23" s="25"/>
      <c r="HT23" s="25"/>
      <c r="HV23" s="25"/>
      <c r="HW23" s="25"/>
      <c r="HX23" s="25"/>
      <c r="HY23" s="25"/>
      <c r="HZ23" s="25"/>
      <c r="IA23" s="25"/>
      <c r="IB23" s="25"/>
      <c r="IC23" s="25"/>
      <c r="ID23" s="25"/>
      <c r="IE23" s="25"/>
      <c r="IF23" s="25"/>
      <c r="IG23" s="25"/>
      <c r="IH23" s="25"/>
      <c r="II23" s="25"/>
      <c r="IJ23" s="25"/>
      <c r="IK23" s="25"/>
      <c r="IL23" s="25"/>
      <c r="IM23" s="25"/>
      <c r="IN23" s="25"/>
      <c r="IO23" s="25"/>
      <c r="IP23" s="25"/>
      <c r="IQ23" s="25"/>
      <c r="IR23" s="25"/>
      <c r="IS23" s="25"/>
      <c r="IT23" s="25"/>
      <c r="IU23" s="25"/>
      <c r="IV23" s="25"/>
      <c r="IW23" s="25"/>
      <c r="IX23" s="25"/>
      <c r="IY23" s="25"/>
      <c r="IZ23" s="25"/>
      <c r="JB23" s="19"/>
      <c r="JD23" s="29"/>
      <c r="JF23" s="3"/>
      <c r="JG23" s="3"/>
      <c r="JH23" s="3"/>
      <c r="JI23" s="3"/>
      <c r="JK23" s="35"/>
      <c r="JL23" s="81"/>
      <c r="JM23" s="81"/>
    </row>
    <row r="24" spans="2:273">
      <c r="B24" s="3"/>
      <c r="D24" s="39" t="str">
        <f t="shared" si="7"/>
        <v>-/-</v>
      </c>
      <c r="F24" s="3"/>
      <c r="H24" s="118"/>
      <c r="J24" s="118"/>
      <c r="L24" s="119"/>
      <c r="N24" s="118"/>
      <c r="O24" s="118"/>
      <c r="P24" s="118"/>
      <c r="Q24" s="118"/>
      <c r="R24" s="118"/>
      <c r="S24" s="118"/>
      <c r="U24" s="118"/>
      <c r="V24" s="118"/>
      <c r="W24" s="118"/>
      <c r="X24" s="118"/>
      <c r="Y24" s="118"/>
      <c r="Z24" s="118"/>
      <c r="AB24" s="118"/>
      <c r="AD24" s="19"/>
      <c r="AF24" s="19"/>
      <c r="AG24" s="19"/>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G24" s="23"/>
      <c r="FH24" s="23"/>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T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W24" s="25"/>
      <c r="IX24" s="25"/>
      <c r="IY24" s="25"/>
      <c r="IZ24" s="25"/>
      <c r="JB24" s="19"/>
      <c r="JD24" s="29"/>
      <c r="JF24" s="3"/>
      <c r="JG24" s="3"/>
      <c r="JH24" s="3"/>
      <c r="JI24" s="3"/>
      <c r="JK24" s="35"/>
      <c r="JL24" s="81"/>
      <c r="JM24" s="81"/>
    </row>
    <row r="25" spans="2:273">
      <c r="B25" s="3"/>
      <c r="D25" s="39" t="str">
        <f t="shared" si="7"/>
        <v>-/-</v>
      </c>
      <c r="F25" s="3"/>
      <c r="H25" s="118"/>
      <c r="J25" s="118"/>
      <c r="L25" s="119"/>
      <c r="N25" s="118"/>
      <c r="O25" s="118"/>
      <c r="P25" s="118"/>
      <c r="Q25" s="118"/>
      <c r="R25" s="118"/>
      <c r="S25" s="118"/>
      <c r="U25" s="118"/>
      <c r="V25" s="118"/>
      <c r="W25" s="118"/>
      <c r="X25" s="118"/>
      <c r="Y25" s="118"/>
      <c r="Z25" s="118"/>
      <c r="AB25" s="118"/>
      <c r="AD25" s="19"/>
      <c r="AF25" s="19"/>
      <c r="AG25" s="19"/>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EA25" s="25"/>
      <c r="EB25" s="25"/>
      <c r="EC25" s="25"/>
      <c r="ED25" s="25"/>
      <c r="EE25" s="25"/>
      <c r="EF25" s="25"/>
      <c r="EG25" s="25"/>
      <c r="EH25" s="25"/>
      <c r="EI25" s="25"/>
      <c r="EJ25" s="25"/>
      <c r="EK25" s="25"/>
      <c r="EL25" s="25"/>
      <c r="EM25" s="25"/>
      <c r="EN25" s="25"/>
      <c r="EO25" s="25"/>
      <c r="EP25" s="25"/>
      <c r="EQ25" s="25"/>
      <c r="ER25" s="25"/>
      <c r="ES25" s="25"/>
      <c r="ET25" s="25"/>
      <c r="EU25" s="25"/>
      <c r="EV25" s="25"/>
      <c r="EW25" s="25"/>
      <c r="EX25" s="25"/>
      <c r="EY25" s="25"/>
      <c r="EZ25" s="25"/>
      <c r="FA25" s="25"/>
      <c r="FB25" s="25"/>
      <c r="FC25" s="25"/>
      <c r="FD25" s="25"/>
      <c r="FE25" s="25"/>
      <c r="FG25" s="23"/>
      <c r="FH25" s="23"/>
      <c r="FJ25" s="25"/>
      <c r="FK25" s="25"/>
      <c r="FL25" s="25"/>
      <c r="FM25" s="25"/>
      <c r="FN25" s="25"/>
      <c r="FO25" s="25"/>
      <c r="FP25" s="25"/>
      <c r="FQ25" s="25"/>
      <c r="FR25" s="25"/>
      <c r="FS25" s="25"/>
      <c r="FT25" s="25"/>
      <c r="FU25" s="25"/>
      <c r="FV25" s="25"/>
      <c r="FW25" s="25"/>
      <c r="FX25" s="25"/>
      <c r="FY25" s="25"/>
      <c r="FZ25" s="25"/>
      <c r="GA25" s="25"/>
      <c r="GB25" s="25"/>
      <c r="GC25" s="25"/>
      <c r="GD25" s="25"/>
      <c r="GE25" s="25"/>
      <c r="GF25" s="25"/>
      <c r="GG25" s="25"/>
      <c r="GH25" s="25"/>
      <c r="GI25" s="25"/>
      <c r="GJ25" s="25"/>
      <c r="GK25" s="25"/>
      <c r="GL25" s="25"/>
      <c r="GM25" s="25"/>
      <c r="GN25" s="25"/>
      <c r="GP25" s="25"/>
      <c r="GQ25" s="25"/>
      <c r="GR25" s="25"/>
      <c r="GS25" s="25"/>
      <c r="GT25" s="25"/>
      <c r="GU25" s="25"/>
      <c r="GV25" s="25"/>
      <c r="GW25" s="25"/>
      <c r="GX25" s="25"/>
      <c r="GY25" s="25"/>
      <c r="GZ25" s="25"/>
      <c r="HA25" s="25"/>
      <c r="HB25" s="25"/>
      <c r="HC25" s="25"/>
      <c r="HD25" s="25"/>
      <c r="HE25" s="25"/>
      <c r="HF25" s="25"/>
      <c r="HG25" s="25"/>
      <c r="HH25" s="25"/>
      <c r="HI25" s="25"/>
      <c r="HJ25" s="25"/>
      <c r="HK25" s="25"/>
      <c r="HL25" s="25"/>
      <c r="HM25" s="25"/>
      <c r="HN25" s="25"/>
      <c r="HO25" s="25"/>
      <c r="HP25" s="25"/>
      <c r="HQ25" s="25"/>
      <c r="HR25" s="25"/>
      <c r="HS25" s="25"/>
      <c r="HT25" s="25"/>
      <c r="HV25" s="25"/>
      <c r="HW25" s="25"/>
      <c r="HX25" s="25"/>
      <c r="HY25" s="25"/>
      <c r="HZ25" s="25"/>
      <c r="IA25" s="25"/>
      <c r="IB25" s="25"/>
      <c r="IC25" s="25"/>
      <c r="ID25" s="25"/>
      <c r="IE25" s="25"/>
      <c r="IF25" s="25"/>
      <c r="IG25" s="25"/>
      <c r="IH25" s="25"/>
      <c r="II25" s="25"/>
      <c r="IJ25" s="25"/>
      <c r="IK25" s="25"/>
      <c r="IL25" s="25"/>
      <c r="IM25" s="25"/>
      <c r="IN25" s="25"/>
      <c r="IO25" s="25"/>
      <c r="IP25" s="25"/>
      <c r="IQ25" s="25"/>
      <c r="IR25" s="25"/>
      <c r="IS25" s="25"/>
      <c r="IT25" s="25"/>
      <c r="IU25" s="25"/>
      <c r="IV25" s="25"/>
      <c r="IW25" s="25"/>
      <c r="IX25" s="25"/>
      <c r="IY25" s="25"/>
      <c r="IZ25" s="25"/>
      <c r="JB25" s="19"/>
      <c r="JD25" s="29"/>
      <c r="JF25" s="3"/>
      <c r="JG25" s="3"/>
      <c r="JH25" s="3"/>
      <c r="JI25" s="3"/>
      <c r="JK25" s="35"/>
      <c r="JL25" s="81"/>
      <c r="JM25" s="81"/>
    </row>
    <row r="26" spans="2:273">
      <c r="B26" s="3"/>
      <c r="D26" s="39" t="str">
        <f t="shared" si="7"/>
        <v>-/-</v>
      </c>
      <c r="F26" s="3"/>
      <c r="H26" s="118"/>
      <c r="J26" s="118"/>
      <c r="L26" s="119"/>
      <c r="N26" s="118"/>
      <c r="O26" s="118"/>
      <c r="P26" s="118"/>
      <c r="Q26" s="118"/>
      <c r="R26" s="118"/>
      <c r="S26" s="118"/>
      <c r="U26" s="118"/>
      <c r="V26" s="118"/>
      <c r="W26" s="118"/>
      <c r="X26" s="118"/>
      <c r="Y26" s="118"/>
      <c r="Z26" s="118"/>
      <c r="AB26" s="118"/>
      <c r="AD26" s="19"/>
      <c r="AF26" s="19"/>
      <c r="AG26" s="19"/>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c r="BK26" s="25"/>
      <c r="BL26" s="25"/>
      <c r="BM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G26" s="23"/>
      <c r="FH26" s="23"/>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N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N26" s="25"/>
      <c r="HO26" s="25"/>
      <c r="HP26" s="25"/>
      <c r="HQ26" s="25"/>
      <c r="HR26" s="25"/>
      <c r="HS26" s="25"/>
      <c r="HT26" s="25"/>
      <c r="HV26" s="25"/>
      <c r="HW26" s="25"/>
      <c r="HX26" s="25"/>
      <c r="HY26" s="25"/>
      <c r="HZ26" s="25"/>
      <c r="IA26" s="25"/>
      <c r="IB26" s="25"/>
      <c r="IC26" s="25"/>
      <c r="ID26" s="25"/>
      <c r="IE26" s="25"/>
      <c r="IF26" s="25"/>
      <c r="IG26" s="25"/>
      <c r="IH26" s="25"/>
      <c r="II26" s="25"/>
      <c r="IJ26" s="25"/>
      <c r="IK26" s="25"/>
      <c r="IL26" s="25"/>
      <c r="IM26" s="25"/>
      <c r="IN26" s="25"/>
      <c r="IO26" s="25"/>
      <c r="IP26" s="25"/>
      <c r="IQ26" s="25"/>
      <c r="IR26" s="25"/>
      <c r="IS26" s="25"/>
      <c r="IT26" s="25"/>
      <c r="IU26" s="25"/>
      <c r="IV26" s="25"/>
      <c r="IW26" s="25"/>
      <c r="IX26" s="25"/>
      <c r="IY26" s="25"/>
      <c r="IZ26" s="25"/>
      <c r="JB26" s="19"/>
      <c r="JD26" s="29"/>
      <c r="JF26" s="3"/>
      <c r="JG26" s="3"/>
      <c r="JH26" s="3"/>
      <c r="JI26" s="3"/>
      <c r="JK26" s="35"/>
      <c r="JL26" s="81"/>
      <c r="JM26" s="81"/>
    </row>
    <row r="27" spans="2:273">
      <c r="B27" s="3"/>
      <c r="D27" s="39" t="str">
        <f t="shared" si="7"/>
        <v>-/-</v>
      </c>
      <c r="F27" s="3"/>
      <c r="H27" s="118"/>
      <c r="J27" s="118"/>
      <c r="L27" s="119"/>
      <c r="N27" s="118"/>
      <c r="O27" s="118"/>
      <c r="P27" s="118"/>
      <c r="Q27" s="118"/>
      <c r="R27" s="118"/>
      <c r="S27" s="118"/>
      <c r="U27" s="118"/>
      <c r="V27" s="118"/>
      <c r="W27" s="118"/>
      <c r="X27" s="118"/>
      <c r="Y27" s="118"/>
      <c r="Z27" s="118"/>
      <c r="AB27" s="118"/>
      <c r="AD27" s="19"/>
      <c r="AF27" s="19"/>
      <c r="AG27" s="19"/>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V27" s="25"/>
      <c r="DW27" s="25"/>
      <c r="DX27" s="25"/>
      <c r="DY27" s="2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B27" s="25"/>
      <c r="FC27" s="25"/>
      <c r="FD27" s="25"/>
      <c r="FE27" s="25"/>
      <c r="FG27" s="23"/>
      <c r="FH27" s="23"/>
      <c r="FJ27" s="25"/>
      <c r="FK27" s="25"/>
      <c r="FL27" s="25"/>
      <c r="FM27" s="25"/>
      <c r="FN27" s="25"/>
      <c r="FO27" s="25"/>
      <c r="FP27" s="25"/>
      <c r="FQ27" s="25"/>
      <c r="FR27" s="25"/>
      <c r="FS27" s="25"/>
      <c r="FT27" s="25"/>
      <c r="FU27" s="25"/>
      <c r="FV27" s="25"/>
      <c r="FW27" s="25"/>
      <c r="FX27" s="25"/>
      <c r="FY27" s="25"/>
      <c r="FZ27" s="25"/>
      <c r="GA27" s="25"/>
      <c r="GB27" s="25"/>
      <c r="GC27" s="25"/>
      <c r="GD27" s="25"/>
      <c r="GE27" s="25"/>
      <c r="GF27" s="25"/>
      <c r="GG27" s="25"/>
      <c r="GH27" s="25"/>
      <c r="GI27" s="25"/>
      <c r="GJ27" s="25"/>
      <c r="GK27" s="25"/>
      <c r="GL27" s="25"/>
      <c r="GM27" s="25"/>
      <c r="GN27" s="25"/>
      <c r="GP27" s="25"/>
      <c r="GQ27" s="25"/>
      <c r="GR27" s="25"/>
      <c r="GS27" s="25"/>
      <c r="GT27" s="25"/>
      <c r="GU27" s="25"/>
      <c r="GV27" s="25"/>
      <c r="GW27" s="25"/>
      <c r="GX27" s="25"/>
      <c r="GY27" s="25"/>
      <c r="GZ27" s="25"/>
      <c r="HA27" s="25"/>
      <c r="HB27" s="25"/>
      <c r="HC27" s="25"/>
      <c r="HD27" s="25"/>
      <c r="HE27" s="25"/>
      <c r="HF27" s="25"/>
      <c r="HG27" s="25"/>
      <c r="HH27" s="25"/>
      <c r="HI27" s="25"/>
      <c r="HJ27" s="25"/>
      <c r="HK27" s="25"/>
      <c r="HL27" s="25"/>
      <c r="HM27" s="25"/>
      <c r="HN27" s="25"/>
      <c r="HO27" s="25"/>
      <c r="HP27" s="25"/>
      <c r="HQ27" s="25"/>
      <c r="HR27" s="25"/>
      <c r="HS27" s="25"/>
      <c r="HT27" s="25"/>
      <c r="HV27" s="25"/>
      <c r="HW27" s="25"/>
      <c r="HX27" s="25"/>
      <c r="HY27" s="25"/>
      <c r="HZ27" s="25"/>
      <c r="IA27" s="25"/>
      <c r="IB27" s="25"/>
      <c r="IC27" s="25"/>
      <c r="ID27" s="25"/>
      <c r="IE27" s="25"/>
      <c r="IF27" s="25"/>
      <c r="IG27" s="25"/>
      <c r="IH27" s="25"/>
      <c r="II27" s="25"/>
      <c r="IJ27" s="25"/>
      <c r="IK27" s="25"/>
      <c r="IL27" s="25"/>
      <c r="IM27" s="25"/>
      <c r="IN27" s="25"/>
      <c r="IO27" s="25"/>
      <c r="IP27" s="25"/>
      <c r="IQ27" s="25"/>
      <c r="IR27" s="25"/>
      <c r="IS27" s="25"/>
      <c r="IT27" s="25"/>
      <c r="IU27" s="25"/>
      <c r="IV27" s="25"/>
      <c r="IW27" s="25"/>
      <c r="IX27" s="25"/>
      <c r="IY27" s="25"/>
      <c r="IZ27" s="25"/>
      <c r="JB27" s="19"/>
      <c r="JD27" s="29"/>
      <c r="JF27" s="3"/>
      <c r="JG27" s="3"/>
      <c r="JH27" s="3"/>
      <c r="JI27" s="3"/>
      <c r="JK27" s="35"/>
      <c r="JL27" s="81"/>
      <c r="JM27" s="81"/>
    </row>
    <row r="28" spans="2:273">
      <c r="B28" s="3"/>
      <c r="D28" s="39" t="str">
        <f t="shared" si="7"/>
        <v>-/-</v>
      </c>
      <c r="F28" s="3"/>
      <c r="H28" s="118"/>
      <c r="J28" s="118"/>
      <c r="L28" s="119"/>
      <c r="N28" s="118"/>
      <c r="O28" s="118"/>
      <c r="P28" s="118"/>
      <c r="Q28" s="118"/>
      <c r="R28" s="118"/>
      <c r="S28" s="118"/>
      <c r="U28" s="118"/>
      <c r="V28" s="118"/>
      <c r="W28" s="118"/>
      <c r="X28" s="118"/>
      <c r="Y28" s="118"/>
      <c r="Z28" s="118"/>
      <c r="AB28" s="118"/>
      <c r="AD28" s="19"/>
      <c r="AF28" s="19"/>
      <c r="AG28" s="19"/>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D28" s="25"/>
      <c r="FE28" s="25"/>
      <c r="FG28" s="23"/>
      <c r="FH28" s="23"/>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H28" s="25"/>
      <c r="GI28" s="25"/>
      <c r="GJ28" s="25"/>
      <c r="GK28" s="25"/>
      <c r="GL28" s="25"/>
      <c r="GM28" s="25"/>
      <c r="GN28" s="25"/>
      <c r="GP28" s="25"/>
      <c r="GQ28" s="25"/>
      <c r="GR28" s="25"/>
      <c r="GS28" s="25"/>
      <c r="GT28" s="25"/>
      <c r="GU28" s="25"/>
      <c r="GV28" s="25"/>
      <c r="GW28" s="25"/>
      <c r="GX28" s="25"/>
      <c r="GY28" s="25"/>
      <c r="GZ28" s="25"/>
      <c r="HA28" s="25"/>
      <c r="HB28" s="25"/>
      <c r="HC28" s="25"/>
      <c r="HD28" s="25"/>
      <c r="HE28" s="25"/>
      <c r="HF28" s="25"/>
      <c r="HG28" s="25"/>
      <c r="HH28" s="25"/>
      <c r="HI28" s="25"/>
      <c r="HJ28" s="25"/>
      <c r="HK28" s="25"/>
      <c r="HL28" s="25"/>
      <c r="HM28" s="25"/>
      <c r="HN28" s="25"/>
      <c r="HO28" s="25"/>
      <c r="HP28" s="25"/>
      <c r="HQ28" s="25"/>
      <c r="HR28" s="25"/>
      <c r="HS28" s="25"/>
      <c r="HT28" s="25"/>
      <c r="HV28" s="25"/>
      <c r="HW28" s="25"/>
      <c r="HX28" s="25"/>
      <c r="HY28" s="25"/>
      <c r="HZ28" s="25"/>
      <c r="IA28" s="25"/>
      <c r="IB28" s="25"/>
      <c r="IC28" s="25"/>
      <c r="ID28" s="25"/>
      <c r="IE28" s="25"/>
      <c r="IF28" s="25"/>
      <c r="IG28" s="25"/>
      <c r="IH28" s="25"/>
      <c r="II28" s="25"/>
      <c r="IJ28" s="25"/>
      <c r="IK28" s="25"/>
      <c r="IL28" s="25"/>
      <c r="IM28" s="25"/>
      <c r="IN28" s="25"/>
      <c r="IO28" s="25"/>
      <c r="IP28" s="25"/>
      <c r="IQ28" s="25"/>
      <c r="IR28" s="25"/>
      <c r="IS28" s="25"/>
      <c r="IT28" s="25"/>
      <c r="IU28" s="25"/>
      <c r="IV28" s="25"/>
      <c r="IW28" s="25"/>
      <c r="IX28" s="25"/>
      <c r="IY28" s="25"/>
      <c r="IZ28" s="25"/>
      <c r="JB28" s="19"/>
      <c r="JD28" s="29"/>
      <c r="JF28" s="3"/>
      <c r="JG28" s="3"/>
      <c r="JH28" s="3"/>
      <c r="JI28" s="3"/>
      <c r="JK28" s="35"/>
      <c r="JL28" s="81"/>
      <c r="JM28" s="81"/>
    </row>
    <row r="29" spans="2:273">
      <c r="B29" s="3"/>
      <c r="D29" s="39" t="str">
        <f t="shared" si="7"/>
        <v>-/-</v>
      </c>
      <c r="F29" s="3"/>
      <c r="H29" s="118"/>
      <c r="J29" s="118"/>
      <c r="L29" s="119"/>
      <c r="N29" s="118"/>
      <c r="O29" s="118"/>
      <c r="P29" s="118"/>
      <c r="Q29" s="118"/>
      <c r="R29" s="118"/>
      <c r="S29" s="118"/>
      <c r="U29" s="118"/>
      <c r="V29" s="118"/>
      <c r="W29" s="118"/>
      <c r="X29" s="118"/>
      <c r="Y29" s="118"/>
      <c r="Z29" s="118"/>
      <c r="AB29" s="118"/>
      <c r="AD29" s="19"/>
      <c r="AF29" s="19"/>
      <c r="AG29" s="19"/>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c r="BK29" s="25"/>
      <c r="BL29" s="25"/>
      <c r="BM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R29" s="25"/>
      <c r="CS29" s="25"/>
      <c r="CU29" s="25"/>
      <c r="CV29" s="25"/>
      <c r="CW29" s="25"/>
      <c r="CX29" s="25"/>
      <c r="CY29" s="25"/>
      <c r="CZ29" s="25"/>
      <c r="DA29" s="25"/>
      <c r="DB29" s="25"/>
      <c r="DC29" s="25"/>
      <c r="DD29" s="25"/>
      <c r="DE29" s="25"/>
      <c r="DF29" s="25"/>
      <c r="DG29" s="25"/>
      <c r="DH29" s="25"/>
      <c r="DI29" s="25"/>
      <c r="DJ29" s="25"/>
      <c r="DK29" s="25"/>
      <c r="DL29" s="25"/>
      <c r="DM29" s="25"/>
      <c r="DN29" s="25"/>
      <c r="DO29" s="25"/>
      <c r="DP29" s="25"/>
      <c r="DQ29" s="25"/>
      <c r="DR29" s="25"/>
      <c r="DS29" s="25"/>
      <c r="DT29" s="25"/>
      <c r="DU29" s="25"/>
      <c r="DV29" s="25"/>
      <c r="DW29" s="25"/>
      <c r="DX29" s="25"/>
      <c r="DY29" s="2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B29" s="25"/>
      <c r="FC29" s="25"/>
      <c r="FD29" s="25"/>
      <c r="FE29" s="25"/>
      <c r="FG29" s="23"/>
      <c r="FH29" s="23"/>
      <c r="FJ29" s="25"/>
      <c r="FK29" s="25"/>
      <c r="FL29" s="25"/>
      <c r="FM29" s="25"/>
      <c r="FN29" s="25"/>
      <c r="FO29" s="25"/>
      <c r="FP29" s="25"/>
      <c r="FQ29" s="25"/>
      <c r="FR29" s="25"/>
      <c r="FS29" s="25"/>
      <c r="FT29" s="25"/>
      <c r="FU29" s="25"/>
      <c r="FV29" s="25"/>
      <c r="FW29" s="25"/>
      <c r="FX29" s="25"/>
      <c r="FY29" s="25"/>
      <c r="FZ29" s="25"/>
      <c r="GA29" s="25"/>
      <c r="GB29" s="25"/>
      <c r="GC29" s="25"/>
      <c r="GD29" s="25"/>
      <c r="GE29" s="25"/>
      <c r="GF29" s="25"/>
      <c r="GG29" s="25"/>
      <c r="GH29" s="25"/>
      <c r="GI29" s="25"/>
      <c r="GJ29" s="25"/>
      <c r="GK29" s="25"/>
      <c r="GL29" s="25"/>
      <c r="GM29" s="25"/>
      <c r="GN29" s="25"/>
      <c r="GP29" s="25"/>
      <c r="GQ29" s="25"/>
      <c r="GR29" s="25"/>
      <c r="GS29" s="25"/>
      <c r="GT29" s="25"/>
      <c r="GU29" s="25"/>
      <c r="GV29" s="25"/>
      <c r="GW29" s="25"/>
      <c r="GX29" s="25"/>
      <c r="GY29" s="25"/>
      <c r="GZ29" s="25"/>
      <c r="HA29" s="25"/>
      <c r="HB29" s="25"/>
      <c r="HC29" s="25"/>
      <c r="HD29" s="25"/>
      <c r="HE29" s="25"/>
      <c r="HF29" s="25"/>
      <c r="HG29" s="25"/>
      <c r="HH29" s="25"/>
      <c r="HI29" s="25"/>
      <c r="HJ29" s="25"/>
      <c r="HK29" s="25"/>
      <c r="HL29" s="25"/>
      <c r="HM29" s="25"/>
      <c r="HN29" s="25"/>
      <c r="HO29" s="25"/>
      <c r="HP29" s="25"/>
      <c r="HQ29" s="25"/>
      <c r="HR29" s="25"/>
      <c r="HS29" s="25"/>
      <c r="HT29" s="25"/>
      <c r="HV29" s="25"/>
      <c r="HW29" s="25"/>
      <c r="HX29" s="25"/>
      <c r="HY29" s="25"/>
      <c r="HZ29" s="25"/>
      <c r="IA29" s="25"/>
      <c r="IB29" s="25"/>
      <c r="IC29" s="25"/>
      <c r="ID29" s="25"/>
      <c r="IE29" s="25"/>
      <c r="IF29" s="25"/>
      <c r="IG29" s="25"/>
      <c r="IH29" s="25"/>
      <c r="II29" s="25"/>
      <c r="IJ29" s="25"/>
      <c r="IK29" s="25"/>
      <c r="IL29" s="25"/>
      <c r="IM29" s="25"/>
      <c r="IN29" s="25"/>
      <c r="IO29" s="25"/>
      <c r="IP29" s="25"/>
      <c r="IQ29" s="25"/>
      <c r="IR29" s="25"/>
      <c r="IS29" s="25"/>
      <c r="IT29" s="25"/>
      <c r="IU29" s="25"/>
      <c r="IV29" s="25"/>
      <c r="IW29" s="25"/>
      <c r="IX29" s="25"/>
      <c r="IY29" s="25"/>
      <c r="IZ29" s="25"/>
      <c r="JB29" s="19"/>
      <c r="JD29" s="29"/>
      <c r="JF29" s="3"/>
      <c r="JG29" s="3"/>
      <c r="JH29" s="3"/>
      <c r="JI29" s="3"/>
      <c r="JK29" s="35"/>
      <c r="JL29" s="81"/>
      <c r="JM29" s="81"/>
    </row>
    <row r="30" spans="2:273">
      <c r="B30" s="3"/>
      <c r="D30" s="39" t="str">
        <f t="shared" si="7"/>
        <v>-/-</v>
      </c>
      <c r="F30" s="3"/>
      <c r="H30" s="118"/>
      <c r="J30" s="118"/>
      <c r="L30" s="119"/>
      <c r="N30" s="118"/>
      <c r="O30" s="118"/>
      <c r="P30" s="118"/>
      <c r="Q30" s="118"/>
      <c r="R30" s="118"/>
      <c r="S30" s="118"/>
      <c r="U30" s="118"/>
      <c r="V30" s="118"/>
      <c r="W30" s="118"/>
      <c r="X30" s="118"/>
      <c r="Y30" s="118"/>
      <c r="Z30" s="118"/>
      <c r="AB30" s="118"/>
      <c r="AD30" s="19"/>
      <c r="AF30" s="19"/>
      <c r="AG30" s="19"/>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c r="DR30" s="25"/>
      <c r="DS30" s="25"/>
      <c r="DT30" s="25"/>
      <c r="DU30" s="25"/>
      <c r="DV30" s="25"/>
      <c r="DW30" s="25"/>
      <c r="DX30" s="25"/>
      <c r="DY30" s="25"/>
      <c r="EA30" s="25"/>
      <c r="EB30" s="25"/>
      <c r="EC30" s="25"/>
      <c r="ED30" s="25"/>
      <c r="EE30" s="25"/>
      <c r="EF30" s="25"/>
      <c r="EG30" s="25"/>
      <c r="EH30" s="25"/>
      <c r="EI30" s="25"/>
      <c r="EJ30" s="25"/>
      <c r="EK30" s="25"/>
      <c r="EL30" s="25"/>
      <c r="EM30" s="25"/>
      <c r="EN30" s="25"/>
      <c r="EO30" s="25"/>
      <c r="EP30" s="25"/>
      <c r="EQ30" s="25"/>
      <c r="ER30" s="25"/>
      <c r="ES30" s="25"/>
      <c r="ET30" s="25"/>
      <c r="EU30" s="25"/>
      <c r="EV30" s="25"/>
      <c r="EW30" s="25"/>
      <c r="EX30" s="25"/>
      <c r="EY30" s="25"/>
      <c r="EZ30" s="25"/>
      <c r="FA30" s="25"/>
      <c r="FB30" s="25"/>
      <c r="FC30" s="25"/>
      <c r="FD30" s="25"/>
      <c r="FE30" s="25"/>
      <c r="FG30" s="23"/>
      <c r="FH30" s="23"/>
      <c r="FJ30" s="25"/>
      <c r="FK30" s="25"/>
      <c r="FL30" s="25"/>
      <c r="FM30" s="25"/>
      <c r="FN30" s="25"/>
      <c r="FO30" s="25"/>
      <c r="FP30" s="25"/>
      <c r="FQ30" s="25"/>
      <c r="FR30" s="25"/>
      <c r="FS30" s="25"/>
      <c r="FT30" s="25"/>
      <c r="FU30" s="25"/>
      <c r="FV30" s="25"/>
      <c r="FW30" s="25"/>
      <c r="FX30" s="25"/>
      <c r="FY30" s="25"/>
      <c r="FZ30" s="25"/>
      <c r="GA30" s="25"/>
      <c r="GB30" s="25"/>
      <c r="GC30" s="25"/>
      <c r="GD30" s="25"/>
      <c r="GE30" s="25"/>
      <c r="GF30" s="25"/>
      <c r="GG30" s="25"/>
      <c r="GH30" s="25"/>
      <c r="GI30" s="25"/>
      <c r="GJ30" s="25"/>
      <c r="GK30" s="25"/>
      <c r="GL30" s="25"/>
      <c r="GM30" s="25"/>
      <c r="GN30" s="25"/>
      <c r="GP30" s="25"/>
      <c r="GQ30" s="25"/>
      <c r="GR30" s="25"/>
      <c r="GS30" s="25"/>
      <c r="GT30" s="25"/>
      <c r="GU30" s="25"/>
      <c r="GV30" s="25"/>
      <c r="GW30" s="25"/>
      <c r="GX30" s="25"/>
      <c r="GY30" s="25"/>
      <c r="GZ30" s="25"/>
      <c r="HA30" s="25"/>
      <c r="HB30" s="25"/>
      <c r="HC30" s="25"/>
      <c r="HD30" s="25"/>
      <c r="HE30" s="25"/>
      <c r="HF30" s="25"/>
      <c r="HG30" s="25"/>
      <c r="HH30" s="25"/>
      <c r="HI30" s="25"/>
      <c r="HJ30" s="25"/>
      <c r="HK30" s="25"/>
      <c r="HL30" s="25"/>
      <c r="HM30" s="25"/>
      <c r="HN30" s="25"/>
      <c r="HO30" s="25"/>
      <c r="HP30" s="25"/>
      <c r="HQ30" s="25"/>
      <c r="HR30" s="25"/>
      <c r="HS30" s="25"/>
      <c r="HT30" s="25"/>
      <c r="HV30" s="25"/>
      <c r="HW30" s="25"/>
      <c r="HX30" s="25"/>
      <c r="HY30" s="25"/>
      <c r="HZ30" s="25"/>
      <c r="IA30" s="25"/>
      <c r="IB30" s="25"/>
      <c r="IC30" s="25"/>
      <c r="ID30" s="25"/>
      <c r="IE30" s="25"/>
      <c r="IF30" s="25"/>
      <c r="IG30" s="25"/>
      <c r="IH30" s="25"/>
      <c r="II30" s="25"/>
      <c r="IJ30" s="25"/>
      <c r="IK30" s="25"/>
      <c r="IL30" s="25"/>
      <c r="IM30" s="25"/>
      <c r="IN30" s="25"/>
      <c r="IO30" s="25"/>
      <c r="IP30" s="25"/>
      <c r="IQ30" s="25"/>
      <c r="IR30" s="25"/>
      <c r="IS30" s="25"/>
      <c r="IT30" s="25"/>
      <c r="IU30" s="25"/>
      <c r="IV30" s="25"/>
      <c r="IW30" s="25"/>
      <c r="IX30" s="25"/>
      <c r="IY30" s="25"/>
      <c r="IZ30" s="25"/>
      <c r="JB30" s="19"/>
      <c r="JD30" s="29"/>
      <c r="JF30" s="3"/>
      <c r="JG30" s="3"/>
      <c r="JH30" s="3"/>
      <c r="JI30" s="3"/>
      <c r="JK30" s="35"/>
      <c r="JL30" s="81"/>
      <c r="JM30" s="81"/>
    </row>
    <row r="31" spans="2:273">
      <c r="B31" s="3"/>
      <c r="D31" s="39" t="str">
        <f t="shared" si="7"/>
        <v>-/-</v>
      </c>
      <c r="F31" s="3"/>
      <c r="H31" s="118"/>
      <c r="J31" s="118"/>
      <c r="L31" s="119"/>
      <c r="N31" s="118"/>
      <c r="O31" s="118"/>
      <c r="P31" s="118"/>
      <c r="Q31" s="118"/>
      <c r="R31" s="118"/>
      <c r="S31" s="118"/>
      <c r="U31" s="118"/>
      <c r="V31" s="118"/>
      <c r="W31" s="118"/>
      <c r="X31" s="118"/>
      <c r="Y31" s="118"/>
      <c r="Z31" s="118"/>
      <c r="AB31" s="118"/>
      <c r="AD31" s="19"/>
      <c r="AF31" s="19"/>
      <c r="AG31" s="19"/>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c r="BK31" s="25"/>
      <c r="BL31" s="25"/>
      <c r="BM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c r="DR31" s="25"/>
      <c r="DS31" s="25"/>
      <c r="DT31" s="25"/>
      <c r="DU31" s="25"/>
      <c r="DV31" s="25"/>
      <c r="DW31" s="25"/>
      <c r="DX31" s="25"/>
      <c r="DY31" s="2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B31" s="25"/>
      <c r="FC31" s="25"/>
      <c r="FD31" s="25"/>
      <c r="FE31" s="25"/>
      <c r="FG31" s="23"/>
      <c r="FH31" s="23"/>
      <c r="FJ31" s="25"/>
      <c r="FK31" s="25"/>
      <c r="FL31" s="25"/>
      <c r="FM31" s="25"/>
      <c r="FN31" s="25"/>
      <c r="FO31" s="25"/>
      <c r="FP31" s="25"/>
      <c r="FQ31" s="25"/>
      <c r="FR31" s="25"/>
      <c r="FS31" s="25"/>
      <c r="FT31" s="25"/>
      <c r="FU31" s="25"/>
      <c r="FV31" s="25"/>
      <c r="FW31" s="25"/>
      <c r="FX31" s="25"/>
      <c r="FY31" s="25"/>
      <c r="FZ31" s="25"/>
      <c r="GA31" s="25"/>
      <c r="GB31" s="25"/>
      <c r="GC31" s="25"/>
      <c r="GD31" s="25"/>
      <c r="GE31" s="25"/>
      <c r="GF31" s="25"/>
      <c r="GG31" s="25"/>
      <c r="GH31" s="25"/>
      <c r="GI31" s="25"/>
      <c r="GJ31" s="25"/>
      <c r="GK31" s="25"/>
      <c r="GL31" s="25"/>
      <c r="GM31" s="25"/>
      <c r="GN31" s="25"/>
      <c r="GP31" s="25"/>
      <c r="GQ31" s="25"/>
      <c r="GR31" s="25"/>
      <c r="GS31" s="25"/>
      <c r="GT31" s="25"/>
      <c r="GU31" s="25"/>
      <c r="GV31" s="25"/>
      <c r="GW31" s="25"/>
      <c r="GX31" s="25"/>
      <c r="GY31" s="25"/>
      <c r="GZ31" s="25"/>
      <c r="HA31" s="25"/>
      <c r="HB31" s="25"/>
      <c r="HC31" s="25"/>
      <c r="HD31" s="25"/>
      <c r="HE31" s="25"/>
      <c r="HF31" s="25"/>
      <c r="HG31" s="25"/>
      <c r="HH31" s="25"/>
      <c r="HI31" s="25"/>
      <c r="HJ31" s="25"/>
      <c r="HK31" s="25"/>
      <c r="HL31" s="25"/>
      <c r="HM31" s="25"/>
      <c r="HN31" s="25"/>
      <c r="HO31" s="25"/>
      <c r="HP31" s="25"/>
      <c r="HQ31" s="25"/>
      <c r="HR31" s="25"/>
      <c r="HS31" s="25"/>
      <c r="HT31" s="25"/>
      <c r="HV31" s="25"/>
      <c r="HW31" s="25"/>
      <c r="HX31" s="25"/>
      <c r="HY31" s="25"/>
      <c r="HZ31" s="25"/>
      <c r="IA31" s="25"/>
      <c r="IB31" s="25"/>
      <c r="IC31" s="25"/>
      <c r="ID31" s="25"/>
      <c r="IE31" s="25"/>
      <c r="IF31" s="25"/>
      <c r="IG31" s="25"/>
      <c r="IH31" s="25"/>
      <c r="II31" s="25"/>
      <c r="IJ31" s="25"/>
      <c r="IK31" s="25"/>
      <c r="IL31" s="25"/>
      <c r="IM31" s="25"/>
      <c r="IN31" s="25"/>
      <c r="IO31" s="25"/>
      <c r="IP31" s="25"/>
      <c r="IQ31" s="25"/>
      <c r="IR31" s="25"/>
      <c r="IS31" s="25"/>
      <c r="IT31" s="25"/>
      <c r="IU31" s="25"/>
      <c r="IV31" s="25"/>
      <c r="IW31" s="25"/>
      <c r="IX31" s="25"/>
      <c r="IY31" s="25"/>
      <c r="IZ31" s="25"/>
      <c r="JB31" s="19"/>
      <c r="JD31" s="29"/>
      <c r="JF31" s="3"/>
      <c r="JG31" s="3"/>
      <c r="JH31" s="3"/>
      <c r="JI31" s="3"/>
      <c r="JK31" s="35"/>
      <c r="JL31" s="81"/>
      <c r="JM31" s="81"/>
    </row>
    <row r="32" spans="2:273">
      <c r="B32" s="3"/>
      <c r="D32" s="39" t="str">
        <f t="shared" si="7"/>
        <v>-/-</v>
      </c>
      <c r="F32" s="3"/>
      <c r="H32" s="118"/>
      <c r="J32" s="118"/>
      <c r="L32" s="119"/>
      <c r="N32" s="118"/>
      <c r="O32" s="118"/>
      <c r="P32" s="118"/>
      <c r="Q32" s="118"/>
      <c r="R32" s="118"/>
      <c r="S32" s="118"/>
      <c r="U32" s="118"/>
      <c r="V32" s="118"/>
      <c r="W32" s="118"/>
      <c r="X32" s="118"/>
      <c r="Y32" s="118"/>
      <c r="Z32" s="118"/>
      <c r="AB32" s="118"/>
      <c r="AD32" s="19"/>
      <c r="AF32" s="19"/>
      <c r="AG32" s="19"/>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V32" s="25"/>
      <c r="DW32" s="25"/>
      <c r="DX32" s="25"/>
      <c r="DY32" s="2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B32" s="25"/>
      <c r="FC32" s="25"/>
      <c r="FD32" s="25"/>
      <c r="FE32" s="25"/>
      <c r="FG32" s="23"/>
      <c r="FH32" s="23"/>
      <c r="FJ32" s="25"/>
      <c r="FK32" s="25"/>
      <c r="FL32" s="25"/>
      <c r="FM32" s="25"/>
      <c r="FN32" s="25"/>
      <c r="FO32" s="25"/>
      <c r="FP32" s="25"/>
      <c r="FQ32" s="25"/>
      <c r="FR32" s="25"/>
      <c r="FS32" s="25"/>
      <c r="FT32" s="25"/>
      <c r="FU32" s="25"/>
      <c r="FV32" s="25"/>
      <c r="FW32" s="25"/>
      <c r="FX32" s="25"/>
      <c r="FY32" s="25"/>
      <c r="FZ32" s="25"/>
      <c r="GA32" s="25"/>
      <c r="GB32" s="25"/>
      <c r="GC32" s="25"/>
      <c r="GD32" s="25"/>
      <c r="GE32" s="25"/>
      <c r="GF32" s="25"/>
      <c r="GG32" s="25"/>
      <c r="GH32" s="25"/>
      <c r="GI32" s="25"/>
      <c r="GJ32" s="25"/>
      <c r="GK32" s="25"/>
      <c r="GL32" s="25"/>
      <c r="GM32" s="25"/>
      <c r="GN32" s="25"/>
      <c r="GP32" s="25"/>
      <c r="GQ32" s="25"/>
      <c r="GR32" s="25"/>
      <c r="GS32" s="25"/>
      <c r="GT32" s="25"/>
      <c r="GU32" s="25"/>
      <c r="GV32" s="25"/>
      <c r="GW32" s="25"/>
      <c r="GX32" s="25"/>
      <c r="GY32" s="25"/>
      <c r="GZ32" s="25"/>
      <c r="HA32" s="25"/>
      <c r="HB32" s="25"/>
      <c r="HC32" s="25"/>
      <c r="HD32" s="25"/>
      <c r="HE32" s="25"/>
      <c r="HF32" s="25"/>
      <c r="HG32" s="25"/>
      <c r="HH32" s="25"/>
      <c r="HI32" s="25"/>
      <c r="HJ32" s="25"/>
      <c r="HK32" s="25"/>
      <c r="HL32" s="25"/>
      <c r="HM32" s="25"/>
      <c r="HN32" s="25"/>
      <c r="HO32" s="25"/>
      <c r="HP32" s="25"/>
      <c r="HQ32" s="25"/>
      <c r="HR32" s="25"/>
      <c r="HS32" s="25"/>
      <c r="HT32" s="25"/>
      <c r="HV32" s="25"/>
      <c r="HW32" s="25"/>
      <c r="HX32" s="25"/>
      <c r="HY32" s="25"/>
      <c r="HZ32" s="25"/>
      <c r="IA32" s="25"/>
      <c r="IB32" s="25"/>
      <c r="IC32" s="25"/>
      <c r="ID32" s="25"/>
      <c r="IE32" s="25"/>
      <c r="IF32" s="25"/>
      <c r="IG32" s="25"/>
      <c r="IH32" s="25"/>
      <c r="II32" s="25"/>
      <c r="IJ32" s="25"/>
      <c r="IK32" s="25"/>
      <c r="IL32" s="25"/>
      <c r="IM32" s="25"/>
      <c r="IN32" s="25"/>
      <c r="IO32" s="25"/>
      <c r="IP32" s="25"/>
      <c r="IQ32" s="25"/>
      <c r="IR32" s="25"/>
      <c r="IS32" s="25"/>
      <c r="IT32" s="25"/>
      <c r="IU32" s="25"/>
      <c r="IV32" s="25"/>
      <c r="IW32" s="25"/>
      <c r="IX32" s="25"/>
      <c r="IY32" s="25"/>
      <c r="IZ32" s="25"/>
      <c r="JB32" s="19"/>
      <c r="JD32" s="29"/>
      <c r="JF32" s="3"/>
      <c r="JG32" s="3"/>
      <c r="JH32" s="3"/>
      <c r="JI32" s="3"/>
      <c r="JK32" s="35"/>
      <c r="JL32" s="81"/>
      <c r="JM32" s="81"/>
    </row>
    <row r="33" spans="2:273">
      <c r="B33" s="3"/>
      <c r="D33" s="39" t="str">
        <f t="shared" si="7"/>
        <v>-/-</v>
      </c>
      <c r="F33" s="3"/>
      <c r="H33" s="118"/>
      <c r="J33" s="118"/>
      <c r="L33" s="119"/>
      <c r="N33" s="118"/>
      <c r="O33" s="118"/>
      <c r="P33" s="118"/>
      <c r="Q33" s="118"/>
      <c r="R33" s="118"/>
      <c r="S33" s="118"/>
      <c r="U33" s="118"/>
      <c r="V33" s="118"/>
      <c r="W33" s="118"/>
      <c r="X33" s="118"/>
      <c r="Y33" s="118"/>
      <c r="Z33" s="118"/>
      <c r="AB33" s="118"/>
      <c r="AD33" s="19"/>
      <c r="AF33" s="19"/>
      <c r="AG33" s="19"/>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V33" s="25"/>
      <c r="DW33" s="25"/>
      <c r="DX33" s="25"/>
      <c r="DY33" s="2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B33" s="25"/>
      <c r="FC33" s="25"/>
      <c r="FD33" s="25"/>
      <c r="FE33" s="25"/>
      <c r="FG33" s="23"/>
      <c r="FH33" s="23"/>
      <c r="FJ33" s="25"/>
      <c r="FK33" s="25"/>
      <c r="FL33" s="25"/>
      <c r="FM33" s="25"/>
      <c r="FN33" s="25"/>
      <c r="FO33" s="25"/>
      <c r="FP33" s="25"/>
      <c r="FQ33" s="25"/>
      <c r="FR33" s="25"/>
      <c r="FS33" s="25"/>
      <c r="FT33" s="25"/>
      <c r="FU33" s="25"/>
      <c r="FV33" s="25"/>
      <c r="FW33" s="25"/>
      <c r="FX33" s="25"/>
      <c r="FY33" s="25"/>
      <c r="FZ33" s="25"/>
      <c r="GA33" s="25"/>
      <c r="GB33" s="25"/>
      <c r="GC33" s="25"/>
      <c r="GD33" s="25"/>
      <c r="GE33" s="25"/>
      <c r="GF33" s="25"/>
      <c r="GG33" s="25"/>
      <c r="GH33" s="25"/>
      <c r="GI33" s="25"/>
      <c r="GJ33" s="25"/>
      <c r="GK33" s="25"/>
      <c r="GL33" s="25"/>
      <c r="GM33" s="25"/>
      <c r="GN33" s="25"/>
      <c r="GP33" s="25"/>
      <c r="GQ33" s="25"/>
      <c r="GR33" s="25"/>
      <c r="GS33" s="25"/>
      <c r="GT33" s="25"/>
      <c r="GU33" s="25"/>
      <c r="GV33" s="25"/>
      <c r="GW33" s="25"/>
      <c r="GX33" s="25"/>
      <c r="GY33" s="25"/>
      <c r="GZ33" s="25"/>
      <c r="HA33" s="25"/>
      <c r="HB33" s="25"/>
      <c r="HC33" s="25"/>
      <c r="HD33" s="25"/>
      <c r="HE33" s="25"/>
      <c r="HF33" s="25"/>
      <c r="HG33" s="25"/>
      <c r="HH33" s="25"/>
      <c r="HI33" s="25"/>
      <c r="HJ33" s="25"/>
      <c r="HK33" s="25"/>
      <c r="HL33" s="25"/>
      <c r="HM33" s="25"/>
      <c r="HN33" s="25"/>
      <c r="HO33" s="25"/>
      <c r="HP33" s="25"/>
      <c r="HQ33" s="25"/>
      <c r="HR33" s="25"/>
      <c r="HS33" s="25"/>
      <c r="HT33" s="25"/>
      <c r="HV33" s="25"/>
      <c r="HW33" s="25"/>
      <c r="HX33" s="25"/>
      <c r="HY33" s="25"/>
      <c r="HZ33" s="25"/>
      <c r="IA33" s="25"/>
      <c r="IB33" s="25"/>
      <c r="IC33" s="25"/>
      <c r="ID33" s="25"/>
      <c r="IE33" s="25"/>
      <c r="IF33" s="25"/>
      <c r="IG33" s="25"/>
      <c r="IH33" s="25"/>
      <c r="II33" s="25"/>
      <c r="IJ33" s="25"/>
      <c r="IK33" s="25"/>
      <c r="IL33" s="25"/>
      <c r="IM33" s="25"/>
      <c r="IN33" s="25"/>
      <c r="IO33" s="25"/>
      <c r="IP33" s="25"/>
      <c r="IQ33" s="25"/>
      <c r="IR33" s="25"/>
      <c r="IS33" s="25"/>
      <c r="IT33" s="25"/>
      <c r="IU33" s="25"/>
      <c r="IV33" s="25"/>
      <c r="IW33" s="25"/>
      <c r="IX33" s="25"/>
      <c r="IY33" s="25"/>
      <c r="IZ33" s="25"/>
      <c r="JB33" s="19"/>
      <c r="JD33" s="29"/>
      <c r="JF33" s="3"/>
      <c r="JG33" s="3"/>
      <c r="JH33" s="3"/>
      <c r="JI33" s="3"/>
      <c r="JK33" s="35"/>
      <c r="JL33" s="81"/>
      <c r="JM33" s="81"/>
    </row>
    <row r="34" spans="2:273">
      <c r="B34" s="3"/>
      <c r="D34" s="39" t="str">
        <f t="shared" si="7"/>
        <v>-/-</v>
      </c>
      <c r="F34" s="3"/>
      <c r="H34" s="118"/>
      <c r="J34" s="118"/>
      <c r="L34" s="119"/>
      <c r="N34" s="118"/>
      <c r="O34" s="118"/>
      <c r="P34" s="118"/>
      <c r="Q34" s="118"/>
      <c r="R34" s="118"/>
      <c r="S34" s="118"/>
      <c r="U34" s="118"/>
      <c r="V34" s="118"/>
      <c r="W34" s="118"/>
      <c r="X34" s="118"/>
      <c r="Y34" s="118"/>
      <c r="Z34" s="118"/>
      <c r="AB34" s="118"/>
      <c r="AD34" s="19"/>
      <c r="AF34" s="19"/>
      <c r="AG34" s="19"/>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G34" s="23"/>
      <c r="FH34" s="23"/>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J34" s="25"/>
      <c r="GK34" s="25"/>
      <c r="GL34" s="25"/>
      <c r="GM34" s="25"/>
      <c r="GN34" s="25"/>
      <c r="GP34" s="25"/>
      <c r="GQ34" s="25"/>
      <c r="GR34" s="25"/>
      <c r="GS34" s="25"/>
      <c r="GT34" s="25"/>
      <c r="GU34" s="25"/>
      <c r="GV34" s="25"/>
      <c r="GW34" s="25"/>
      <c r="GX34" s="25"/>
      <c r="GY34" s="25"/>
      <c r="GZ34" s="25"/>
      <c r="HA34" s="25"/>
      <c r="HB34" s="25"/>
      <c r="HC34" s="25"/>
      <c r="HD34" s="25"/>
      <c r="HE34" s="25"/>
      <c r="HF34" s="25"/>
      <c r="HG34" s="25"/>
      <c r="HH34" s="25"/>
      <c r="HI34" s="25"/>
      <c r="HJ34" s="25"/>
      <c r="HK34" s="25"/>
      <c r="HL34" s="25"/>
      <c r="HM34" s="25"/>
      <c r="HN34" s="25"/>
      <c r="HO34" s="25"/>
      <c r="HP34" s="25"/>
      <c r="HQ34" s="25"/>
      <c r="HR34" s="25"/>
      <c r="HS34" s="25"/>
      <c r="HT34" s="25"/>
      <c r="HV34" s="25"/>
      <c r="HW34" s="25"/>
      <c r="HX34" s="25"/>
      <c r="HY34" s="25"/>
      <c r="HZ34" s="25"/>
      <c r="IA34" s="25"/>
      <c r="IB34" s="25"/>
      <c r="IC34" s="25"/>
      <c r="ID34" s="25"/>
      <c r="IE34" s="25"/>
      <c r="IF34" s="25"/>
      <c r="IG34" s="25"/>
      <c r="IH34" s="25"/>
      <c r="II34" s="25"/>
      <c r="IJ34" s="25"/>
      <c r="IK34" s="25"/>
      <c r="IL34" s="25"/>
      <c r="IM34" s="25"/>
      <c r="IN34" s="25"/>
      <c r="IO34" s="25"/>
      <c r="IP34" s="25"/>
      <c r="IQ34" s="25"/>
      <c r="IR34" s="25"/>
      <c r="IS34" s="25"/>
      <c r="IT34" s="25"/>
      <c r="IU34" s="25"/>
      <c r="IV34" s="25"/>
      <c r="IW34" s="25"/>
      <c r="IX34" s="25"/>
      <c r="IY34" s="25"/>
      <c r="IZ34" s="25"/>
      <c r="JB34" s="19"/>
      <c r="JD34" s="29"/>
      <c r="JF34" s="3"/>
      <c r="JG34" s="3"/>
      <c r="JH34" s="3"/>
      <c r="JI34" s="3"/>
      <c r="JK34" s="35"/>
      <c r="JL34" s="81"/>
      <c r="JM34" s="81"/>
    </row>
    <row r="35" spans="2:273">
      <c r="B35" s="3"/>
      <c r="D35" s="39" t="str">
        <f t="shared" si="7"/>
        <v>-/-</v>
      </c>
      <c r="F35" s="3"/>
      <c r="H35" s="118"/>
      <c r="J35" s="118"/>
      <c r="L35" s="119"/>
      <c r="N35" s="118"/>
      <c r="O35" s="118"/>
      <c r="P35" s="118"/>
      <c r="Q35" s="118"/>
      <c r="R35" s="118"/>
      <c r="S35" s="118"/>
      <c r="U35" s="118"/>
      <c r="V35" s="118"/>
      <c r="W35" s="118"/>
      <c r="X35" s="118"/>
      <c r="Y35" s="118"/>
      <c r="Z35" s="118"/>
      <c r="AB35" s="118"/>
      <c r="AD35" s="19"/>
      <c r="AF35" s="19"/>
      <c r="AG35" s="19"/>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U35" s="25"/>
      <c r="CV35" s="25"/>
      <c r="CW35" s="25"/>
      <c r="CX35" s="25"/>
      <c r="CY35" s="25"/>
      <c r="CZ35" s="25"/>
      <c r="DA35" s="25"/>
      <c r="DB35" s="25"/>
      <c r="DC35" s="25"/>
      <c r="DD35" s="25"/>
      <c r="DE35" s="25"/>
      <c r="DF35" s="25"/>
      <c r="DG35" s="25"/>
      <c r="DH35" s="25"/>
      <c r="DI35" s="25"/>
      <c r="DJ35" s="25"/>
      <c r="DK35" s="25"/>
      <c r="DL35" s="25"/>
      <c r="DM35" s="25"/>
      <c r="DN35" s="25"/>
      <c r="DO35" s="25"/>
      <c r="DP35" s="25"/>
      <c r="DQ35" s="25"/>
      <c r="DR35" s="25"/>
      <c r="DS35" s="25"/>
      <c r="DT35" s="25"/>
      <c r="DU35" s="25"/>
      <c r="DV35" s="25"/>
      <c r="DW35" s="25"/>
      <c r="DX35" s="25"/>
      <c r="DY35" s="2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B35" s="25"/>
      <c r="FC35" s="25"/>
      <c r="FD35" s="25"/>
      <c r="FE35" s="25"/>
      <c r="FG35" s="23"/>
      <c r="FH35" s="23"/>
      <c r="FJ35" s="25"/>
      <c r="FK35" s="25"/>
      <c r="FL35" s="25"/>
      <c r="FM35" s="25"/>
      <c r="FN35" s="25"/>
      <c r="FO35" s="25"/>
      <c r="FP35" s="25"/>
      <c r="FQ35" s="25"/>
      <c r="FR35" s="25"/>
      <c r="FS35" s="25"/>
      <c r="FT35" s="25"/>
      <c r="FU35" s="25"/>
      <c r="FV35" s="25"/>
      <c r="FW35" s="25"/>
      <c r="FX35" s="25"/>
      <c r="FY35" s="25"/>
      <c r="FZ35" s="25"/>
      <c r="GA35" s="25"/>
      <c r="GB35" s="25"/>
      <c r="GC35" s="25"/>
      <c r="GD35" s="25"/>
      <c r="GE35" s="25"/>
      <c r="GF35" s="25"/>
      <c r="GG35" s="25"/>
      <c r="GH35" s="25"/>
      <c r="GI35" s="25"/>
      <c r="GJ35" s="25"/>
      <c r="GK35" s="25"/>
      <c r="GL35" s="25"/>
      <c r="GM35" s="25"/>
      <c r="GN35" s="25"/>
      <c r="GP35" s="25"/>
      <c r="GQ35" s="25"/>
      <c r="GR35" s="25"/>
      <c r="GS35" s="25"/>
      <c r="GT35" s="25"/>
      <c r="GU35" s="25"/>
      <c r="GV35" s="25"/>
      <c r="GW35" s="25"/>
      <c r="GX35" s="25"/>
      <c r="GY35" s="25"/>
      <c r="GZ35" s="25"/>
      <c r="HA35" s="25"/>
      <c r="HB35" s="25"/>
      <c r="HC35" s="25"/>
      <c r="HD35" s="25"/>
      <c r="HE35" s="25"/>
      <c r="HF35" s="25"/>
      <c r="HG35" s="25"/>
      <c r="HH35" s="25"/>
      <c r="HI35" s="25"/>
      <c r="HJ35" s="25"/>
      <c r="HK35" s="25"/>
      <c r="HL35" s="25"/>
      <c r="HM35" s="25"/>
      <c r="HN35" s="25"/>
      <c r="HO35" s="25"/>
      <c r="HP35" s="25"/>
      <c r="HQ35" s="25"/>
      <c r="HR35" s="25"/>
      <c r="HS35" s="25"/>
      <c r="HT35" s="25"/>
      <c r="HV35" s="25"/>
      <c r="HW35" s="25"/>
      <c r="HX35" s="25"/>
      <c r="HY35" s="25"/>
      <c r="HZ35" s="25"/>
      <c r="IA35" s="25"/>
      <c r="IB35" s="25"/>
      <c r="IC35" s="25"/>
      <c r="ID35" s="25"/>
      <c r="IE35" s="25"/>
      <c r="IF35" s="25"/>
      <c r="IG35" s="25"/>
      <c r="IH35" s="25"/>
      <c r="II35" s="25"/>
      <c r="IJ35" s="25"/>
      <c r="IK35" s="25"/>
      <c r="IL35" s="25"/>
      <c r="IM35" s="25"/>
      <c r="IN35" s="25"/>
      <c r="IO35" s="25"/>
      <c r="IP35" s="25"/>
      <c r="IQ35" s="25"/>
      <c r="IR35" s="25"/>
      <c r="IS35" s="25"/>
      <c r="IT35" s="25"/>
      <c r="IU35" s="25"/>
      <c r="IV35" s="25"/>
      <c r="IW35" s="25"/>
      <c r="IX35" s="25"/>
      <c r="IY35" s="25"/>
      <c r="IZ35" s="25"/>
      <c r="JB35" s="19"/>
      <c r="JD35" s="29"/>
      <c r="JF35" s="3"/>
      <c r="JG35" s="3"/>
      <c r="JH35" s="3"/>
      <c r="JI35" s="3"/>
      <c r="JK35" s="35"/>
      <c r="JL35" s="81"/>
      <c r="JM35" s="81"/>
    </row>
  </sheetData>
  <conditionalFormatting sqref="JD11:JD35">
    <cfRule type="expression" dxfId="39" priority="7">
      <formula>NOT(ISBLANK(JI11))</formula>
    </cfRule>
  </conditionalFormatting>
  <conditionalFormatting sqref="D11:D35">
    <cfRule type="cellIs" dxfId="38" priority="4" operator="equal">
      <formula>FALSE</formula>
    </cfRule>
  </conditionalFormatting>
  <conditionalFormatting sqref="A11:A35">
    <cfRule type="duplicateValues" dxfId="37" priority="1733"/>
  </conditionalFormatting>
  <dataValidations count="5">
    <dataValidation type="list" allowBlank="1" showInputMessage="1" showErrorMessage="1" sqref="AF11:AG35 AB11:AB35 U11:Z35 JB11:JB35 K11:L35 N11:S35" xr:uid="{3B1892EE-4980-0C46-A12C-EB5E6592BBAE}">
      <formula1>"TRUE,FALSE"</formula1>
    </dataValidation>
    <dataValidation type="list" allowBlank="1" showInputMessage="1" showErrorMessage="1" sqref="H11:H35" xr:uid="{A604EE4B-72D4-5B40-8561-E58AF901B591}">
      <formula1>OFFSET(lists_zones,,,COUNTA(lists_zones))</formula1>
    </dataValidation>
    <dataValidation type="list" allowBlank="1" showInputMessage="1" showErrorMessage="1" sqref="AB11:AB35" xr:uid="{124977D3-6C53-C345-8B7B-486C86148E6D}">
      <formula1>OFFSET(lists_elcc_surfaces,,,COUNTA(lists_elcc_surfaces))</formula1>
    </dataValidation>
    <dataValidation type="list" allowBlank="1" showInputMessage="1" showErrorMessage="1" sqref="AD11:AD35 J11:L35" xr:uid="{84D2052D-6881-4136-BA24-32E3A3EE6616}">
      <formula1>ResourceGroup</formula1>
    </dataValidation>
    <dataValidation type="list" allowBlank="1" showInputMessage="1" showErrorMessage="1" sqref="L11:L35" xr:uid="{C5096E73-4802-4A41-8729-BBBA1AF534B4}">
      <formula1>OFFSET(lists_outage_distributions,,,COUNTA(lists_outage_distributions))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11" id="{9B1D877C-5E21-EB41-BE48-376D8379FE26}">
            <xm:f>ISNUMBER(MATCH(F11,'RESOLVE Case Settings'!$C$19:$C$42,0))</xm:f>
            <x14:dxf>
              <font>
                <color rgb="FF006100"/>
              </font>
              <fill>
                <patternFill>
                  <bgColor rgb="FFC6EFCE"/>
                </patternFill>
              </fill>
            </x14:dxf>
          </x14:cfRule>
          <xm:sqref>F11:F35</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A1F9F-DBB7-8E44-A430-9BE05F12DDD1}">
  <sheetPr codeName="Sheet26">
    <tabColor theme="7" tint="0.79998168889431442"/>
  </sheetPr>
  <dimension ref="A1:JV20"/>
  <sheetViews>
    <sheetView showGridLines="0" zoomScale="90" zoomScaleNormal="90" workbookViewId="0">
      <pane xSplit="7" ySplit="10" topLeftCell="JI11" activePane="bottomRight" state="frozen"/>
      <selection pane="topRight" activeCell="N35" sqref="N35"/>
      <selection pane="bottomLeft" activeCell="N35" sqref="N35"/>
      <selection pane="bottomRight" activeCell="JP37" sqref="JP37"/>
    </sheetView>
  </sheetViews>
  <sheetFormatPr baseColWidth="10" defaultColWidth="11" defaultRowHeight="12" outlineLevelRow="1" outlineLevelCol="1"/>
  <cols>
    <col min="2" max="2" width="43.59765625" customWidth="1"/>
    <col min="3" max="3" width="3" customWidth="1" outlineLevel="1"/>
    <col min="4" max="4" width="25" customWidth="1" outlineLevel="1"/>
    <col min="5" max="5" width="3" customWidth="1" outlineLevel="1"/>
    <col min="6" max="6" width="30.3984375" customWidth="1" outlineLevel="1"/>
    <col min="7" max="7" width="3" customWidth="1"/>
    <col min="8" max="8" width="18.3984375" customWidth="1" outlineLevel="1"/>
    <col min="9" max="9" width="3" customWidth="1" outlineLevel="1"/>
    <col min="10" max="10" width="17" customWidth="1" outlineLevel="1"/>
    <col min="11" max="11" width="5" customWidth="1"/>
    <col min="12" max="12" width="14.3984375" customWidth="1"/>
    <col min="13" max="13" width="3" customWidth="1" outlineLevel="1"/>
    <col min="14" max="19" width="16" customWidth="1" outlineLevel="1"/>
    <col min="20" max="20" width="3" customWidth="1" outlineLevel="1"/>
    <col min="21" max="26" width="16" customWidth="1" outlineLevel="1"/>
    <col min="27" max="27" width="3" customWidth="1"/>
    <col min="28" max="29" width="16" customWidth="1"/>
    <col min="30" max="30" width="3" customWidth="1"/>
    <col min="31" max="31" width="16" customWidth="1"/>
    <col min="32" max="33" width="16" hidden="1" customWidth="1" outlineLevel="1"/>
    <col min="34" max="34" width="16" hidden="1" customWidth="1" outlineLevel="1" collapsed="1"/>
    <col min="35" max="35" width="16" hidden="1" customWidth="1" outlineLevel="1"/>
    <col min="36" max="36" width="16" customWidth="1" collapsed="1"/>
    <col min="37" max="38" width="16" hidden="1" customWidth="1" outlineLevel="1"/>
    <col min="39" max="39" width="16" hidden="1" customWidth="1" outlineLevel="1" collapsed="1"/>
    <col min="40" max="40" width="16" hidden="1" customWidth="1" outlineLevel="1"/>
    <col min="41" max="41" width="16" customWidth="1" collapsed="1"/>
    <col min="42" max="42" width="16" hidden="1" customWidth="1" outlineLevel="1"/>
    <col min="43" max="43" width="16" hidden="1" customWidth="1" outlineLevel="1" collapsed="1"/>
    <col min="44" max="45" width="16" hidden="1" customWidth="1" outlineLevel="1"/>
    <col min="46" max="46" width="16" customWidth="1" collapsed="1"/>
    <col min="47" max="49" width="16" hidden="1" customWidth="1" outlineLevel="1"/>
    <col min="50" max="50" width="16" hidden="1" customWidth="1" outlineLevel="1" collapsed="1"/>
    <col min="51" max="51" width="16" customWidth="1" collapsed="1"/>
    <col min="52" max="55" width="16" hidden="1" customWidth="1" outlineLevel="1"/>
    <col min="56" max="56" width="16" customWidth="1" collapsed="1"/>
    <col min="57" max="60" width="16" hidden="1" customWidth="1" outlineLevel="1"/>
    <col min="61" max="61" width="16" customWidth="1" collapsed="1"/>
    <col min="62" max="62" width="3" customWidth="1"/>
    <col min="63" max="63" width="16" customWidth="1"/>
    <col min="64" max="67" width="16" hidden="1" customWidth="1" outlineLevel="1"/>
    <col min="68" max="68" width="16" customWidth="1" collapsed="1"/>
    <col min="69" max="72" width="16" hidden="1" customWidth="1" outlineLevel="1"/>
    <col min="73" max="73" width="16" customWidth="1" collapsed="1"/>
    <col min="74" max="77" width="16" hidden="1" customWidth="1" outlineLevel="1"/>
    <col min="78" max="78" width="16" customWidth="1" collapsed="1"/>
    <col min="79" max="82" width="16" hidden="1" customWidth="1" outlineLevel="1"/>
    <col min="83" max="83" width="16" customWidth="1" collapsed="1"/>
    <col min="84" max="87" width="16" hidden="1" customWidth="1" outlineLevel="1"/>
    <col min="88" max="88" width="16" customWidth="1" collapsed="1"/>
    <col min="89" max="92" width="16" hidden="1" customWidth="1" outlineLevel="1"/>
    <col min="93" max="93" width="16" customWidth="1" collapsed="1"/>
    <col min="94" max="94" width="3" customWidth="1"/>
    <col min="95" max="95" width="16" customWidth="1"/>
    <col min="96" max="99" width="16" hidden="1" customWidth="1" outlineLevel="1"/>
    <col min="100" max="100" width="16" customWidth="1" collapsed="1"/>
    <col min="101" max="104" width="16" hidden="1" customWidth="1" outlineLevel="1"/>
    <col min="105" max="105" width="16" customWidth="1" collapsed="1"/>
    <col min="106" max="109" width="16" hidden="1" customWidth="1" outlineLevel="1"/>
    <col min="110" max="110" width="16" customWidth="1" collapsed="1"/>
    <col min="111" max="114" width="16" hidden="1" customWidth="1" outlineLevel="1"/>
    <col min="115" max="115" width="16" customWidth="1" collapsed="1"/>
    <col min="116" max="119" width="16" hidden="1" customWidth="1" outlineLevel="1"/>
    <col min="120" max="120" width="16" customWidth="1" collapsed="1"/>
    <col min="121" max="124" width="16" hidden="1" customWidth="1" outlineLevel="1"/>
    <col min="125" max="125" width="16" customWidth="1" collapsed="1"/>
    <col min="126" max="126" width="4.796875" customWidth="1"/>
    <col min="127" max="127" width="16" customWidth="1"/>
    <col min="128" max="131" width="16" hidden="1" customWidth="1" outlineLevel="1"/>
    <col min="132" max="132" width="16" customWidth="1" collapsed="1"/>
    <col min="133" max="136" width="16" hidden="1" customWidth="1" outlineLevel="1"/>
    <col min="137" max="137" width="16" customWidth="1" collapsed="1"/>
    <col min="138" max="141" width="16" hidden="1" customWidth="1" outlineLevel="1"/>
    <col min="142" max="142" width="16" customWidth="1" collapsed="1"/>
    <col min="143" max="146" width="16" hidden="1" customWidth="1" outlineLevel="1"/>
    <col min="147" max="147" width="16" customWidth="1" collapsed="1"/>
    <col min="148" max="151" width="16" hidden="1" customWidth="1" outlineLevel="1"/>
    <col min="152" max="152" width="16" customWidth="1" collapsed="1"/>
    <col min="153" max="156" width="16" hidden="1" customWidth="1" outlineLevel="1"/>
    <col min="157" max="157" width="16" customWidth="1" collapsed="1"/>
    <col min="158" max="158" width="3" customWidth="1" collapsed="1"/>
    <col min="159" max="160" width="16" customWidth="1"/>
    <col min="161" max="161" width="9" customWidth="1"/>
    <col min="162" max="162" width="16" customWidth="1" collapsed="1"/>
    <col min="163" max="166" width="16" hidden="1" customWidth="1" outlineLevel="1"/>
    <col min="167" max="167" width="16" customWidth="1" collapsed="1"/>
    <col min="168" max="171" width="16" hidden="1" customWidth="1" outlineLevel="1"/>
    <col min="172" max="172" width="16" customWidth="1" collapsed="1"/>
    <col min="173" max="176" width="16" hidden="1" customWidth="1" outlineLevel="1"/>
    <col min="177" max="177" width="16" customWidth="1" collapsed="1"/>
    <col min="178" max="181" width="16" hidden="1" customWidth="1" outlineLevel="1"/>
    <col min="182" max="182" width="16" customWidth="1" collapsed="1"/>
    <col min="183" max="186" width="16" hidden="1" customWidth="1" outlineLevel="1"/>
    <col min="187" max="187" width="16" customWidth="1" collapsed="1"/>
    <col min="188" max="191" width="16" hidden="1" customWidth="1" outlineLevel="1"/>
    <col min="192" max="192" width="16" customWidth="1" collapsed="1"/>
    <col min="193" max="193" width="8" customWidth="1"/>
    <col min="194" max="194" width="16" customWidth="1" collapsed="1"/>
    <col min="195" max="198" width="16" hidden="1" customWidth="1" outlineLevel="1"/>
    <col min="199" max="199" width="16" customWidth="1" collapsed="1"/>
    <col min="200" max="203" width="16" hidden="1" customWidth="1" outlineLevel="1"/>
    <col min="204" max="204" width="16" customWidth="1" collapsed="1"/>
    <col min="205" max="208" width="16" hidden="1" customWidth="1" outlineLevel="1"/>
    <col min="209" max="209" width="16" customWidth="1" collapsed="1"/>
    <col min="210" max="213" width="16" hidden="1" customWidth="1" outlineLevel="1"/>
    <col min="214" max="214" width="16" customWidth="1" collapsed="1"/>
    <col min="215" max="218" width="16" hidden="1" customWidth="1" outlineLevel="1"/>
    <col min="219" max="219" width="16" customWidth="1" collapsed="1"/>
    <col min="220" max="223" width="16" hidden="1" customWidth="1" outlineLevel="1"/>
    <col min="224" max="224" width="16" customWidth="1" collapsed="1"/>
    <col min="225" max="225" width="3" customWidth="1" collapsed="1"/>
    <col min="226" max="226" width="16" customWidth="1"/>
    <col min="227" max="228" width="16" hidden="1" customWidth="1" outlineLevel="1"/>
    <col min="229" max="229" width="16" hidden="1" customWidth="1" outlineLevel="1" collapsed="1"/>
    <col min="230" max="230" width="16" hidden="1" customWidth="1" outlineLevel="1"/>
    <col min="231" max="231" width="16" customWidth="1" collapsed="1"/>
    <col min="232" max="233" width="16" hidden="1" customWidth="1" outlineLevel="1"/>
    <col min="234" max="234" width="16" hidden="1" customWidth="1" outlineLevel="1" collapsed="1"/>
    <col min="235" max="235" width="16" hidden="1" customWidth="1" outlineLevel="1"/>
    <col min="236" max="236" width="16" customWidth="1" collapsed="1"/>
    <col min="237" max="237" width="16" hidden="1" customWidth="1" outlineLevel="1"/>
    <col min="238" max="238" width="16" hidden="1" customWidth="1" outlineLevel="1" collapsed="1"/>
    <col min="239" max="240" width="16" hidden="1" customWidth="1" outlineLevel="1"/>
    <col min="241" max="241" width="16" customWidth="1" collapsed="1"/>
    <col min="242" max="244" width="16" hidden="1" customWidth="1" outlineLevel="1"/>
    <col min="245" max="245" width="16" hidden="1" customWidth="1" outlineLevel="1" collapsed="1"/>
    <col min="246" max="246" width="16" customWidth="1" collapsed="1"/>
    <col min="247" max="250" width="16" hidden="1" customWidth="1" outlineLevel="1"/>
    <col min="251" max="251" width="16" customWidth="1" collapsed="1"/>
    <col min="252" max="255" width="16" hidden="1" customWidth="1" outlineLevel="1"/>
    <col min="256" max="256" width="16" customWidth="1" collapsed="1"/>
    <col min="257" max="257" width="3" customWidth="1"/>
    <col min="258" max="258" width="16" customWidth="1"/>
    <col min="259" max="259" width="3" customWidth="1"/>
    <col min="260" max="263" width="16" customWidth="1"/>
    <col min="264" max="264" width="3" customWidth="1"/>
    <col min="265" max="270" width="16" customWidth="1"/>
    <col min="271" max="271" width="3" customWidth="1"/>
    <col min="272" max="277" width="21" customWidth="1"/>
    <col min="278" max="278" width="3" customWidth="1"/>
    <col min="282" max="282" width="3" customWidth="1"/>
    <col min="283" max="283" width="5.59765625" customWidth="1"/>
  </cols>
  <sheetData>
    <row r="1" spans="1:282" s="5" customFormat="1" ht="29" thickBot="1">
      <c r="A1" s="5" t="s">
        <v>490</v>
      </c>
    </row>
    <row r="3" spans="1:282">
      <c r="AI3" s="32"/>
    </row>
    <row r="4" spans="1:282" ht="19" thickBot="1">
      <c r="H4" s="9" t="s">
        <v>474</v>
      </c>
      <c r="I4" s="9"/>
      <c r="J4" s="9"/>
      <c r="K4" s="9"/>
      <c r="L4" s="9"/>
      <c r="M4" s="9"/>
      <c r="N4" s="9"/>
      <c r="O4" s="9"/>
      <c r="P4" s="9"/>
      <c r="Q4" s="9"/>
      <c r="R4" s="9"/>
      <c r="S4" s="9"/>
      <c r="T4" s="9"/>
      <c r="U4" s="9"/>
      <c r="V4" s="9"/>
      <c r="W4" s="9"/>
      <c r="X4" s="9"/>
      <c r="Y4" s="9"/>
      <c r="Z4" s="9"/>
      <c r="AB4" s="9" t="s">
        <v>398</v>
      </c>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C4" s="9" t="s">
        <v>399</v>
      </c>
      <c r="FD4" s="9"/>
      <c r="FE4" s="9"/>
      <c r="FF4" s="9"/>
      <c r="FG4" s="9"/>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X4" s="9" t="s">
        <v>414</v>
      </c>
      <c r="IY4" s="9"/>
      <c r="IZ4" s="9"/>
      <c r="JA4" s="9"/>
      <c r="JB4" s="9"/>
      <c r="JC4" s="9"/>
      <c r="JD4" s="9"/>
      <c r="JE4" s="9"/>
      <c r="JF4" s="9"/>
      <c r="JG4" s="9"/>
      <c r="JH4" s="9"/>
      <c r="JI4" s="9"/>
      <c r="JJ4" s="9"/>
      <c r="JK4" s="9"/>
      <c r="JL4" s="9"/>
      <c r="JM4" s="9"/>
      <c r="JN4" s="9"/>
      <c r="JO4" s="9"/>
      <c r="JP4" s="9"/>
      <c r="JQ4" s="9"/>
      <c r="JS4" s="9" t="s">
        <v>415</v>
      </c>
      <c r="JT4" s="9"/>
      <c r="JU4" s="9"/>
      <c r="JV4" s="9"/>
    </row>
    <row r="6" spans="1:282" ht="15" thickBot="1">
      <c r="N6" s="83" t="s">
        <v>279</v>
      </c>
      <c r="O6" s="83"/>
      <c r="P6" s="83"/>
      <c r="Q6" s="83"/>
      <c r="R6" s="83"/>
      <c r="S6" s="83"/>
      <c r="U6" s="83" t="s">
        <v>302</v>
      </c>
      <c r="V6" s="83"/>
      <c r="W6" s="83"/>
      <c r="X6" s="83"/>
      <c r="Y6" s="83"/>
      <c r="Z6" s="83"/>
      <c r="AJ6" s="32"/>
    </row>
    <row r="8" spans="1:282" ht="42">
      <c r="H8" s="11" t="s">
        <v>203</v>
      </c>
      <c r="J8" s="11" t="s">
        <v>392</v>
      </c>
      <c r="L8" s="11" t="s">
        <v>443</v>
      </c>
      <c r="N8" s="11" t="str" cm="1">
        <f t="array" aca="1" ref="N8" ca="1">TRANSPOSE(OFFSET(lists_reserves,,,COUNTA(lists_reserves)))</f>
        <v>regulating_up</v>
      </c>
      <c r="O8" s="11"/>
      <c r="P8" s="11"/>
      <c r="Q8" s="11"/>
      <c r="R8" s="11"/>
      <c r="S8" s="11"/>
      <c r="U8" s="11" t="e" cm="1" vm="1">
        <f t="array" aca="1" ref="U8" ca="1">TRANSPOSE(OFFSET(lists_non_emissions_policies,,,COUNTA(lists_non_emissions_policies)))</f>
        <v>#VALUE!</v>
      </c>
      <c r="V8" s="11"/>
      <c r="W8" s="11"/>
      <c r="X8" s="11"/>
      <c r="Y8" s="11"/>
      <c r="Z8" s="11"/>
      <c r="AB8" s="6" t="s">
        <v>417</v>
      </c>
      <c r="AC8" s="6" t="s">
        <v>418</v>
      </c>
      <c r="AE8" s="6" t="s">
        <v>400</v>
      </c>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K8" s="6" t="s">
        <v>419</v>
      </c>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Q8" s="6" t="s">
        <v>401</v>
      </c>
      <c r="CR8" s="6"/>
      <c r="CS8" s="6"/>
      <c r="CT8" s="6"/>
      <c r="CU8" s="6"/>
      <c r="CV8" s="6"/>
      <c r="CW8" s="6"/>
      <c r="CX8" s="6"/>
      <c r="CY8" s="6"/>
      <c r="CZ8" s="6"/>
      <c r="DA8" s="6"/>
      <c r="DB8" s="6"/>
      <c r="DC8" s="6"/>
      <c r="DD8" s="6"/>
      <c r="DE8" s="6"/>
      <c r="DF8" s="6"/>
      <c r="DG8" s="6"/>
      <c r="DH8" s="6"/>
      <c r="DI8" s="6"/>
      <c r="DJ8" s="6"/>
      <c r="DK8" s="6"/>
      <c r="DL8" s="6"/>
      <c r="DM8" s="6"/>
      <c r="DN8" s="6"/>
      <c r="DO8" s="6"/>
      <c r="DP8" s="6"/>
      <c r="DQ8" s="6"/>
      <c r="DR8" s="6"/>
      <c r="DS8" s="6"/>
      <c r="DT8" s="6"/>
      <c r="DU8" s="6"/>
      <c r="DW8" s="6" t="s">
        <v>403</v>
      </c>
      <c r="DX8" s="6"/>
      <c r="DY8" s="6"/>
      <c r="DZ8" s="6"/>
      <c r="EA8" s="6"/>
      <c r="EB8" s="6"/>
      <c r="EC8" s="6"/>
      <c r="ED8" s="6"/>
      <c r="EE8" s="6"/>
      <c r="EF8" s="6"/>
      <c r="EG8" s="6"/>
      <c r="EH8" s="6"/>
      <c r="EI8" s="6"/>
      <c r="EJ8" s="6"/>
      <c r="EK8" s="6"/>
      <c r="EL8" s="6"/>
      <c r="EM8" s="6"/>
      <c r="EN8" s="6"/>
      <c r="EO8" s="6"/>
      <c r="EP8" s="6"/>
      <c r="EQ8" s="6"/>
      <c r="ER8" s="6"/>
      <c r="ES8" s="6"/>
      <c r="ET8" s="6"/>
      <c r="EU8" s="6"/>
      <c r="EV8" s="6"/>
      <c r="EW8" s="6"/>
      <c r="EX8" s="6"/>
      <c r="EY8" s="6"/>
      <c r="EZ8" s="6"/>
      <c r="FA8" s="6"/>
      <c r="FC8" s="11" t="s">
        <v>420</v>
      </c>
      <c r="FD8" s="11" t="s">
        <v>476</v>
      </c>
      <c r="FF8" s="6" t="s">
        <v>404</v>
      </c>
      <c r="FG8" s="6"/>
      <c r="FH8" s="6"/>
      <c r="FI8" s="6"/>
      <c r="FJ8" s="6"/>
      <c r="FK8" s="6"/>
      <c r="FL8" s="6"/>
      <c r="FM8" s="6"/>
      <c r="FN8" s="6"/>
      <c r="FO8" s="6"/>
      <c r="FP8" s="6"/>
      <c r="FQ8" s="6"/>
      <c r="FR8" s="6"/>
      <c r="FS8" s="6"/>
      <c r="FT8" s="6"/>
      <c r="FU8" s="6"/>
      <c r="FV8" s="6"/>
      <c r="FW8" s="6"/>
      <c r="FX8" s="6"/>
      <c r="FY8" s="6"/>
      <c r="FZ8" s="6"/>
      <c r="GA8" s="6"/>
      <c r="GB8" s="6"/>
      <c r="GC8" s="6"/>
      <c r="GD8" s="6"/>
      <c r="GE8" s="6"/>
      <c r="GF8" s="6"/>
      <c r="GG8" s="6"/>
      <c r="GH8" s="6"/>
      <c r="GI8" s="6"/>
      <c r="GJ8" s="6"/>
      <c r="GL8" s="6" t="s">
        <v>421</v>
      </c>
      <c r="GM8" s="6"/>
      <c r="GN8" s="6"/>
      <c r="GO8" s="6"/>
      <c r="GP8" s="6"/>
      <c r="GQ8" s="6"/>
      <c r="GR8" s="6"/>
      <c r="GS8" s="6"/>
      <c r="GT8" s="6"/>
      <c r="GU8" s="6"/>
      <c r="GV8" s="6"/>
      <c r="GW8" s="6"/>
      <c r="GX8" s="6"/>
      <c r="GY8" s="6"/>
      <c r="GZ8" s="6"/>
      <c r="HA8" s="6"/>
      <c r="HB8" s="6"/>
      <c r="HC8" s="6"/>
      <c r="HD8" s="6"/>
      <c r="HE8" s="6"/>
      <c r="HF8" s="6"/>
      <c r="HG8" s="6"/>
      <c r="HH8" s="6"/>
      <c r="HI8" s="6"/>
      <c r="HJ8" s="6"/>
      <c r="HK8" s="6"/>
      <c r="HL8" s="6"/>
      <c r="HM8" s="6"/>
      <c r="HN8" s="6"/>
      <c r="HO8" s="6"/>
      <c r="HP8" s="6"/>
      <c r="HR8" s="6" t="s">
        <v>422</v>
      </c>
      <c r="HS8" s="6"/>
      <c r="HT8" s="6"/>
      <c r="HU8" s="6"/>
      <c r="HV8" s="6"/>
      <c r="HW8" s="6"/>
      <c r="HX8" s="6"/>
      <c r="HY8" s="6"/>
      <c r="HZ8" s="6"/>
      <c r="IA8" s="6"/>
      <c r="IB8" s="6"/>
      <c r="IC8" s="6"/>
      <c r="ID8" s="6"/>
      <c r="IE8" s="6"/>
      <c r="IF8" s="6"/>
      <c r="IG8" s="6"/>
      <c r="IH8" s="6"/>
      <c r="II8" s="6"/>
      <c r="IJ8" s="6"/>
      <c r="IK8" s="6"/>
      <c r="IL8" s="6"/>
      <c r="IM8" s="6"/>
      <c r="IN8" s="6"/>
      <c r="IO8" s="6"/>
      <c r="IP8" s="6"/>
      <c r="IQ8" s="6"/>
      <c r="IR8" s="6"/>
      <c r="IS8" s="6"/>
      <c r="IT8" s="6"/>
      <c r="IU8" s="6"/>
      <c r="IV8" s="6"/>
      <c r="IX8" s="11" t="s">
        <v>477</v>
      </c>
      <c r="IZ8" s="11" t="s">
        <v>433</v>
      </c>
      <c r="JA8" s="11" t="s">
        <v>434</v>
      </c>
      <c r="JB8" s="11" t="s">
        <v>435</v>
      </c>
      <c r="JC8" s="11" t="s">
        <v>436</v>
      </c>
      <c r="JE8" s="11" t="s">
        <v>437</v>
      </c>
      <c r="JF8" s="11" t="s">
        <v>438</v>
      </c>
      <c r="JG8" s="11" t="s">
        <v>439</v>
      </c>
      <c r="JH8" s="11" t="s">
        <v>440</v>
      </c>
      <c r="JI8" s="11" t="s">
        <v>491</v>
      </c>
      <c r="JJ8" s="11" t="s">
        <v>492</v>
      </c>
      <c r="JL8" s="11" t="s">
        <v>478</v>
      </c>
      <c r="JM8" s="11" t="s">
        <v>479</v>
      </c>
      <c r="JN8" s="11" t="s">
        <v>881</v>
      </c>
      <c r="JO8" s="11" t="s">
        <v>882</v>
      </c>
      <c r="JP8" s="11" t="s">
        <v>480</v>
      </c>
      <c r="JQ8" s="11" t="s">
        <v>481</v>
      </c>
      <c r="JS8" s="11" t="s">
        <v>441</v>
      </c>
      <c r="JT8" s="11" t="s">
        <v>442</v>
      </c>
      <c r="JU8" s="11" t="s">
        <v>388</v>
      </c>
    </row>
    <row r="9" spans="1:282" s="30" customFormat="1" outlineLevel="1">
      <c r="B9" s="30" t="s">
        <v>227</v>
      </c>
      <c r="F9"/>
      <c r="H9" s="30" t="s">
        <v>444</v>
      </c>
      <c r="J9" s="30" t="s">
        <v>445</v>
      </c>
      <c r="L9" s="30" t="s">
        <v>471</v>
      </c>
      <c r="N9" s="30" t="s">
        <v>447</v>
      </c>
      <c r="O9" s="30" t="s">
        <v>447</v>
      </c>
      <c r="P9" s="30" t="s">
        <v>447</v>
      </c>
      <c r="Q9" s="30" t="s">
        <v>447</v>
      </c>
      <c r="R9" s="30" t="s">
        <v>447</v>
      </c>
      <c r="S9" s="30" t="s">
        <v>447</v>
      </c>
      <c r="U9" s="30" t="s">
        <v>406</v>
      </c>
      <c r="V9" s="30" t="s">
        <v>406</v>
      </c>
      <c r="W9" s="30" t="s">
        <v>406</v>
      </c>
      <c r="X9" s="30" t="s">
        <v>406</v>
      </c>
      <c r="Y9" s="30" t="s">
        <v>406</v>
      </c>
      <c r="Z9" s="30" t="s">
        <v>406</v>
      </c>
      <c r="AB9" s="30" t="s">
        <v>410</v>
      </c>
      <c r="AC9" s="30" t="s">
        <v>448</v>
      </c>
      <c r="AD9"/>
      <c r="AE9" s="30" t="s">
        <v>408</v>
      </c>
      <c r="AF9" s="30" t="s">
        <v>408</v>
      </c>
      <c r="AG9" s="30" t="s">
        <v>408</v>
      </c>
      <c r="AH9" s="30" t="s">
        <v>408</v>
      </c>
      <c r="AI9" s="30" t="s">
        <v>408</v>
      </c>
      <c r="AJ9" s="30" t="s">
        <v>408</v>
      </c>
      <c r="AK9" s="30" t="s">
        <v>408</v>
      </c>
      <c r="AL9" s="30" t="s">
        <v>408</v>
      </c>
      <c r="AM9" s="30" t="s">
        <v>408</v>
      </c>
      <c r="AN9" s="30" t="s">
        <v>408</v>
      </c>
      <c r="AO9" s="30" t="s">
        <v>408</v>
      </c>
      <c r="AP9" s="30" t="s">
        <v>408</v>
      </c>
      <c r="AQ9" s="30" t="s">
        <v>408</v>
      </c>
      <c r="AR9" s="30" t="s">
        <v>408</v>
      </c>
      <c r="AS9" s="30" t="s">
        <v>408</v>
      </c>
      <c r="AT9" s="30" t="s">
        <v>408</v>
      </c>
      <c r="AU9" s="30" t="s">
        <v>408</v>
      </c>
      <c r="AV9" s="30" t="s">
        <v>408</v>
      </c>
      <c r="AW9" s="30" t="s">
        <v>408</v>
      </c>
      <c r="AX9" s="30" t="s">
        <v>408</v>
      </c>
      <c r="AY9" s="30" t="s">
        <v>408</v>
      </c>
      <c r="AZ9" s="30" t="s">
        <v>408</v>
      </c>
      <c r="BA9" s="30" t="s">
        <v>408</v>
      </c>
      <c r="BB9" s="30" t="s">
        <v>408</v>
      </c>
      <c r="BC9" s="30" t="s">
        <v>408</v>
      </c>
      <c r="BD9" s="30" t="s">
        <v>408</v>
      </c>
      <c r="BE9" s="30" t="s">
        <v>408</v>
      </c>
      <c r="BF9" s="30" t="s">
        <v>408</v>
      </c>
      <c r="BG9" s="30" t="s">
        <v>408</v>
      </c>
      <c r="BH9" s="30" t="s">
        <v>408</v>
      </c>
      <c r="BI9" s="30" t="s">
        <v>408</v>
      </c>
      <c r="BK9" s="30" t="s">
        <v>449</v>
      </c>
      <c r="BL9" s="30" t="s">
        <v>449</v>
      </c>
      <c r="BM9" s="30" t="s">
        <v>449</v>
      </c>
      <c r="BN9" s="30" t="s">
        <v>449</v>
      </c>
      <c r="BO9" s="30" t="s">
        <v>449</v>
      </c>
      <c r="BP9" s="30" t="s">
        <v>449</v>
      </c>
      <c r="BQ9" s="30" t="s">
        <v>449</v>
      </c>
      <c r="BR9" s="30" t="s">
        <v>449</v>
      </c>
      <c r="BS9" s="30" t="s">
        <v>449</v>
      </c>
      <c r="BT9" s="30" t="s">
        <v>449</v>
      </c>
      <c r="BU9" s="30" t="s">
        <v>449</v>
      </c>
      <c r="BV9" s="30" t="s">
        <v>449</v>
      </c>
      <c r="BW9" s="30" t="s">
        <v>449</v>
      </c>
      <c r="BX9" s="30" t="s">
        <v>449</v>
      </c>
      <c r="BY9" s="30" t="s">
        <v>449</v>
      </c>
      <c r="BZ9" s="30" t="s">
        <v>449</v>
      </c>
      <c r="CA9" s="30" t="s">
        <v>449</v>
      </c>
      <c r="CB9" s="30" t="s">
        <v>449</v>
      </c>
      <c r="CC9" s="30" t="s">
        <v>449</v>
      </c>
      <c r="CD9" s="30" t="s">
        <v>449</v>
      </c>
      <c r="CE9" s="30" t="s">
        <v>449</v>
      </c>
      <c r="CF9" s="30" t="s">
        <v>449</v>
      </c>
      <c r="CG9" s="30" t="s">
        <v>449</v>
      </c>
      <c r="CH9" s="30" t="s">
        <v>449</v>
      </c>
      <c r="CI9" s="30" t="s">
        <v>449</v>
      </c>
      <c r="CJ9" s="30" t="s">
        <v>449</v>
      </c>
      <c r="CK9" s="30" t="s">
        <v>449</v>
      </c>
      <c r="CL9" s="30" t="s">
        <v>449</v>
      </c>
      <c r="CM9" s="30" t="s">
        <v>449</v>
      </c>
      <c r="CN9" s="30" t="s">
        <v>449</v>
      </c>
      <c r="CO9" s="30" t="s">
        <v>449</v>
      </c>
      <c r="CQ9" s="30" t="s">
        <v>409</v>
      </c>
      <c r="CR9" s="30" t="s">
        <v>409</v>
      </c>
      <c r="CS9" s="30" t="s">
        <v>409</v>
      </c>
      <c r="CT9" s="30" t="s">
        <v>409</v>
      </c>
      <c r="CU9" s="30" t="s">
        <v>409</v>
      </c>
      <c r="CV9" s="30" t="s">
        <v>409</v>
      </c>
      <c r="CW9" s="30" t="s">
        <v>409</v>
      </c>
      <c r="CX9" s="30" t="s">
        <v>409</v>
      </c>
      <c r="CY9" s="30" t="s">
        <v>409</v>
      </c>
      <c r="CZ9" s="30" t="s">
        <v>409</v>
      </c>
      <c r="DA9" s="30" t="s">
        <v>409</v>
      </c>
      <c r="DB9" s="30" t="s">
        <v>409</v>
      </c>
      <c r="DC9" s="30" t="s">
        <v>409</v>
      </c>
      <c r="DD9" s="30" t="s">
        <v>409</v>
      </c>
      <c r="DE9" s="30" t="s">
        <v>409</v>
      </c>
      <c r="DF9" s="30" t="s">
        <v>409</v>
      </c>
      <c r="DG9" s="30" t="s">
        <v>409</v>
      </c>
      <c r="DH9" s="30" t="s">
        <v>409</v>
      </c>
      <c r="DI9" s="30" t="s">
        <v>409</v>
      </c>
      <c r="DJ9" s="30" t="s">
        <v>409</v>
      </c>
      <c r="DK9" s="30" t="s">
        <v>409</v>
      </c>
      <c r="DL9" s="30" t="s">
        <v>409</v>
      </c>
      <c r="DM9" s="30" t="s">
        <v>409</v>
      </c>
      <c r="DN9" s="30" t="s">
        <v>409</v>
      </c>
      <c r="DO9" s="30" t="s">
        <v>409</v>
      </c>
      <c r="DP9" s="30" t="s">
        <v>409</v>
      </c>
      <c r="DQ9" s="30" t="s">
        <v>409</v>
      </c>
      <c r="DR9" s="30" t="s">
        <v>409</v>
      </c>
      <c r="DS9" s="30" t="s">
        <v>409</v>
      </c>
      <c r="DT9" s="30" t="s">
        <v>409</v>
      </c>
      <c r="DU9" s="30" t="s">
        <v>409</v>
      </c>
      <c r="DW9" s="30" t="s">
        <v>411</v>
      </c>
      <c r="DX9" s="30" t="s">
        <v>411</v>
      </c>
      <c r="DY9" s="30" t="s">
        <v>411</v>
      </c>
      <c r="DZ9" s="30" t="s">
        <v>411</v>
      </c>
      <c r="EA9" s="30" t="s">
        <v>411</v>
      </c>
      <c r="EB9" s="30" t="s">
        <v>411</v>
      </c>
      <c r="EC9" s="30" t="s">
        <v>411</v>
      </c>
      <c r="ED9" s="30" t="s">
        <v>411</v>
      </c>
      <c r="EE9" s="30" t="s">
        <v>411</v>
      </c>
      <c r="EF9" s="30" t="s">
        <v>411</v>
      </c>
      <c r="EG9" s="30" t="s">
        <v>411</v>
      </c>
      <c r="EH9" s="30" t="s">
        <v>411</v>
      </c>
      <c r="EI9" s="30" t="s">
        <v>411</v>
      </c>
      <c r="EJ9" s="30" t="s">
        <v>411</v>
      </c>
      <c r="EK9" s="30" t="s">
        <v>411</v>
      </c>
      <c r="EL9" s="30" t="s">
        <v>411</v>
      </c>
      <c r="EM9" s="30" t="s">
        <v>411</v>
      </c>
      <c r="EN9" s="30" t="s">
        <v>411</v>
      </c>
      <c r="EO9" s="30" t="s">
        <v>411</v>
      </c>
      <c r="EP9" s="30" t="s">
        <v>411</v>
      </c>
      <c r="EQ9" s="30" t="s">
        <v>411</v>
      </c>
      <c r="ER9" s="30" t="s">
        <v>411</v>
      </c>
      <c r="ES9" s="30" t="s">
        <v>411</v>
      </c>
      <c r="ET9" s="30" t="s">
        <v>411</v>
      </c>
      <c r="EU9" s="30" t="s">
        <v>411</v>
      </c>
      <c r="EV9" s="30" t="s">
        <v>411</v>
      </c>
      <c r="EW9" s="30" t="s">
        <v>411</v>
      </c>
      <c r="EX9" s="30" t="s">
        <v>411</v>
      </c>
      <c r="EY9" s="30" t="s">
        <v>411</v>
      </c>
      <c r="EZ9" s="30" t="s">
        <v>411</v>
      </c>
      <c r="FA9" s="30" t="s">
        <v>411</v>
      </c>
      <c r="FC9" s="30" t="s">
        <v>450</v>
      </c>
      <c r="FD9" s="30" t="s">
        <v>482</v>
      </c>
      <c r="FF9" s="30" t="s">
        <v>412</v>
      </c>
      <c r="FG9" s="30" t="s">
        <v>412</v>
      </c>
      <c r="FH9" s="30" t="s">
        <v>412</v>
      </c>
      <c r="FI9" s="30" t="s">
        <v>412</v>
      </c>
      <c r="FJ9" s="30" t="s">
        <v>412</v>
      </c>
      <c r="FK9" s="30" t="s">
        <v>412</v>
      </c>
      <c r="FL9" s="30" t="s">
        <v>412</v>
      </c>
      <c r="FM9" s="30" t="s">
        <v>412</v>
      </c>
      <c r="FN9" s="30" t="s">
        <v>412</v>
      </c>
      <c r="FO9" s="30" t="s">
        <v>412</v>
      </c>
      <c r="FP9" s="30" t="s">
        <v>412</v>
      </c>
      <c r="FQ9" s="30" t="s">
        <v>412</v>
      </c>
      <c r="FR9" s="30" t="s">
        <v>412</v>
      </c>
      <c r="FS9" s="30" t="s">
        <v>412</v>
      </c>
      <c r="FT9" s="30" t="s">
        <v>412</v>
      </c>
      <c r="FU9" s="30" t="s">
        <v>412</v>
      </c>
      <c r="FV9" s="30" t="s">
        <v>412</v>
      </c>
      <c r="FW9" s="30" t="s">
        <v>412</v>
      </c>
      <c r="FX9" s="30" t="s">
        <v>412</v>
      </c>
      <c r="FY9" s="30" t="s">
        <v>412</v>
      </c>
      <c r="FZ9" s="30" t="s">
        <v>412</v>
      </c>
      <c r="GA9" s="30" t="s">
        <v>412</v>
      </c>
      <c r="GB9" s="30" t="s">
        <v>412</v>
      </c>
      <c r="GC9" s="30" t="s">
        <v>412</v>
      </c>
      <c r="GD9" s="30" t="s">
        <v>412</v>
      </c>
      <c r="GE9" s="30" t="s">
        <v>412</v>
      </c>
      <c r="GF9" s="30" t="s">
        <v>412</v>
      </c>
      <c r="GG9" s="30" t="s">
        <v>412</v>
      </c>
      <c r="GH9" s="30" t="s">
        <v>412</v>
      </c>
      <c r="GI9" s="30" t="s">
        <v>412</v>
      </c>
      <c r="GJ9" s="30" t="s">
        <v>412</v>
      </c>
      <c r="GL9" s="30" t="s">
        <v>451</v>
      </c>
      <c r="GM9" s="30" t="s">
        <v>451</v>
      </c>
      <c r="GN9" s="30" t="s">
        <v>451</v>
      </c>
      <c r="GO9" s="30" t="s">
        <v>451</v>
      </c>
      <c r="GP9" s="30" t="s">
        <v>451</v>
      </c>
      <c r="GQ9" s="30" t="s">
        <v>451</v>
      </c>
      <c r="GR9" s="30" t="s">
        <v>451</v>
      </c>
      <c r="GS9" s="30" t="s">
        <v>451</v>
      </c>
      <c r="GT9" s="30" t="s">
        <v>451</v>
      </c>
      <c r="GU9" s="30" t="s">
        <v>451</v>
      </c>
      <c r="GV9" s="30" t="s">
        <v>451</v>
      </c>
      <c r="GW9" s="30" t="s">
        <v>451</v>
      </c>
      <c r="GX9" s="30" t="s">
        <v>451</v>
      </c>
      <c r="GY9" s="30" t="s">
        <v>451</v>
      </c>
      <c r="GZ9" s="30" t="s">
        <v>451</v>
      </c>
      <c r="HA9" s="30" t="s">
        <v>451</v>
      </c>
      <c r="HB9" s="30" t="s">
        <v>451</v>
      </c>
      <c r="HC9" s="30" t="s">
        <v>451</v>
      </c>
      <c r="HD9" s="30" t="s">
        <v>451</v>
      </c>
      <c r="HE9" s="30" t="s">
        <v>451</v>
      </c>
      <c r="HF9" s="30" t="s">
        <v>451</v>
      </c>
      <c r="HG9" s="30" t="s">
        <v>451</v>
      </c>
      <c r="HH9" s="30" t="s">
        <v>451</v>
      </c>
      <c r="HI9" s="30" t="s">
        <v>451</v>
      </c>
      <c r="HJ9" s="30" t="s">
        <v>451</v>
      </c>
      <c r="HK9" s="30" t="s">
        <v>451</v>
      </c>
      <c r="HL9" s="30" t="s">
        <v>451</v>
      </c>
      <c r="HM9" s="30" t="s">
        <v>451</v>
      </c>
      <c r="HN9" s="30" t="s">
        <v>451</v>
      </c>
      <c r="HO9" s="30" t="s">
        <v>451</v>
      </c>
      <c r="HP9" s="30" t="s">
        <v>451</v>
      </c>
      <c r="HR9" s="30" t="s">
        <v>452</v>
      </c>
      <c r="HS9" s="30" t="s">
        <v>452</v>
      </c>
      <c r="HT9" s="30" t="s">
        <v>452</v>
      </c>
      <c r="HU9" s="30" t="s">
        <v>452</v>
      </c>
      <c r="HV9" s="30" t="s">
        <v>452</v>
      </c>
      <c r="HW9" s="30" t="s">
        <v>452</v>
      </c>
      <c r="HX9" s="30" t="s">
        <v>452</v>
      </c>
      <c r="HY9" s="30" t="s">
        <v>452</v>
      </c>
      <c r="HZ9" s="30" t="s">
        <v>452</v>
      </c>
      <c r="IA9" s="30" t="s">
        <v>452</v>
      </c>
      <c r="IB9" s="30" t="s">
        <v>452</v>
      </c>
      <c r="IC9" s="30" t="s">
        <v>452</v>
      </c>
      <c r="ID9" s="30" t="s">
        <v>452</v>
      </c>
      <c r="IE9" s="30" t="s">
        <v>452</v>
      </c>
      <c r="IF9" s="30" t="s">
        <v>452</v>
      </c>
      <c r="IG9" s="30" t="s">
        <v>452</v>
      </c>
      <c r="IH9" s="30" t="s">
        <v>452</v>
      </c>
      <c r="II9" s="30" t="s">
        <v>452</v>
      </c>
      <c r="IJ9" s="30" t="s">
        <v>452</v>
      </c>
      <c r="IK9" s="30" t="s">
        <v>452</v>
      </c>
      <c r="IL9" s="30" t="s">
        <v>452</v>
      </c>
      <c r="IM9" s="30" t="s">
        <v>452</v>
      </c>
      <c r="IN9" s="30" t="s">
        <v>452</v>
      </c>
      <c r="IO9" s="30" t="s">
        <v>452</v>
      </c>
      <c r="IP9" s="30" t="s">
        <v>452</v>
      </c>
      <c r="IQ9" s="30" t="s">
        <v>452</v>
      </c>
      <c r="IR9" s="30" t="s">
        <v>452</v>
      </c>
      <c r="IS9" s="30" t="s">
        <v>452</v>
      </c>
      <c r="IT9" s="30" t="s">
        <v>452</v>
      </c>
      <c r="IU9" s="30" t="s">
        <v>452</v>
      </c>
      <c r="IV9" s="30" t="s">
        <v>452</v>
      </c>
      <c r="IX9" s="30" t="s">
        <v>483</v>
      </c>
      <c r="IY9"/>
      <c r="IZ9" s="30" t="s">
        <v>463</v>
      </c>
      <c r="JA9" s="30" t="s">
        <v>464</v>
      </c>
      <c r="JB9" s="30" t="s">
        <v>465</v>
      </c>
      <c r="JC9" s="30" t="s">
        <v>466</v>
      </c>
      <c r="JE9" s="30" t="s">
        <v>467</v>
      </c>
      <c r="JF9" s="30" t="s">
        <v>467</v>
      </c>
      <c r="JG9" s="30" t="s">
        <v>468</v>
      </c>
      <c r="JH9" s="30" t="s">
        <v>468</v>
      </c>
      <c r="JI9" s="30" t="s">
        <v>493</v>
      </c>
      <c r="JJ9" s="30" t="s">
        <v>493</v>
      </c>
      <c r="JL9" s="30" t="s">
        <v>494</v>
      </c>
      <c r="JM9" s="30" t="s">
        <v>494</v>
      </c>
      <c r="JN9" s="30" t="s">
        <v>495</v>
      </c>
      <c r="JO9" s="30" t="s">
        <v>495</v>
      </c>
      <c r="JP9" s="30" t="s">
        <v>496</v>
      </c>
      <c r="JQ9" s="30" t="s">
        <v>496</v>
      </c>
      <c r="JS9" s="30" t="s">
        <v>469</v>
      </c>
      <c r="JT9" s="30" t="s">
        <v>470</v>
      </c>
      <c r="JU9" s="30" t="s">
        <v>391</v>
      </c>
    </row>
    <row r="10" spans="1:282" ht="42">
      <c r="B10" s="6" t="s">
        <v>472</v>
      </c>
      <c r="D10" s="11" t="str">
        <f>"Included in Current System ("&amp;system_name&amp;")"</f>
        <v>Included in Current System (ISONE_toy_system)</v>
      </c>
      <c r="F10" s="11" t="s">
        <v>251</v>
      </c>
      <c r="H10" s="26"/>
      <c r="J10" s="26"/>
      <c r="L10" s="26"/>
      <c r="N10" s="26"/>
      <c r="O10" s="26"/>
      <c r="P10" s="26"/>
      <c r="Q10" s="26"/>
      <c r="R10" s="26"/>
      <c r="S10" s="26"/>
      <c r="U10" s="26"/>
      <c r="V10" s="26"/>
      <c r="W10" s="26"/>
      <c r="X10" s="26"/>
      <c r="Y10" s="26"/>
      <c r="Z10" s="26"/>
      <c r="AB10" s="26" t="s">
        <v>277</v>
      </c>
      <c r="AC10" s="26" t="s">
        <v>277</v>
      </c>
      <c r="AE10" s="59">
        <f>start_year</f>
        <v>43831</v>
      </c>
      <c r="AF10" s="59">
        <f t="shared" ref="AF10:BI10" si="0">EDATE(AE10,12)</f>
        <v>44197</v>
      </c>
      <c r="AG10" s="59">
        <f t="shared" si="0"/>
        <v>44562</v>
      </c>
      <c r="AH10" s="59">
        <f t="shared" si="0"/>
        <v>44927</v>
      </c>
      <c r="AI10" s="59">
        <f t="shared" si="0"/>
        <v>45292</v>
      </c>
      <c r="AJ10" s="59">
        <f t="shared" si="0"/>
        <v>45658</v>
      </c>
      <c r="AK10" s="59">
        <f t="shared" si="0"/>
        <v>46023</v>
      </c>
      <c r="AL10" s="59">
        <f t="shared" si="0"/>
        <v>46388</v>
      </c>
      <c r="AM10" s="59">
        <f t="shared" si="0"/>
        <v>46753</v>
      </c>
      <c r="AN10" s="59">
        <f t="shared" si="0"/>
        <v>47119</v>
      </c>
      <c r="AO10" s="59">
        <f t="shared" si="0"/>
        <v>47484</v>
      </c>
      <c r="AP10" s="59">
        <f t="shared" si="0"/>
        <v>47849</v>
      </c>
      <c r="AQ10" s="59">
        <f t="shared" si="0"/>
        <v>48214</v>
      </c>
      <c r="AR10" s="59">
        <f t="shared" si="0"/>
        <v>48580</v>
      </c>
      <c r="AS10" s="59">
        <f t="shared" si="0"/>
        <v>48945</v>
      </c>
      <c r="AT10" s="59">
        <f t="shared" si="0"/>
        <v>49310</v>
      </c>
      <c r="AU10" s="59">
        <f t="shared" si="0"/>
        <v>49675</v>
      </c>
      <c r="AV10" s="59">
        <f t="shared" si="0"/>
        <v>50041</v>
      </c>
      <c r="AW10" s="59">
        <f t="shared" si="0"/>
        <v>50406</v>
      </c>
      <c r="AX10" s="59">
        <f t="shared" si="0"/>
        <v>50771</v>
      </c>
      <c r="AY10" s="59">
        <f t="shared" si="0"/>
        <v>51136</v>
      </c>
      <c r="AZ10" s="59">
        <f t="shared" si="0"/>
        <v>51502</v>
      </c>
      <c r="BA10" s="59">
        <f t="shared" si="0"/>
        <v>51867</v>
      </c>
      <c r="BB10" s="59">
        <f t="shared" si="0"/>
        <v>52232</v>
      </c>
      <c r="BC10" s="59">
        <f t="shared" si="0"/>
        <v>52597</v>
      </c>
      <c r="BD10" s="59">
        <f t="shared" si="0"/>
        <v>52963</v>
      </c>
      <c r="BE10" s="59">
        <f t="shared" si="0"/>
        <v>53328</v>
      </c>
      <c r="BF10" s="59">
        <f t="shared" si="0"/>
        <v>53693</v>
      </c>
      <c r="BG10" s="59">
        <f t="shared" si="0"/>
        <v>54058</v>
      </c>
      <c r="BH10" s="59">
        <f t="shared" si="0"/>
        <v>54424</v>
      </c>
      <c r="BI10" s="59">
        <f t="shared" si="0"/>
        <v>54789</v>
      </c>
      <c r="BK10" s="59">
        <f>start_year</f>
        <v>43831</v>
      </c>
      <c r="BL10" s="59">
        <f t="shared" ref="BL10:CO10" si="1">EDATE(BK10,12)</f>
        <v>44197</v>
      </c>
      <c r="BM10" s="59">
        <f t="shared" si="1"/>
        <v>44562</v>
      </c>
      <c r="BN10" s="59">
        <f t="shared" si="1"/>
        <v>44927</v>
      </c>
      <c r="BO10" s="59">
        <f t="shared" si="1"/>
        <v>45292</v>
      </c>
      <c r="BP10" s="59">
        <f t="shared" si="1"/>
        <v>45658</v>
      </c>
      <c r="BQ10" s="59">
        <f t="shared" si="1"/>
        <v>46023</v>
      </c>
      <c r="BR10" s="59">
        <f t="shared" si="1"/>
        <v>46388</v>
      </c>
      <c r="BS10" s="59">
        <f t="shared" si="1"/>
        <v>46753</v>
      </c>
      <c r="BT10" s="59">
        <f t="shared" si="1"/>
        <v>47119</v>
      </c>
      <c r="BU10" s="59">
        <f t="shared" si="1"/>
        <v>47484</v>
      </c>
      <c r="BV10" s="59">
        <f t="shared" si="1"/>
        <v>47849</v>
      </c>
      <c r="BW10" s="59">
        <f t="shared" si="1"/>
        <v>48214</v>
      </c>
      <c r="BX10" s="59">
        <f t="shared" si="1"/>
        <v>48580</v>
      </c>
      <c r="BY10" s="59">
        <f t="shared" si="1"/>
        <v>48945</v>
      </c>
      <c r="BZ10" s="59">
        <f t="shared" si="1"/>
        <v>49310</v>
      </c>
      <c r="CA10" s="59">
        <f t="shared" si="1"/>
        <v>49675</v>
      </c>
      <c r="CB10" s="59">
        <f t="shared" si="1"/>
        <v>50041</v>
      </c>
      <c r="CC10" s="59">
        <f t="shared" si="1"/>
        <v>50406</v>
      </c>
      <c r="CD10" s="59">
        <f t="shared" si="1"/>
        <v>50771</v>
      </c>
      <c r="CE10" s="59">
        <f t="shared" si="1"/>
        <v>51136</v>
      </c>
      <c r="CF10" s="59">
        <f t="shared" si="1"/>
        <v>51502</v>
      </c>
      <c r="CG10" s="59">
        <f t="shared" si="1"/>
        <v>51867</v>
      </c>
      <c r="CH10" s="59">
        <f t="shared" si="1"/>
        <v>52232</v>
      </c>
      <c r="CI10" s="59">
        <f t="shared" si="1"/>
        <v>52597</v>
      </c>
      <c r="CJ10" s="59">
        <f t="shared" si="1"/>
        <v>52963</v>
      </c>
      <c r="CK10" s="59">
        <f t="shared" si="1"/>
        <v>53328</v>
      </c>
      <c r="CL10" s="59">
        <f t="shared" si="1"/>
        <v>53693</v>
      </c>
      <c r="CM10" s="59">
        <f t="shared" si="1"/>
        <v>54058</v>
      </c>
      <c r="CN10" s="59">
        <f t="shared" si="1"/>
        <v>54424</v>
      </c>
      <c r="CO10" s="59">
        <f t="shared" si="1"/>
        <v>54789</v>
      </c>
      <c r="CQ10" s="59">
        <f>start_year</f>
        <v>43831</v>
      </c>
      <c r="CR10" s="59">
        <f t="shared" ref="CR10:DU10" si="2">EDATE(CQ10,12)</f>
        <v>44197</v>
      </c>
      <c r="CS10" s="59">
        <f t="shared" si="2"/>
        <v>44562</v>
      </c>
      <c r="CT10" s="59">
        <f t="shared" si="2"/>
        <v>44927</v>
      </c>
      <c r="CU10" s="59">
        <f t="shared" si="2"/>
        <v>45292</v>
      </c>
      <c r="CV10" s="59">
        <f t="shared" si="2"/>
        <v>45658</v>
      </c>
      <c r="CW10" s="59">
        <f t="shared" si="2"/>
        <v>46023</v>
      </c>
      <c r="CX10" s="59">
        <f t="shared" si="2"/>
        <v>46388</v>
      </c>
      <c r="CY10" s="59">
        <f t="shared" si="2"/>
        <v>46753</v>
      </c>
      <c r="CZ10" s="59">
        <f t="shared" si="2"/>
        <v>47119</v>
      </c>
      <c r="DA10" s="59">
        <f t="shared" si="2"/>
        <v>47484</v>
      </c>
      <c r="DB10" s="59">
        <f t="shared" si="2"/>
        <v>47849</v>
      </c>
      <c r="DC10" s="59">
        <f t="shared" si="2"/>
        <v>48214</v>
      </c>
      <c r="DD10" s="59">
        <f t="shared" si="2"/>
        <v>48580</v>
      </c>
      <c r="DE10" s="59">
        <f t="shared" si="2"/>
        <v>48945</v>
      </c>
      <c r="DF10" s="59">
        <f t="shared" si="2"/>
        <v>49310</v>
      </c>
      <c r="DG10" s="59">
        <f t="shared" si="2"/>
        <v>49675</v>
      </c>
      <c r="DH10" s="59">
        <f t="shared" si="2"/>
        <v>50041</v>
      </c>
      <c r="DI10" s="59">
        <f t="shared" si="2"/>
        <v>50406</v>
      </c>
      <c r="DJ10" s="59">
        <f t="shared" si="2"/>
        <v>50771</v>
      </c>
      <c r="DK10" s="59">
        <f t="shared" si="2"/>
        <v>51136</v>
      </c>
      <c r="DL10" s="59">
        <f t="shared" si="2"/>
        <v>51502</v>
      </c>
      <c r="DM10" s="59">
        <f t="shared" si="2"/>
        <v>51867</v>
      </c>
      <c r="DN10" s="59">
        <f t="shared" si="2"/>
        <v>52232</v>
      </c>
      <c r="DO10" s="59">
        <f t="shared" si="2"/>
        <v>52597</v>
      </c>
      <c r="DP10" s="59">
        <f t="shared" si="2"/>
        <v>52963</v>
      </c>
      <c r="DQ10" s="59">
        <f t="shared" si="2"/>
        <v>53328</v>
      </c>
      <c r="DR10" s="59">
        <f t="shared" si="2"/>
        <v>53693</v>
      </c>
      <c r="DS10" s="59">
        <f t="shared" si="2"/>
        <v>54058</v>
      </c>
      <c r="DT10" s="59">
        <f t="shared" si="2"/>
        <v>54424</v>
      </c>
      <c r="DU10" s="59">
        <f t="shared" si="2"/>
        <v>54789</v>
      </c>
      <c r="DW10" s="59">
        <f>start_year</f>
        <v>43831</v>
      </c>
      <c r="DX10" s="59">
        <f t="shared" ref="DX10:FA10" si="3">EDATE(DW10,12)</f>
        <v>44197</v>
      </c>
      <c r="DY10" s="59">
        <f t="shared" si="3"/>
        <v>44562</v>
      </c>
      <c r="DZ10" s="59">
        <f t="shared" si="3"/>
        <v>44927</v>
      </c>
      <c r="EA10" s="59">
        <f t="shared" si="3"/>
        <v>45292</v>
      </c>
      <c r="EB10" s="59">
        <f t="shared" si="3"/>
        <v>45658</v>
      </c>
      <c r="EC10" s="59">
        <f t="shared" si="3"/>
        <v>46023</v>
      </c>
      <c r="ED10" s="59">
        <f t="shared" si="3"/>
        <v>46388</v>
      </c>
      <c r="EE10" s="59">
        <f t="shared" si="3"/>
        <v>46753</v>
      </c>
      <c r="EF10" s="59">
        <f t="shared" si="3"/>
        <v>47119</v>
      </c>
      <c r="EG10" s="59">
        <f t="shared" si="3"/>
        <v>47484</v>
      </c>
      <c r="EH10" s="59">
        <f t="shared" si="3"/>
        <v>47849</v>
      </c>
      <c r="EI10" s="59">
        <f t="shared" si="3"/>
        <v>48214</v>
      </c>
      <c r="EJ10" s="59">
        <f t="shared" si="3"/>
        <v>48580</v>
      </c>
      <c r="EK10" s="59">
        <f t="shared" si="3"/>
        <v>48945</v>
      </c>
      <c r="EL10" s="59">
        <f t="shared" si="3"/>
        <v>49310</v>
      </c>
      <c r="EM10" s="59">
        <f t="shared" si="3"/>
        <v>49675</v>
      </c>
      <c r="EN10" s="59">
        <f t="shared" si="3"/>
        <v>50041</v>
      </c>
      <c r="EO10" s="59">
        <f t="shared" si="3"/>
        <v>50406</v>
      </c>
      <c r="EP10" s="59">
        <f t="shared" si="3"/>
        <v>50771</v>
      </c>
      <c r="EQ10" s="59">
        <f t="shared" si="3"/>
        <v>51136</v>
      </c>
      <c r="ER10" s="59">
        <f t="shared" si="3"/>
        <v>51502</v>
      </c>
      <c r="ES10" s="59">
        <f t="shared" si="3"/>
        <v>51867</v>
      </c>
      <c r="ET10" s="59">
        <f t="shared" si="3"/>
        <v>52232</v>
      </c>
      <c r="EU10" s="59">
        <f t="shared" si="3"/>
        <v>52597</v>
      </c>
      <c r="EV10" s="59">
        <f t="shared" si="3"/>
        <v>52963</v>
      </c>
      <c r="EW10" s="59">
        <f t="shared" si="3"/>
        <v>53328</v>
      </c>
      <c r="EX10" s="59">
        <f t="shared" si="3"/>
        <v>53693</v>
      </c>
      <c r="EY10" s="59">
        <f t="shared" si="3"/>
        <v>54058</v>
      </c>
      <c r="EZ10" s="59">
        <f t="shared" si="3"/>
        <v>54424</v>
      </c>
      <c r="FA10" s="59">
        <f t="shared" si="3"/>
        <v>54789</v>
      </c>
      <c r="FC10" s="59">
        <f>start_year</f>
        <v>43831</v>
      </c>
      <c r="FD10" s="59">
        <f>start_year</f>
        <v>43831</v>
      </c>
      <c r="FF10" s="59">
        <f>start_year</f>
        <v>43831</v>
      </c>
      <c r="FG10" s="59">
        <f t="shared" ref="FG10:GJ10" si="4">EDATE(FF10,12)</f>
        <v>44197</v>
      </c>
      <c r="FH10" s="59">
        <f t="shared" si="4"/>
        <v>44562</v>
      </c>
      <c r="FI10" s="59">
        <f t="shared" si="4"/>
        <v>44927</v>
      </c>
      <c r="FJ10" s="59">
        <f t="shared" si="4"/>
        <v>45292</v>
      </c>
      <c r="FK10" s="59">
        <f t="shared" si="4"/>
        <v>45658</v>
      </c>
      <c r="FL10" s="59">
        <f t="shared" si="4"/>
        <v>46023</v>
      </c>
      <c r="FM10" s="59">
        <f t="shared" si="4"/>
        <v>46388</v>
      </c>
      <c r="FN10" s="59">
        <f t="shared" si="4"/>
        <v>46753</v>
      </c>
      <c r="FO10" s="59">
        <f t="shared" si="4"/>
        <v>47119</v>
      </c>
      <c r="FP10" s="59">
        <f t="shared" si="4"/>
        <v>47484</v>
      </c>
      <c r="FQ10" s="59">
        <f t="shared" si="4"/>
        <v>47849</v>
      </c>
      <c r="FR10" s="59">
        <f t="shared" si="4"/>
        <v>48214</v>
      </c>
      <c r="FS10" s="59">
        <f t="shared" si="4"/>
        <v>48580</v>
      </c>
      <c r="FT10" s="59">
        <f t="shared" si="4"/>
        <v>48945</v>
      </c>
      <c r="FU10" s="59">
        <f t="shared" si="4"/>
        <v>49310</v>
      </c>
      <c r="FV10" s="59">
        <f t="shared" si="4"/>
        <v>49675</v>
      </c>
      <c r="FW10" s="59">
        <f t="shared" si="4"/>
        <v>50041</v>
      </c>
      <c r="FX10" s="59">
        <f t="shared" si="4"/>
        <v>50406</v>
      </c>
      <c r="FY10" s="59">
        <f t="shared" si="4"/>
        <v>50771</v>
      </c>
      <c r="FZ10" s="59">
        <f t="shared" si="4"/>
        <v>51136</v>
      </c>
      <c r="GA10" s="59">
        <f t="shared" si="4"/>
        <v>51502</v>
      </c>
      <c r="GB10" s="59">
        <f t="shared" si="4"/>
        <v>51867</v>
      </c>
      <c r="GC10" s="59">
        <f t="shared" si="4"/>
        <v>52232</v>
      </c>
      <c r="GD10" s="59">
        <f t="shared" si="4"/>
        <v>52597</v>
      </c>
      <c r="GE10" s="59">
        <f t="shared" si="4"/>
        <v>52963</v>
      </c>
      <c r="GF10" s="59">
        <f t="shared" si="4"/>
        <v>53328</v>
      </c>
      <c r="GG10" s="59">
        <f t="shared" si="4"/>
        <v>53693</v>
      </c>
      <c r="GH10" s="59">
        <f t="shared" si="4"/>
        <v>54058</v>
      </c>
      <c r="GI10" s="59">
        <f t="shared" si="4"/>
        <v>54424</v>
      </c>
      <c r="GJ10" s="59">
        <f t="shared" si="4"/>
        <v>54789</v>
      </c>
      <c r="GL10" s="59">
        <f>start_year</f>
        <v>43831</v>
      </c>
      <c r="GM10" s="59">
        <f t="shared" ref="GM10:HP10" si="5">EDATE(GL10,12)</f>
        <v>44197</v>
      </c>
      <c r="GN10" s="59">
        <f t="shared" si="5"/>
        <v>44562</v>
      </c>
      <c r="GO10" s="59">
        <f t="shared" si="5"/>
        <v>44927</v>
      </c>
      <c r="GP10" s="59">
        <f t="shared" si="5"/>
        <v>45292</v>
      </c>
      <c r="GQ10" s="59">
        <f t="shared" si="5"/>
        <v>45658</v>
      </c>
      <c r="GR10" s="59">
        <f t="shared" si="5"/>
        <v>46023</v>
      </c>
      <c r="GS10" s="59">
        <f t="shared" si="5"/>
        <v>46388</v>
      </c>
      <c r="GT10" s="59">
        <f t="shared" si="5"/>
        <v>46753</v>
      </c>
      <c r="GU10" s="59">
        <f t="shared" si="5"/>
        <v>47119</v>
      </c>
      <c r="GV10" s="59">
        <f t="shared" si="5"/>
        <v>47484</v>
      </c>
      <c r="GW10" s="59">
        <f t="shared" si="5"/>
        <v>47849</v>
      </c>
      <c r="GX10" s="59">
        <f t="shared" si="5"/>
        <v>48214</v>
      </c>
      <c r="GY10" s="59">
        <f t="shared" si="5"/>
        <v>48580</v>
      </c>
      <c r="GZ10" s="59">
        <f t="shared" si="5"/>
        <v>48945</v>
      </c>
      <c r="HA10" s="59">
        <f t="shared" si="5"/>
        <v>49310</v>
      </c>
      <c r="HB10" s="59">
        <f t="shared" si="5"/>
        <v>49675</v>
      </c>
      <c r="HC10" s="59">
        <f t="shared" si="5"/>
        <v>50041</v>
      </c>
      <c r="HD10" s="59">
        <f t="shared" si="5"/>
        <v>50406</v>
      </c>
      <c r="HE10" s="59">
        <f t="shared" si="5"/>
        <v>50771</v>
      </c>
      <c r="HF10" s="59">
        <f t="shared" si="5"/>
        <v>51136</v>
      </c>
      <c r="HG10" s="59">
        <f t="shared" si="5"/>
        <v>51502</v>
      </c>
      <c r="HH10" s="59">
        <f t="shared" si="5"/>
        <v>51867</v>
      </c>
      <c r="HI10" s="59">
        <f t="shared" si="5"/>
        <v>52232</v>
      </c>
      <c r="HJ10" s="59">
        <f t="shared" si="5"/>
        <v>52597</v>
      </c>
      <c r="HK10" s="59">
        <f t="shared" si="5"/>
        <v>52963</v>
      </c>
      <c r="HL10" s="59">
        <f t="shared" si="5"/>
        <v>53328</v>
      </c>
      <c r="HM10" s="59">
        <f t="shared" si="5"/>
        <v>53693</v>
      </c>
      <c r="HN10" s="59">
        <f t="shared" si="5"/>
        <v>54058</v>
      </c>
      <c r="HO10" s="59">
        <f t="shared" si="5"/>
        <v>54424</v>
      </c>
      <c r="HP10" s="59">
        <f t="shared" si="5"/>
        <v>54789</v>
      </c>
      <c r="HR10" s="59">
        <f>start_year</f>
        <v>43831</v>
      </c>
      <c r="HS10" s="59">
        <f t="shared" ref="HS10:IV10" si="6">EDATE(HR10,12)</f>
        <v>44197</v>
      </c>
      <c r="HT10" s="59">
        <f t="shared" si="6"/>
        <v>44562</v>
      </c>
      <c r="HU10" s="59">
        <f t="shared" si="6"/>
        <v>44927</v>
      </c>
      <c r="HV10" s="59">
        <f t="shared" si="6"/>
        <v>45292</v>
      </c>
      <c r="HW10" s="59">
        <f t="shared" si="6"/>
        <v>45658</v>
      </c>
      <c r="HX10" s="59">
        <f t="shared" si="6"/>
        <v>46023</v>
      </c>
      <c r="HY10" s="59">
        <f t="shared" si="6"/>
        <v>46388</v>
      </c>
      <c r="HZ10" s="59">
        <f t="shared" si="6"/>
        <v>46753</v>
      </c>
      <c r="IA10" s="59">
        <f t="shared" si="6"/>
        <v>47119</v>
      </c>
      <c r="IB10" s="59">
        <f t="shared" si="6"/>
        <v>47484</v>
      </c>
      <c r="IC10" s="59">
        <f t="shared" si="6"/>
        <v>47849</v>
      </c>
      <c r="ID10" s="59">
        <f t="shared" si="6"/>
        <v>48214</v>
      </c>
      <c r="IE10" s="59">
        <f t="shared" si="6"/>
        <v>48580</v>
      </c>
      <c r="IF10" s="59">
        <f t="shared" si="6"/>
        <v>48945</v>
      </c>
      <c r="IG10" s="59">
        <f t="shared" si="6"/>
        <v>49310</v>
      </c>
      <c r="IH10" s="59">
        <f t="shared" si="6"/>
        <v>49675</v>
      </c>
      <c r="II10" s="59">
        <f t="shared" si="6"/>
        <v>50041</v>
      </c>
      <c r="IJ10" s="59">
        <f t="shared" si="6"/>
        <v>50406</v>
      </c>
      <c r="IK10" s="59">
        <f t="shared" si="6"/>
        <v>50771</v>
      </c>
      <c r="IL10" s="59">
        <f t="shared" si="6"/>
        <v>51136</v>
      </c>
      <c r="IM10" s="59">
        <f t="shared" si="6"/>
        <v>51502</v>
      </c>
      <c r="IN10" s="59">
        <f t="shared" si="6"/>
        <v>51867</v>
      </c>
      <c r="IO10" s="59">
        <f t="shared" si="6"/>
        <v>52232</v>
      </c>
      <c r="IP10" s="59">
        <f t="shared" si="6"/>
        <v>52597</v>
      </c>
      <c r="IQ10" s="59">
        <f t="shared" si="6"/>
        <v>52963</v>
      </c>
      <c r="IR10" s="59">
        <f t="shared" si="6"/>
        <v>53328</v>
      </c>
      <c r="IS10" s="59">
        <f t="shared" si="6"/>
        <v>53693</v>
      </c>
      <c r="IT10" s="59">
        <f t="shared" si="6"/>
        <v>54058</v>
      </c>
      <c r="IU10" s="59">
        <f t="shared" si="6"/>
        <v>54424</v>
      </c>
      <c r="IV10" s="59">
        <f t="shared" si="6"/>
        <v>54789</v>
      </c>
      <c r="IX10" s="14"/>
      <c r="IZ10" s="14"/>
      <c r="JA10" s="14"/>
      <c r="JB10" s="14"/>
      <c r="JC10" s="14"/>
      <c r="JE10" s="59">
        <f>start_year</f>
        <v>43831</v>
      </c>
      <c r="JF10" s="26" t="s">
        <v>277</v>
      </c>
      <c r="JG10" s="59">
        <f>start_year</f>
        <v>43831</v>
      </c>
      <c r="JH10" s="26" t="s">
        <v>277</v>
      </c>
      <c r="JI10" s="59">
        <f>start_year</f>
        <v>43831</v>
      </c>
      <c r="JJ10" s="26" t="s">
        <v>277</v>
      </c>
      <c r="JL10" s="59">
        <f>start_year</f>
        <v>43831</v>
      </c>
      <c r="JM10" s="26" t="s">
        <v>277</v>
      </c>
      <c r="JN10" s="59">
        <f>start_year</f>
        <v>43831</v>
      </c>
      <c r="JO10" s="26" t="s">
        <v>277</v>
      </c>
      <c r="JP10" s="59">
        <f>start_year</f>
        <v>43831</v>
      </c>
      <c r="JQ10" s="26" t="s">
        <v>277</v>
      </c>
      <c r="JS10" s="14"/>
      <c r="JT10" s="40"/>
      <c r="JU10" s="40"/>
    </row>
    <row r="11" spans="1:282">
      <c r="B11" s="3" t="s">
        <v>228</v>
      </c>
      <c r="D11" s="39" t="b">
        <f t="shared" ref="D11:D20" si="7">IF(ISBLANK($B11),"-/-",COUNTIFS(component_names,$B11,component_types,$B$9)&gt;0)</f>
        <v>1</v>
      </c>
      <c r="F11" s="3"/>
      <c r="H11" s="118" t="s">
        <v>110</v>
      </c>
      <c r="J11" s="118" t="s">
        <v>211</v>
      </c>
      <c r="L11" s="118" t="s">
        <v>216</v>
      </c>
      <c r="N11" s="118"/>
      <c r="O11" s="118"/>
      <c r="P11" s="118"/>
      <c r="Q11" s="118"/>
      <c r="R11" s="118"/>
      <c r="S11" s="118"/>
      <c r="U11" s="118"/>
      <c r="V11" s="118"/>
      <c r="W11" s="118"/>
      <c r="X11" s="118"/>
      <c r="Y11" s="118"/>
      <c r="Z11" s="118"/>
      <c r="AB11" s="19"/>
      <c r="AC11" s="19"/>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v>1610</v>
      </c>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C11" s="23"/>
      <c r="FD11" s="23"/>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N11" s="25"/>
      <c r="HO11" s="25"/>
      <c r="HP11" s="25"/>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X11" s="19"/>
      <c r="IZ11" s="29"/>
      <c r="JA11" s="29"/>
      <c r="JB11" s="29"/>
      <c r="JC11" s="29"/>
      <c r="JE11" s="29"/>
      <c r="JF11" s="3" t="s">
        <v>497</v>
      </c>
      <c r="JG11" s="29"/>
      <c r="JH11" s="3" t="s">
        <v>498</v>
      </c>
      <c r="JI11" s="29"/>
      <c r="JJ11" s="3"/>
      <c r="JL11" s="29"/>
      <c r="JM11" s="3"/>
      <c r="JN11" s="3"/>
      <c r="JO11" s="3"/>
      <c r="JP11" s="29"/>
      <c r="JQ11" s="3"/>
      <c r="JS11" s="35">
        <v>0</v>
      </c>
      <c r="JT11" s="81">
        <v>24</v>
      </c>
      <c r="JU11" s="81">
        <v>21</v>
      </c>
    </row>
    <row r="12" spans="1:282">
      <c r="B12" s="3"/>
      <c r="D12" s="39" t="str">
        <f t="shared" si="7"/>
        <v>-/-</v>
      </c>
      <c r="F12" s="3"/>
      <c r="H12" s="118"/>
      <c r="J12" s="118"/>
      <c r="L12" s="118"/>
      <c r="N12" s="118"/>
      <c r="O12" s="118"/>
      <c r="P12" s="118"/>
      <c r="Q12" s="118"/>
      <c r="R12" s="118"/>
      <c r="S12" s="118"/>
      <c r="U12" s="118"/>
      <c r="V12" s="118"/>
      <c r="W12" s="118"/>
      <c r="X12" s="118"/>
      <c r="Y12" s="118"/>
      <c r="Z12" s="118"/>
      <c r="AB12" s="19"/>
      <c r="AC12" s="19"/>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W12" s="25"/>
      <c r="DX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C12" s="23"/>
      <c r="FD12" s="23"/>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N12" s="25"/>
      <c r="HO12" s="25"/>
      <c r="HP12" s="25"/>
      <c r="HR12" s="25"/>
      <c r="HS12" s="25"/>
      <c r="HT12" s="25"/>
      <c r="HU12" s="25"/>
      <c r="HV12" s="25"/>
      <c r="HW12" s="25"/>
      <c r="HX12" s="25"/>
      <c r="HY12" s="25"/>
      <c r="HZ12" s="25"/>
      <c r="IA12" s="25"/>
      <c r="IB12" s="25"/>
      <c r="IC12" s="25"/>
      <c r="ID12" s="25"/>
      <c r="IE12" s="25"/>
      <c r="IF12" s="25"/>
      <c r="IG12" s="25"/>
      <c r="IH12" s="25"/>
      <c r="II12" s="25"/>
      <c r="IJ12" s="25"/>
      <c r="IK12" s="25"/>
      <c r="IL12" s="25"/>
      <c r="IM12" s="25"/>
      <c r="IN12" s="25"/>
      <c r="IO12" s="25"/>
      <c r="IP12" s="25"/>
      <c r="IQ12" s="25"/>
      <c r="IR12" s="25"/>
      <c r="IS12" s="25"/>
      <c r="IT12" s="25"/>
      <c r="IU12" s="25"/>
      <c r="IV12" s="25"/>
      <c r="IX12" s="19"/>
      <c r="IZ12" s="29"/>
      <c r="JA12" s="29"/>
      <c r="JB12" s="29"/>
      <c r="JC12" s="29"/>
      <c r="JE12" s="29"/>
      <c r="JF12" s="3"/>
      <c r="JG12" s="29"/>
      <c r="JH12" s="3"/>
      <c r="JI12" s="29"/>
      <c r="JJ12" s="3"/>
      <c r="JL12" s="29"/>
      <c r="JM12" s="3"/>
      <c r="JN12" s="3"/>
      <c r="JO12" s="3"/>
      <c r="JP12" s="29"/>
      <c r="JQ12" s="3"/>
      <c r="JS12" s="35"/>
      <c r="JT12" s="81"/>
      <c r="JU12" s="81"/>
    </row>
    <row r="13" spans="1:282">
      <c r="B13" s="3"/>
      <c r="D13" s="39" t="str">
        <f t="shared" si="7"/>
        <v>-/-</v>
      </c>
      <c r="F13" s="3"/>
      <c r="H13" s="118"/>
      <c r="J13" s="118"/>
      <c r="L13" s="118"/>
      <c r="N13" s="118"/>
      <c r="O13" s="118"/>
      <c r="P13" s="118"/>
      <c r="Q13" s="118"/>
      <c r="R13" s="118"/>
      <c r="S13" s="118"/>
      <c r="U13" s="118"/>
      <c r="V13" s="118"/>
      <c r="W13" s="118"/>
      <c r="X13" s="118"/>
      <c r="Y13" s="118"/>
      <c r="Z13" s="118"/>
      <c r="AB13" s="19"/>
      <c r="AC13" s="19"/>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W13" s="25"/>
      <c r="DX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C13" s="23"/>
      <c r="FD13" s="23"/>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N13" s="25"/>
      <c r="HO13" s="25"/>
      <c r="HP13" s="25"/>
      <c r="HR13" s="25"/>
      <c r="HS13" s="25"/>
      <c r="HT13" s="25"/>
      <c r="HU13" s="25"/>
      <c r="HV13" s="25"/>
      <c r="HW13" s="25"/>
      <c r="HX13" s="25"/>
      <c r="HY13" s="25"/>
      <c r="HZ13" s="25"/>
      <c r="IA13" s="25"/>
      <c r="IB13" s="25"/>
      <c r="IC13" s="25"/>
      <c r="ID13" s="25"/>
      <c r="IE13" s="25"/>
      <c r="IF13" s="25"/>
      <c r="IG13" s="25"/>
      <c r="IH13" s="25"/>
      <c r="II13" s="25"/>
      <c r="IJ13" s="25"/>
      <c r="IK13" s="25"/>
      <c r="IL13" s="25"/>
      <c r="IM13" s="25"/>
      <c r="IN13" s="25"/>
      <c r="IO13" s="25"/>
      <c r="IP13" s="25"/>
      <c r="IQ13" s="25"/>
      <c r="IR13" s="25"/>
      <c r="IS13" s="25"/>
      <c r="IT13" s="25"/>
      <c r="IU13" s="25"/>
      <c r="IV13" s="25"/>
      <c r="IX13" s="19"/>
      <c r="IZ13" s="29"/>
      <c r="JA13" s="29"/>
      <c r="JB13" s="29"/>
      <c r="JC13" s="29"/>
      <c r="JE13" s="29"/>
      <c r="JF13" s="3"/>
      <c r="JG13" s="29"/>
      <c r="JH13" s="3"/>
      <c r="JI13" s="29"/>
      <c r="JJ13" s="3"/>
      <c r="JL13" s="29"/>
      <c r="JM13" s="3"/>
      <c r="JN13" s="3"/>
      <c r="JO13" s="3"/>
      <c r="JP13" s="29"/>
      <c r="JQ13" s="3"/>
      <c r="JS13" s="35"/>
      <c r="JT13" s="81"/>
      <c r="JU13" s="81"/>
    </row>
    <row r="14" spans="1:282">
      <c r="B14" s="3"/>
      <c r="D14" s="39" t="str">
        <f t="shared" si="7"/>
        <v>-/-</v>
      </c>
      <c r="F14" s="3"/>
      <c r="H14" s="118"/>
      <c r="J14" s="118"/>
      <c r="L14" s="118"/>
      <c r="N14" s="118"/>
      <c r="O14" s="118"/>
      <c r="P14" s="118"/>
      <c r="Q14" s="118"/>
      <c r="R14" s="118"/>
      <c r="S14" s="118"/>
      <c r="U14" s="118"/>
      <c r="V14" s="118"/>
      <c r="W14" s="118"/>
      <c r="X14" s="118"/>
      <c r="Y14" s="118"/>
      <c r="Z14" s="118"/>
      <c r="AB14" s="19"/>
      <c r="AC14" s="19"/>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C14" s="23"/>
      <c r="FD14" s="23"/>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N14" s="25"/>
      <c r="HO14" s="25"/>
      <c r="HP14" s="25"/>
      <c r="HR14" s="25"/>
      <c r="HS14" s="25"/>
      <c r="HT14" s="25"/>
      <c r="HU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25"/>
      <c r="IV14" s="25"/>
      <c r="IX14" s="19"/>
      <c r="IZ14" s="29"/>
      <c r="JA14" s="29"/>
      <c r="JB14" s="29"/>
      <c r="JC14" s="29"/>
      <c r="JE14" s="29"/>
      <c r="JF14" s="3"/>
      <c r="JG14" s="29"/>
      <c r="JH14" s="3"/>
      <c r="JI14" s="29"/>
      <c r="JJ14" s="3"/>
      <c r="JL14" s="29"/>
      <c r="JM14" s="3"/>
      <c r="JN14" s="3"/>
      <c r="JO14" s="3"/>
      <c r="JP14" s="29"/>
      <c r="JQ14" s="3"/>
      <c r="JS14" s="35"/>
      <c r="JT14" s="81"/>
      <c r="JU14" s="81"/>
    </row>
    <row r="15" spans="1:282">
      <c r="B15" s="3"/>
      <c r="D15" s="39" t="str">
        <f>IF(ISBLANK($B15),"-/-",COUNTIFS(component_names,$B15,component_types,$B$9)&gt;0)</f>
        <v>-/-</v>
      </c>
      <c r="F15" s="3"/>
      <c r="H15" s="118"/>
      <c r="J15" s="118"/>
      <c r="L15" s="118"/>
      <c r="N15" s="118"/>
      <c r="O15" s="118"/>
      <c r="P15" s="118"/>
      <c r="Q15" s="118"/>
      <c r="R15" s="118"/>
      <c r="S15" s="118"/>
      <c r="U15" s="118"/>
      <c r="V15" s="118"/>
      <c r="W15" s="118"/>
      <c r="X15" s="118"/>
      <c r="Y15" s="118"/>
      <c r="Z15" s="118"/>
      <c r="AB15" s="19"/>
      <c r="AC15" s="19"/>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W15" s="25"/>
      <c r="DX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C15" s="23"/>
      <c r="FD15" s="23"/>
      <c r="FF15" s="25"/>
      <c r="FG15" s="25"/>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N15" s="25"/>
      <c r="HO15" s="25"/>
      <c r="HP15" s="25"/>
      <c r="HR15" s="25"/>
      <c r="HS15" s="25"/>
      <c r="HT15" s="25"/>
      <c r="HU15" s="25"/>
      <c r="HV15" s="25"/>
      <c r="HW15" s="25"/>
      <c r="HX15" s="25"/>
      <c r="HY15" s="25"/>
      <c r="HZ15" s="25"/>
      <c r="IA15" s="25"/>
      <c r="IB15" s="25"/>
      <c r="IC15" s="25"/>
      <c r="ID15" s="25"/>
      <c r="IE15" s="25"/>
      <c r="IF15" s="25"/>
      <c r="IG15" s="25"/>
      <c r="IH15" s="25"/>
      <c r="II15" s="25"/>
      <c r="IJ15" s="25"/>
      <c r="IK15" s="25"/>
      <c r="IL15" s="25"/>
      <c r="IM15" s="25"/>
      <c r="IN15" s="25"/>
      <c r="IO15" s="25"/>
      <c r="IP15" s="25"/>
      <c r="IQ15" s="25"/>
      <c r="IR15" s="25"/>
      <c r="IS15" s="25"/>
      <c r="IT15" s="25"/>
      <c r="IU15" s="25"/>
      <c r="IV15" s="25"/>
      <c r="IX15" s="19"/>
      <c r="IZ15" s="29"/>
      <c r="JA15" s="29"/>
      <c r="JB15" s="29"/>
      <c r="JC15" s="29"/>
      <c r="JE15" s="29"/>
      <c r="JF15" s="3"/>
      <c r="JG15" s="29"/>
      <c r="JH15" s="3"/>
      <c r="JI15" s="29"/>
      <c r="JJ15" s="3"/>
      <c r="JL15" s="29"/>
      <c r="JM15" s="3"/>
      <c r="JN15" s="3"/>
      <c r="JO15" s="3"/>
      <c r="JP15" s="29"/>
      <c r="JQ15" s="3"/>
      <c r="JS15" s="35"/>
      <c r="JT15" s="81"/>
      <c r="JU15" s="81"/>
    </row>
    <row r="16" spans="1:282">
      <c r="B16" s="3"/>
      <c r="D16" s="39" t="str">
        <f t="shared" si="7"/>
        <v>-/-</v>
      </c>
      <c r="F16" s="3"/>
      <c r="H16" s="118"/>
      <c r="J16" s="118"/>
      <c r="L16" s="118"/>
      <c r="N16" s="118"/>
      <c r="O16" s="118"/>
      <c r="P16" s="118"/>
      <c r="Q16" s="118"/>
      <c r="R16" s="118"/>
      <c r="S16" s="118"/>
      <c r="U16" s="118"/>
      <c r="V16" s="118"/>
      <c r="W16" s="118"/>
      <c r="X16" s="118"/>
      <c r="Y16" s="118"/>
      <c r="Z16" s="118"/>
      <c r="AB16" s="19"/>
      <c r="AC16" s="19"/>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C16" s="23"/>
      <c r="FD16" s="23"/>
      <c r="FF16" s="25"/>
      <c r="FG16" s="25"/>
      <c r="FH16" s="25"/>
      <c r="FI16" s="25"/>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H16" s="25"/>
      <c r="GI16" s="25"/>
      <c r="GJ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N16" s="25"/>
      <c r="HO16" s="25"/>
      <c r="HP16" s="25"/>
      <c r="HR16" s="25"/>
      <c r="HS16" s="25"/>
      <c r="HT16" s="25"/>
      <c r="HU16" s="25"/>
      <c r="HV16" s="25"/>
      <c r="HW16" s="25"/>
      <c r="HX16" s="25"/>
      <c r="HY16" s="25"/>
      <c r="HZ16" s="25"/>
      <c r="IA16" s="25"/>
      <c r="IB16" s="25"/>
      <c r="IC16" s="25"/>
      <c r="ID16" s="25"/>
      <c r="IE16" s="25"/>
      <c r="IF16" s="25"/>
      <c r="IG16" s="25"/>
      <c r="IH16" s="25"/>
      <c r="II16" s="25"/>
      <c r="IJ16" s="25"/>
      <c r="IK16" s="25"/>
      <c r="IL16" s="25"/>
      <c r="IM16" s="25"/>
      <c r="IN16" s="25"/>
      <c r="IO16" s="25"/>
      <c r="IP16" s="25"/>
      <c r="IQ16" s="25"/>
      <c r="IR16" s="25"/>
      <c r="IS16" s="25"/>
      <c r="IT16" s="25"/>
      <c r="IU16" s="25"/>
      <c r="IV16" s="25"/>
      <c r="IX16" s="19"/>
      <c r="IZ16" s="29"/>
      <c r="JA16" s="29"/>
      <c r="JB16" s="29"/>
      <c r="JC16" s="29"/>
      <c r="JE16" s="29"/>
      <c r="JF16" s="3"/>
      <c r="JG16" s="29"/>
      <c r="JH16" s="3"/>
      <c r="JI16" s="29"/>
      <c r="JJ16" s="3"/>
      <c r="JL16" s="29"/>
      <c r="JM16" s="3"/>
      <c r="JN16" s="3"/>
      <c r="JO16" s="3"/>
      <c r="JP16" s="29"/>
      <c r="JQ16" s="3"/>
      <c r="JS16" s="35"/>
      <c r="JT16" s="81"/>
      <c r="JU16" s="81"/>
    </row>
    <row r="17" spans="2:281">
      <c r="B17" s="3"/>
      <c r="D17" s="39" t="str">
        <f t="shared" si="7"/>
        <v>-/-</v>
      </c>
      <c r="F17" s="3"/>
      <c r="H17" s="118"/>
      <c r="J17" s="118"/>
      <c r="L17" s="118"/>
      <c r="N17" s="118"/>
      <c r="O17" s="118"/>
      <c r="P17" s="118"/>
      <c r="Q17" s="118"/>
      <c r="R17" s="118"/>
      <c r="S17" s="118"/>
      <c r="U17" s="118"/>
      <c r="V17" s="118"/>
      <c r="W17" s="118"/>
      <c r="X17" s="118"/>
      <c r="Y17" s="118"/>
      <c r="Z17" s="118"/>
      <c r="AB17" s="19"/>
      <c r="AC17" s="19"/>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Q17" s="25"/>
      <c r="CR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W17" s="25"/>
      <c r="DX17" s="25"/>
      <c r="DY17" s="25"/>
      <c r="DZ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C17" s="23"/>
      <c r="FD17" s="23"/>
      <c r="FF17" s="25"/>
      <c r="FG17" s="25"/>
      <c r="FH17" s="25"/>
      <c r="FI17" s="25"/>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H17" s="25"/>
      <c r="GI17" s="25"/>
      <c r="GJ17" s="25"/>
      <c r="GL17" s="25"/>
      <c r="GM17" s="25"/>
      <c r="GN17" s="25"/>
      <c r="GO17" s="25"/>
      <c r="GP17" s="25"/>
      <c r="GQ17" s="25"/>
      <c r="GR17" s="25"/>
      <c r="GS17" s="25"/>
      <c r="GT17" s="25"/>
      <c r="GU17" s="25"/>
      <c r="GV17" s="25"/>
      <c r="GW17" s="25"/>
      <c r="GX17" s="25"/>
      <c r="GY17" s="25"/>
      <c r="GZ17" s="25"/>
      <c r="HA17" s="25"/>
      <c r="HB17" s="25"/>
      <c r="HC17" s="25"/>
      <c r="HD17" s="25"/>
      <c r="HE17" s="25"/>
      <c r="HF17" s="25"/>
      <c r="HG17" s="25"/>
      <c r="HH17" s="25"/>
      <c r="HI17" s="25"/>
      <c r="HJ17" s="25"/>
      <c r="HK17" s="25"/>
      <c r="HL17" s="25"/>
      <c r="HM17" s="25"/>
      <c r="HN17" s="25"/>
      <c r="HO17" s="25"/>
      <c r="HP17" s="25"/>
      <c r="HR17" s="25"/>
      <c r="HS17" s="25"/>
      <c r="HT17" s="25"/>
      <c r="HU17" s="25"/>
      <c r="HV17" s="25"/>
      <c r="HW17" s="25"/>
      <c r="HX17" s="25"/>
      <c r="HY17" s="25"/>
      <c r="HZ17" s="25"/>
      <c r="IA17" s="25"/>
      <c r="IB17" s="25"/>
      <c r="IC17" s="25"/>
      <c r="ID17" s="25"/>
      <c r="IE17" s="25"/>
      <c r="IF17" s="25"/>
      <c r="IG17" s="25"/>
      <c r="IH17" s="25"/>
      <c r="II17" s="25"/>
      <c r="IJ17" s="25"/>
      <c r="IK17" s="25"/>
      <c r="IL17" s="25"/>
      <c r="IM17" s="25"/>
      <c r="IN17" s="25"/>
      <c r="IO17" s="25"/>
      <c r="IP17" s="25"/>
      <c r="IQ17" s="25"/>
      <c r="IR17" s="25"/>
      <c r="IS17" s="25"/>
      <c r="IT17" s="25"/>
      <c r="IU17" s="25"/>
      <c r="IV17" s="25"/>
      <c r="IX17" s="19"/>
      <c r="IZ17" s="29"/>
      <c r="JA17" s="29"/>
      <c r="JB17" s="29"/>
      <c r="JC17" s="29"/>
      <c r="JE17" s="29"/>
      <c r="JF17" s="3"/>
      <c r="JG17" s="29"/>
      <c r="JH17" s="3"/>
      <c r="JI17" s="29"/>
      <c r="JJ17" s="3"/>
      <c r="JL17" s="29"/>
      <c r="JM17" s="3"/>
      <c r="JN17" s="3"/>
      <c r="JO17" s="3"/>
      <c r="JP17" s="29"/>
      <c r="JQ17" s="3"/>
      <c r="JS17" s="35"/>
      <c r="JT17" s="81"/>
      <c r="JU17" s="81"/>
    </row>
    <row r="18" spans="2:281">
      <c r="B18" s="3"/>
      <c r="D18" s="39" t="str">
        <f t="shared" si="7"/>
        <v>-/-</v>
      </c>
      <c r="F18" s="3"/>
      <c r="H18" s="118"/>
      <c r="J18" s="118"/>
      <c r="L18" s="118"/>
      <c r="N18" s="118"/>
      <c r="O18" s="118"/>
      <c r="P18" s="118"/>
      <c r="Q18" s="118"/>
      <c r="R18" s="118"/>
      <c r="S18" s="118"/>
      <c r="U18" s="118"/>
      <c r="V18" s="118"/>
      <c r="W18" s="118"/>
      <c r="X18" s="118"/>
      <c r="Y18" s="118"/>
      <c r="Z18" s="118"/>
      <c r="AB18" s="19"/>
      <c r="AC18" s="19"/>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C18" s="23"/>
      <c r="FD18" s="23"/>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X18" s="19"/>
      <c r="IZ18" s="29"/>
      <c r="JA18" s="29"/>
      <c r="JB18" s="29"/>
      <c r="JC18" s="29"/>
      <c r="JE18" s="29"/>
      <c r="JF18" s="3"/>
      <c r="JG18" s="29"/>
      <c r="JH18" s="3"/>
      <c r="JI18" s="29"/>
      <c r="JJ18" s="3"/>
      <c r="JL18" s="29"/>
      <c r="JM18" s="3"/>
      <c r="JN18" s="3"/>
      <c r="JO18" s="3"/>
      <c r="JP18" s="29"/>
      <c r="JQ18" s="3"/>
      <c r="JS18" s="35"/>
      <c r="JT18" s="81"/>
      <c r="JU18" s="81"/>
    </row>
    <row r="19" spans="2:281">
      <c r="B19" s="3"/>
      <c r="D19" s="39" t="str">
        <f t="shared" si="7"/>
        <v>-/-</v>
      </c>
      <c r="F19" s="3"/>
      <c r="H19" s="118"/>
      <c r="J19" s="118"/>
      <c r="L19" s="118"/>
      <c r="N19" s="118"/>
      <c r="O19" s="118"/>
      <c r="P19" s="118"/>
      <c r="Q19" s="118"/>
      <c r="R19" s="118"/>
      <c r="S19" s="118"/>
      <c r="U19" s="118"/>
      <c r="V19" s="118"/>
      <c r="W19" s="118"/>
      <c r="X19" s="118"/>
      <c r="Y19" s="118"/>
      <c r="Z19" s="118"/>
      <c r="AB19" s="19"/>
      <c r="AC19" s="19"/>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K19" s="25"/>
      <c r="BL19" s="25"/>
      <c r="BM19" s="25"/>
      <c r="BN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Q19" s="25"/>
      <c r="CR19" s="25"/>
      <c r="CS19" s="25"/>
      <c r="CT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W19" s="25"/>
      <c r="DX19" s="25"/>
      <c r="DY19" s="25"/>
      <c r="DZ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C19" s="23"/>
      <c r="FD19" s="23"/>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L19" s="25"/>
      <c r="GM19" s="25"/>
      <c r="GN19" s="25"/>
      <c r="GO19" s="25"/>
      <c r="GP19" s="25"/>
      <c r="GQ19" s="25"/>
      <c r="GR19" s="25"/>
      <c r="GS19" s="25"/>
      <c r="GT19" s="25"/>
      <c r="GU19" s="25"/>
      <c r="GV19" s="25"/>
      <c r="GW19" s="25"/>
      <c r="GX19" s="25"/>
      <c r="GY19" s="25"/>
      <c r="GZ19" s="25"/>
      <c r="HA19" s="25"/>
      <c r="HB19" s="25"/>
      <c r="HC19" s="25"/>
      <c r="HD19" s="25"/>
      <c r="HE19" s="25"/>
      <c r="HF19" s="25"/>
      <c r="HG19" s="25"/>
      <c r="HH19" s="25"/>
      <c r="HI19" s="25"/>
      <c r="HJ19" s="25"/>
      <c r="HK19" s="25"/>
      <c r="HL19" s="25"/>
      <c r="HM19" s="25"/>
      <c r="HN19" s="25"/>
      <c r="HO19" s="25"/>
      <c r="HP19" s="25"/>
      <c r="HR19" s="25"/>
      <c r="HS19" s="25"/>
      <c r="HT19" s="25"/>
      <c r="HU19" s="25"/>
      <c r="HV19" s="25"/>
      <c r="HW19" s="25"/>
      <c r="HX19" s="25"/>
      <c r="HY19" s="25"/>
      <c r="HZ19" s="25"/>
      <c r="IA19" s="25"/>
      <c r="IB19" s="25"/>
      <c r="IC19" s="25"/>
      <c r="ID19" s="25"/>
      <c r="IE19" s="25"/>
      <c r="IF19" s="25"/>
      <c r="IG19" s="25"/>
      <c r="IH19" s="25"/>
      <c r="II19" s="25"/>
      <c r="IJ19" s="25"/>
      <c r="IK19" s="25"/>
      <c r="IL19" s="25"/>
      <c r="IM19" s="25"/>
      <c r="IN19" s="25"/>
      <c r="IO19" s="25"/>
      <c r="IP19" s="25"/>
      <c r="IQ19" s="25"/>
      <c r="IR19" s="25"/>
      <c r="IS19" s="25"/>
      <c r="IT19" s="25"/>
      <c r="IU19" s="25"/>
      <c r="IV19" s="25"/>
      <c r="IX19" s="19"/>
      <c r="IZ19" s="29"/>
      <c r="JA19" s="29"/>
      <c r="JB19" s="29"/>
      <c r="JC19" s="29"/>
      <c r="JE19" s="29"/>
      <c r="JF19" s="3"/>
      <c r="JG19" s="29"/>
      <c r="JH19" s="3"/>
      <c r="JI19" s="29"/>
      <c r="JJ19" s="3"/>
      <c r="JL19" s="29"/>
      <c r="JM19" s="3"/>
      <c r="JN19" s="3"/>
      <c r="JO19" s="3"/>
      <c r="JP19" s="29"/>
      <c r="JQ19" s="3"/>
      <c r="JS19" s="35"/>
      <c r="JT19" s="81"/>
      <c r="JU19" s="81"/>
    </row>
    <row r="20" spans="2:281">
      <c r="B20" s="3"/>
      <c r="D20" s="39" t="str">
        <f t="shared" si="7"/>
        <v>-/-</v>
      </c>
      <c r="F20" s="3"/>
      <c r="H20" s="118"/>
      <c r="J20" s="118"/>
      <c r="L20" s="118"/>
      <c r="N20" s="118"/>
      <c r="O20" s="118"/>
      <c r="P20" s="118"/>
      <c r="Q20" s="118"/>
      <c r="R20" s="118"/>
      <c r="S20" s="118"/>
      <c r="U20" s="118"/>
      <c r="V20" s="118"/>
      <c r="W20" s="118"/>
      <c r="X20" s="118"/>
      <c r="Y20" s="118"/>
      <c r="Z20" s="118"/>
      <c r="AB20" s="19"/>
      <c r="AC20" s="19"/>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K20" s="25"/>
      <c r="BL20" s="25"/>
      <c r="BM20" s="25"/>
      <c r="BN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Q20" s="25"/>
      <c r="CR20" s="25"/>
      <c r="CS20" s="25"/>
      <c r="CT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W20" s="25"/>
      <c r="DX20" s="25"/>
      <c r="DY20" s="25"/>
      <c r="DZ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C20" s="23"/>
      <c r="FD20" s="23"/>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L20" s="25"/>
      <c r="GM20" s="25"/>
      <c r="GN20" s="25"/>
      <c r="GO20" s="25"/>
      <c r="GP20" s="25"/>
      <c r="GQ20" s="25"/>
      <c r="GR20" s="25"/>
      <c r="GS20" s="25"/>
      <c r="GT20" s="25"/>
      <c r="GU20" s="25"/>
      <c r="GV20" s="25"/>
      <c r="GW20" s="25"/>
      <c r="GX20" s="25"/>
      <c r="GY20" s="25"/>
      <c r="GZ20" s="25"/>
      <c r="HA20" s="25"/>
      <c r="HB20" s="25"/>
      <c r="HC20" s="25"/>
      <c r="HD20" s="25"/>
      <c r="HE20" s="25"/>
      <c r="HF20" s="25"/>
      <c r="HG20" s="25"/>
      <c r="HH20" s="25"/>
      <c r="HI20" s="25"/>
      <c r="HJ20" s="25"/>
      <c r="HK20" s="25"/>
      <c r="HL20" s="25"/>
      <c r="HM20" s="25"/>
      <c r="HN20" s="25"/>
      <c r="HO20" s="25"/>
      <c r="HP20" s="25"/>
      <c r="HR20" s="25"/>
      <c r="HS20" s="25"/>
      <c r="HT20" s="25"/>
      <c r="HU20" s="25"/>
      <c r="HV20" s="25"/>
      <c r="HW20" s="25"/>
      <c r="HX20" s="25"/>
      <c r="HY20" s="25"/>
      <c r="HZ20" s="25"/>
      <c r="IA20" s="25"/>
      <c r="IB20" s="25"/>
      <c r="IC20" s="25"/>
      <c r="ID20" s="25"/>
      <c r="IE20" s="25"/>
      <c r="IF20" s="25"/>
      <c r="IG20" s="25"/>
      <c r="IH20" s="25"/>
      <c r="II20" s="25"/>
      <c r="IJ20" s="25"/>
      <c r="IK20" s="25"/>
      <c r="IL20" s="25"/>
      <c r="IM20" s="25"/>
      <c r="IN20" s="25"/>
      <c r="IO20" s="25"/>
      <c r="IP20" s="25"/>
      <c r="IQ20" s="25"/>
      <c r="IR20" s="25"/>
      <c r="IS20" s="25"/>
      <c r="IT20" s="25"/>
      <c r="IU20" s="25"/>
      <c r="IV20" s="25"/>
      <c r="IX20" s="19"/>
      <c r="IZ20" s="29"/>
      <c r="JA20" s="29"/>
      <c r="JB20" s="29"/>
      <c r="JC20" s="29"/>
      <c r="JE20" s="29"/>
      <c r="JF20" s="3"/>
      <c r="JG20" s="29"/>
      <c r="JH20" s="3"/>
      <c r="JI20" s="29"/>
      <c r="JJ20" s="3"/>
      <c r="JL20" s="29"/>
      <c r="JM20" s="3"/>
      <c r="JN20" s="3"/>
      <c r="JO20" s="3"/>
      <c r="JP20" s="29"/>
      <c r="JQ20" s="3"/>
      <c r="JS20" s="35"/>
      <c r="JT20" s="81"/>
      <c r="JU20" s="81"/>
    </row>
  </sheetData>
  <conditionalFormatting sqref="JJ11:JJ20 JQ11:JQ20 JH11:JH20 JF11:JF20 JM11:JN20">
    <cfRule type="expression" dxfId="35" priority="4">
      <formula>NOT(ISBLANK(JE11))</formula>
    </cfRule>
  </conditionalFormatting>
  <conditionalFormatting sqref="JE11:JE20 JI11:JI20 JP11:JP20 JL11:JL20 JG11:JG20">
    <cfRule type="expression" dxfId="34" priority="5">
      <formula>NOT(ISBLANK(JF11))</formula>
    </cfRule>
  </conditionalFormatting>
  <conditionalFormatting sqref="D11:D20">
    <cfRule type="cellIs" dxfId="33" priority="2" operator="equal">
      <formula>FALSE</formula>
    </cfRule>
  </conditionalFormatting>
  <conditionalFormatting sqref="A11:A20">
    <cfRule type="duplicateValues" dxfId="32" priority="1588"/>
  </conditionalFormatting>
  <conditionalFormatting sqref="JO11:JO20">
    <cfRule type="expression" dxfId="31" priority="1769">
      <formula>NOT(ISBLANK(JM11))</formula>
    </cfRule>
  </conditionalFormatting>
  <dataValidations count="4">
    <dataValidation type="list" allowBlank="1" showInputMessage="1" showErrorMessage="1" sqref="N11:S20 IX11:IX20 AB11:AC20 U11:Z20" xr:uid="{0219D2B5-D7E1-CA4C-8964-A00FC1DB46A6}">
      <formula1>"TRUE,FALSE"</formula1>
    </dataValidation>
    <dataValidation type="list" allowBlank="1" showInputMessage="1" showErrorMessage="1" sqref="H11:H20" xr:uid="{B4E01592-AA4C-884C-902B-81F41ABF8441}">
      <formula1>OFFSET(lists_zones,,,COUNTA(lists_zones))</formula1>
    </dataValidation>
    <dataValidation type="list" allowBlank="1" showInputMessage="1" showErrorMessage="1" sqref="L11:L20" xr:uid="{A9C4DE8B-EAD5-48F2-9E20-061DDF5BD614}">
      <formula1>OFFSET(lists_outage_distributions,,,COUNTA(lists_outage_distributions))</formula1>
    </dataValidation>
    <dataValidation type="list" allowBlank="1" showInputMessage="1" showErrorMessage="1" sqref="J11:L20" xr:uid="{78A3D411-19CF-406F-A615-E8E30EDF94C6}">
      <formula1>ResourceGroup</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13" id="{519E4914-AAF5-CA42-900B-2A83D43C689E}">
            <xm:f>ISNUMBER(MATCH(F11,'RESOLVE Case Settings'!$C$19:$C$42,0))</xm:f>
            <x14:dxf>
              <font>
                <color rgb="FF006100"/>
              </font>
              <fill>
                <patternFill>
                  <bgColor rgb="FFC6EFCE"/>
                </patternFill>
              </fill>
            </x14:dxf>
          </x14:cfRule>
          <xm:sqref>F11:F20</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415D5-81D3-CC4C-BFBB-F5E05CC1DFC3}">
  <sheetPr codeName="Sheet22">
    <tabColor theme="7" tint="0.79998168889431442"/>
  </sheetPr>
  <dimension ref="A1:QB41"/>
  <sheetViews>
    <sheetView showGridLines="0" zoomScaleNormal="100" workbookViewId="0">
      <pane xSplit="7" ySplit="10" topLeftCell="NT11" activePane="bottomRight" state="frozen"/>
      <selection pane="topRight" activeCell="N35" sqref="N35"/>
      <selection pane="bottomLeft" activeCell="N35" sqref="N35"/>
      <selection pane="bottomRight" activeCell="PC16" sqref="PC16"/>
    </sheetView>
  </sheetViews>
  <sheetFormatPr baseColWidth="10" defaultColWidth="11" defaultRowHeight="12" outlineLevelRow="1" outlineLevelCol="1"/>
  <cols>
    <col min="2" max="2" width="43.59765625" customWidth="1"/>
    <col min="3" max="3" width="3" hidden="1" customWidth="1" outlineLevel="1"/>
    <col min="4" max="4" width="25" hidden="1" customWidth="1" outlineLevel="1"/>
    <col min="5" max="5" width="3" hidden="1" customWidth="1" outlineLevel="1"/>
    <col min="6" max="6" width="30.3984375" hidden="1" customWidth="1" outlineLevel="1"/>
    <col min="7" max="7" width="3" customWidth="1" collapsed="1"/>
    <col min="8" max="8" width="18.3984375" customWidth="1" outlineLevel="1"/>
    <col min="9" max="9" width="3" customWidth="1" outlineLevel="1"/>
    <col min="10" max="10" width="17" customWidth="1" outlineLevel="1"/>
    <col min="12" max="12" width="16" customWidth="1"/>
    <col min="13" max="13" width="3" customWidth="1" outlineLevel="1"/>
    <col min="14" max="19" width="16" customWidth="1" outlineLevel="1"/>
    <col min="20" max="20" width="3" customWidth="1" outlineLevel="1"/>
    <col min="21" max="24" width="16" customWidth="1" outlineLevel="1"/>
    <col min="25" max="25" width="3" customWidth="1" outlineLevel="1"/>
    <col min="26" max="26" width="20" customWidth="1" outlineLevel="1"/>
    <col min="27" max="27" width="3" customWidth="1"/>
    <col min="28" max="29" width="16" customWidth="1"/>
    <col min="30" max="30" width="3" customWidth="1"/>
    <col min="31" max="31" width="16" customWidth="1"/>
    <col min="32" max="33" width="16" hidden="1" customWidth="1" outlineLevel="1"/>
    <col min="34" max="34" width="16" hidden="1" customWidth="1" outlineLevel="1" collapsed="1"/>
    <col min="35" max="35" width="16" hidden="1" customWidth="1" outlineLevel="1"/>
    <col min="36" max="36" width="16" customWidth="1" collapsed="1"/>
    <col min="37" max="38" width="16" hidden="1" customWidth="1" outlineLevel="1"/>
    <col min="39" max="39" width="16" hidden="1" customWidth="1" outlineLevel="1" collapsed="1"/>
    <col min="40" max="40" width="16" hidden="1" customWidth="1" outlineLevel="1"/>
    <col min="41" max="41" width="16" customWidth="1" collapsed="1"/>
    <col min="42" max="42" width="16" hidden="1" customWidth="1" outlineLevel="1"/>
    <col min="43" max="43" width="16" hidden="1" customWidth="1" outlineLevel="1" collapsed="1"/>
    <col min="44" max="45" width="16" hidden="1" customWidth="1" outlineLevel="1"/>
    <col min="46" max="46" width="16" customWidth="1" collapsed="1"/>
    <col min="47" max="49" width="16" hidden="1" customWidth="1" outlineLevel="1"/>
    <col min="50" max="50" width="16" hidden="1" customWidth="1" outlineLevel="1" collapsed="1"/>
    <col min="51" max="51" width="16" customWidth="1" collapsed="1"/>
    <col min="52" max="55" width="16" hidden="1" customWidth="1" outlineLevel="1"/>
    <col min="56" max="56" width="16" customWidth="1" collapsed="1"/>
    <col min="57" max="60" width="16" hidden="1" customWidth="1" outlineLevel="1"/>
    <col min="61" max="61" width="16" customWidth="1" collapsed="1"/>
    <col min="62" max="62" width="3" customWidth="1"/>
    <col min="63" max="63" width="21.59765625" customWidth="1"/>
    <col min="64" max="67" width="21.59765625" customWidth="1" outlineLevel="1"/>
    <col min="68" max="68" width="21.59765625" customWidth="1"/>
    <col min="69" max="72" width="21.59765625" hidden="1" customWidth="1" outlineLevel="1"/>
    <col min="73" max="73" width="21.59765625" customWidth="1" collapsed="1"/>
    <col min="74" max="77" width="21.59765625" hidden="1" customWidth="1" outlineLevel="1"/>
    <col min="78" max="78" width="21.59765625" customWidth="1" collapsed="1"/>
    <col min="79" max="82" width="21.59765625" hidden="1" customWidth="1" outlineLevel="1"/>
    <col min="83" max="83" width="21.59765625" customWidth="1" collapsed="1"/>
    <col min="84" max="87" width="21.59765625" hidden="1" customWidth="1" outlineLevel="1"/>
    <col min="88" max="88" width="21.59765625" customWidth="1" collapsed="1"/>
    <col min="89" max="92" width="21.59765625" hidden="1" customWidth="1" outlineLevel="1"/>
    <col min="93" max="93" width="21.59765625" customWidth="1" collapsed="1"/>
    <col min="94" max="94" width="3" customWidth="1"/>
    <col min="95" max="95" width="16" customWidth="1"/>
    <col min="96" max="97" width="16" customWidth="1" outlineLevel="1"/>
    <col min="98" max="98" width="16" customWidth="1" outlineLevel="1" collapsed="1"/>
    <col min="99" max="99" width="16" customWidth="1" outlineLevel="1"/>
    <col min="100" max="100" width="16" customWidth="1"/>
    <col min="101" max="102" width="16" hidden="1" customWidth="1" outlineLevel="1"/>
    <col min="103" max="103" width="16" hidden="1" customWidth="1" outlineLevel="1" collapsed="1"/>
    <col min="104" max="104" width="16" hidden="1" customWidth="1" outlineLevel="1"/>
    <col min="105" max="105" width="16" customWidth="1" collapsed="1"/>
    <col min="106" max="106" width="16" hidden="1" customWidth="1" outlineLevel="1"/>
    <col min="107" max="107" width="16" hidden="1" customWidth="1" outlineLevel="1" collapsed="1"/>
    <col min="108" max="109" width="16" hidden="1" customWidth="1" outlineLevel="1"/>
    <col min="110" max="110" width="16" customWidth="1" collapsed="1"/>
    <col min="111" max="113" width="16" hidden="1" customWidth="1" outlineLevel="1"/>
    <col min="114" max="114" width="16" hidden="1" customWidth="1" outlineLevel="1" collapsed="1"/>
    <col min="115" max="115" width="16" customWidth="1" collapsed="1"/>
    <col min="116" max="119" width="16" hidden="1" customWidth="1" outlineLevel="1"/>
    <col min="120" max="120" width="16" customWidth="1" collapsed="1"/>
    <col min="121" max="124" width="16" hidden="1" customWidth="1" outlineLevel="1"/>
    <col min="125" max="125" width="16" customWidth="1" collapsed="1"/>
    <col min="126" max="126" width="3" customWidth="1"/>
    <col min="127" max="127" width="16" customWidth="1"/>
    <col min="128" max="129" width="16" hidden="1" customWidth="1" outlineLevel="1"/>
    <col min="130" max="130" width="16" hidden="1" customWidth="1" outlineLevel="1" collapsed="1"/>
    <col min="131" max="131" width="16" hidden="1" customWidth="1" outlineLevel="1"/>
    <col min="132" max="132" width="16" customWidth="1" collapsed="1"/>
    <col min="133" max="134" width="16" hidden="1" customWidth="1" outlineLevel="1"/>
    <col min="135" max="135" width="16" hidden="1" customWidth="1" outlineLevel="1" collapsed="1"/>
    <col min="136" max="136" width="16" hidden="1" customWidth="1" outlineLevel="1"/>
    <col min="137" max="137" width="16" customWidth="1" collapsed="1"/>
    <col min="138" max="138" width="16" hidden="1" customWidth="1" outlineLevel="1"/>
    <col min="139" max="139" width="16" hidden="1" customWidth="1" outlineLevel="1" collapsed="1"/>
    <col min="140" max="141" width="16" hidden="1" customWidth="1" outlineLevel="1"/>
    <col min="142" max="142" width="16" customWidth="1" collapsed="1"/>
    <col min="143" max="145" width="16" hidden="1" customWidth="1" outlineLevel="1"/>
    <col min="146" max="146" width="16" hidden="1" customWidth="1" outlineLevel="1" collapsed="1"/>
    <col min="147" max="147" width="16" customWidth="1" collapsed="1"/>
    <col min="148" max="151" width="16" hidden="1" customWidth="1" outlineLevel="1"/>
    <col min="152" max="152" width="16" customWidth="1" collapsed="1"/>
    <col min="153" max="156" width="16" hidden="1" customWidth="1" outlineLevel="1"/>
    <col min="157" max="157" width="16" customWidth="1" collapsed="1"/>
    <col min="158" max="158" width="3" customWidth="1"/>
    <col min="159" max="159" width="16" customWidth="1"/>
    <col min="160" max="161" width="16" hidden="1" customWidth="1" outlineLevel="1"/>
    <col min="162" max="162" width="16" hidden="1" customWidth="1" outlineLevel="1" collapsed="1"/>
    <col min="163" max="163" width="16" hidden="1" customWidth="1" outlineLevel="1"/>
    <col min="164" max="164" width="16" customWidth="1" collapsed="1"/>
    <col min="165" max="166" width="16" hidden="1" customWidth="1" outlineLevel="1"/>
    <col min="167" max="167" width="16" hidden="1" customWidth="1" outlineLevel="1" collapsed="1"/>
    <col min="168" max="168" width="16" hidden="1" customWidth="1" outlineLevel="1"/>
    <col min="169" max="169" width="16" customWidth="1" collapsed="1"/>
    <col min="170" max="170" width="16" hidden="1" customWidth="1" outlineLevel="1"/>
    <col min="171" max="171" width="16" hidden="1" customWidth="1" outlineLevel="1" collapsed="1"/>
    <col min="172" max="173" width="16" hidden="1" customWidth="1" outlineLevel="1"/>
    <col min="174" max="174" width="16" customWidth="1" collapsed="1"/>
    <col min="175" max="177" width="16" hidden="1" customWidth="1" outlineLevel="1"/>
    <col min="178" max="178" width="16" hidden="1" customWidth="1" outlineLevel="1" collapsed="1"/>
    <col min="179" max="179" width="16" customWidth="1" collapsed="1"/>
    <col min="180" max="183" width="16" hidden="1" customWidth="1" outlineLevel="1"/>
    <col min="184" max="184" width="16" customWidth="1" collapsed="1"/>
    <col min="185" max="188" width="16" hidden="1" customWidth="1" outlineLevel="1"/>
    <col min="189" max="189" width="16" customWidth="1" collapsed="1"/>
    <col min="190" max="190" width="3" customWidth="1"/>
    <col min="191" max="191" width="16" customWidth="1"/>
    <col min="192" max="193" width="16" hidden="1" customWidth="1" outlineLevel="1"/>
    <col min="194" max="194" width="16" hidden="1" customWidth="1" outlineLevel="1" collapsed="1"/>
    <col min="195" max="195" width="16" hidden="1" customWidth="1" outlineLevel="1"/>
    <col min="196" max="196" width="16" customWidth="1" collapsed="1"/>
    <col min="197" max="198" width="16" hidden="1" customWidth="1" outlineLevel="1"/>
    <col min="199" max="199" width="16" hidden="1" customWidth="1" outlineLevel="1" collapsed="1"/>
    <col min="200" max="200" width="16" hidden="1" customWidth="1" outlineLevel="1"/>
    <col min="201" max="201" width="16" customWidth="1" collapsed="1"/>
    <col min="202" max="202" width="16" hidden="1" customWidth="1" outlineLevel="1"/>
    <col min="203" max="203" width="16" hidden="1" customWidth="1" outlineLevel="1" collapsed="1"/>
    <col min="204" max="205" width="16" hidden="1" customWidth="1" outlineLevel="1"/>
    <col min="206" max="206" width="16" customWidth="1" collapsed="1"/>
    <col min="207" max="209" width="16" hidden="1" customWidth="1" outlineLevel="1"/>
    <col min="210" max="210" width="16" hidden="1" customWidth="1" outlineLevel="1" collapsed="1"/>
    <col min="211" max="211" width="16" customWidth="1" collapsed="1"/>
    <col min="212" max="215" width="16" hidden="1" customWidth="1" outlineLevel="1"/>
    <col min="216" max="216" width="16" customWidth="1" collapsed="1"/>
    <col min="217" max="220" width="16" hidden="1" customWidth="1" outlineLevel="1"/>
    <col min="221" max="221" width="16" customWidth="1" collapsed="1"/>
    <col min="222" max="222" width="3" customWidth="1"/>
    <col min="223" max="224" width="16" customWidth="1"/>
    <col min="225" max="225" width="3" customWidth="1"/>
    <col min="226" max="226" width="16" customWidth="1"/>
    <col min="227" max="228" width="16" hidden="1" customWidth="1" outlineLevel="1"/>
    <col min="229" max="229" width="16" hidden="1" customWidth="1" outlineLevel="1" collapsed="1"/>
    <col min="230" max="230" width="16" hidden="1" customWidth="1" outlineLevel="1"/>
    <col min="231" max="231" width="16" customWidth="1" collapsed="1"/>
    <col min="232" max="233" width="16" hidden="1" customWidth="1" outlineLevel="1"/>
    <col min="234" max="234" width="16" hidden="1" customWidth="1" outlineLevel="1" collapsed="1"/>
    <col min="235" max="235" width="16" hidden="1" customWidth="1" outlineLevel="1"/>
    <col min="236" max="236" width="16" customWidth="1" collapsed="1"/>
    <col min="237" max="237" width="16" hidden="1" customWidth="1" outlineLevel="1"/>
    <col min="238" max="238" width="16" hidden="1" customWidth="1" outlineLevel="1" collapsed="1"/>
    <col min="239" max="240" width="16" hidden="1" customWidth="1" outlineLevel="1"/>
    <col min="241" max="241" width="16" customWidth="1" collapsed="1"/>
    <col min="242" max="244" width="16" hidden="1" customWidth="1" outlineLevel="1"/>
    <col min="245" max="245" width="16" hidden="1" customWidth="1" outlineLevel="1" collapsed="1"/>
    <col min="246" max="246" width="16" customWidth="1" collapsed="1"/>
    <col min="247" max="250" width="16" hidden="1" customWidth="1" outlineLevel="1"/>
    <col min="251" max="251" width="16" customWidth="1" collapsed="1"/>
    <col min="252" max="255" width="16" hidden="1" customWidth="1" outlineLevel="1"/>
    <col min="256" max="256" width="16" customWidth="1" collapsed="1"/>
    <col min="257" max="257" width="3" customWidth="1"/>
    <col min="258" max="258" width="16" customWidth="1"/>
    <col min="259" max="260" width="16" hidden="1" customWidth="1" outlineLevel="1"/>
    <col min="261" max="261" width="16" hidden="1" customWidth="1" outlineLevel="1" collapsed="1"/>
    <col min="262" max="262" width="16" hidden="1" customWidth="1" outlineLevel="1"/>
    <col min="263" max="263" width="16" customWidth="1" collapsed="1"/>
    <col min="264" max="265" width="16" hidden="1" customWidth="1" outlineLevel="1"/>
    <col min="266" max="266" width="16" hidden="1" customWidth="1" outlineLevel="1" collapsed="1"/>
    <col min="267" max="267" width="16" hidden="1" customWidth="1" outlineLevel="1"/>
    <col min="268" max="268" width="16" customWidth="1" collapsed="1"/>
    <col min="269" max="269" width="16" hidden="1" customWidth="1" outlineLevel="1"/>
    <col min="270" max="270" width="16" hidden="1" customWidth="1" outlineLevel="1" collapsed="1"/>
    <col min="271" max="272" width="16" hidden="1" customWidth="1" outlineLevel="1"/>
    <col min="273" max="273" width="16" customWidth="1" collapsed="1"/>
    <col min="274" max="276" width="16" hidden="1" customWidth="1" outlineLevel="1"/>
    <col min="277" max="277" width="16" hidden="1" customWidth="1" outlineLevel="1" collapsed="1"/>
    <col min="278" max="278" width="16" customWidth="1" collapsed="1"/>
    <col min="279" max="282" width="16" hidden="1" customWidth="1" outlineLevel="1"/>
    <col min="283" max="283" width="16" customWidth="1" collapsed="1"/>
    <col min="284" max="287" width="16" hidden="1" customWidth="1" outlineLevel="1"/>
    <col min="288" max="288" width="16" customWidth="1" collapsed="1"/>
    <col min="289" max="289" width="3" customWidth="1"/>
    <col min="290" max="290" width="16" customWidth="1"/>
    <col min="291" max="292" width="16" hidden="1" customWidth="1" outlineLevel="1"/>
    <col min="293" max="293" width="16" hidden="1" customWidth="1" outlineLevel="1" collapsed="1"/>
    <col min="294" max="294" width="16" hidden="1" customWidth="1" outlineLevel="1"/>
    <col min="295" max="295" width="16" customWidth="1" collapsed="1"/>
    <col min="296" max="297" width="16" hidden="1" customWidth="1" outlineLevel="1"/>
    <col min="298" max="298" width="16" hidden="1" customWidth="1" outlineLevel="1" collapsed="1"/>
    <col min="299" max="299" width="16" hidden="1" customWidth="1" outlineLevel="1"/>
    <col min="300" max="300" width="16" customWidth="1" collapsed="1"/>
    <col min="301" max="301" width="16" hidden="1" customWidth="1" outlineLevel="1"/>
    <col min="302" max="302" width="16" hidden="1" customWidth="1" outlineLevel="1" collapsed="1"/>
    <col min="303" max="304" width="16" hidden="1" customWidth="1" outlineLevel="1"/>
    <col min="305" max="305" width="16" customWidth="1" collapsed="1"/>
    <col min="306" max="308" width="16" hidden="1" customWidth="1" outlineLevel="1"/>
    <col min="309" max="309" width="16" hidden="1" customWidth="1" outlineLevel="1" collapsed="1"/>
    <col min="310" max="310" width="16" customWidth="1" collapsed="1"/>
    <col min="311" max="314" width="16" hidden="1" customWidth="1" outlineLevel="1"/>
    <col min="315" max="315" width="16" customWidth="1" collapsed="1"/>
    <col min="316" max="319" width="16" hidden="1" customWidth="1" outlineLevel="1"/>
    <col min="320" max="320" width="16" customWidth="1" collapsed="1"/>
    <col min="321" max="321" width="3" customWidth="1"/>
    <col min="322" max="322" width="16" customWidth="1"/>
    <col min="323" max="324" width="16" hidden="1" customWidth="1" outlineLevel="1"/>
    <col min="325" max="325" width="16" hidden="1" customWidth="1" outlineLevel="1" collapsed="1"/>
    <col min="326" max="326" width="16" hidden="1" customWidth="1" outlineLevel="1"/>
    <col min="327" max="327" width="16" customWidth="1" collapsed="1"/>
    <col min="328" max="329" width="16" hidden="1" customWidth="1" outlineLevel="1"/>
    <col min="330" max="330" width="16" hidden="1" customWidth="1" outlineLevel="1" collapsed="1"/>
    <col min="331" max="331" width="16" hidden="1" customWidth="1" outlineLevel="1"/>
    <col min="332" max="332" width="16" customWidth="1" collapsed="1"/>
    <col min="333" max="333" width="16" hidden="1" customWidth="1" outlineLevel="1"/>
    <col min="334" max="334" width="16" hidden="1" customWidth="1" outlineLevel="1" collapsed="1"/>
    <col min="335" max="336" width="16" hidden="1" customWidth="1" outlineLevel="1"/>
    <col min="337" max="337" width="16" customWidth="1" collapsed="1"/>
    <col min="338" max="340" width="16" hidden="1" customWidth="1" outlineLevel="1"/>
    <col min="341" max="341" width="16" hidden="1" customWidth="1" outlineLevel="1" collapsed="1"/>
    <col min="342" max="342" width="16" customWidth="1" collapsed="1"/>
    <col min="343" max="346" width="16" hidden="1" customWidth="1" outlineLevel="1"/>
    <col min="347" max="347" width="16" customWidth="1" collapsed="1"/>
    <col min="348" max="351" width="16" hidden="1" customWidth="1" outlineLevel="1"/>
    <col min="352" max="352" width="16" customWidth="1" collapsed="1"/>
    <col min="353" max="353" width="3" customWidth="1"/>
    <col min="354" max="354" width="16" customWidth="1"/>
    <col min="355" max="356" width="16" hidden="1" customWidth="1" outlineLevel="1"/>
    <col min="357" max="357" width="16" hidden="1" customWidth="1" outlineLevel="1" collapsed="1"/>
    <col min="358" max="358" width="16" hidden="1" customWidth="1" outlineLevel="1"/>
    <col min="359" max="359" width="16" customWidth="1" collapsed="1"/>
    <col min="360" max="361" width="16" hidden="1" customWidth="1" outlineLevel="1"/>
    <col min="362" max="362" width="16" hidden="1" customWidth="1" outlineLevel="1" collapsed="1"/>
    <col min="363" max="363" width="16" hidden="1" customWidth="1" outlineLevel="1"/>
    <col min="364" max="364" width="16" customWidth="1" collapsed="1"/>
    <col min="365" max="365" width="16" hidden="1" customWidth="1" outlineLevel="1"/>
    <col min="366" max="366" width="16" hidden="1" customWidth="1" outlineLevel="1" collapsed="1"/>
    <col min="367" max="368" width="16" hidden="1" customWidth="1" outlineLevel="1"/>
    <col min="369" max="369" width="16" customWidth="1" collapsed="1"/>
    <col min="370" max="372" width="16" hidden="1" customWidth="1" outlineLevel="1"/>
    <col min="373" max="373" width="16" hidden="1" customWidth="1" outlineLevel="1" collapsed="1"/>
    <col min="374" max="374" width="16" customWidth="1" collapsed="1"/>
    <col min="375" max="378" width="16" hidden="1" customWidth="1" outlineLevel="1"/>
    <col min="379" max="379" width="16" customWidth="1" collapsed="1"/>
    <col min="380" max="383" width="16" hidden="1" customWidth="1" outlineLevel="1"/>
    <col min="384" max="384" width="16" customWidth="1" collapsed="1"/>
    <col min="385" max="385" width="3" customWidth="1"/>
    <col min="386" max="386" width="16" customWidth="1"/>
    <col min="387" max="388" width="16" hidden="1" customWidth="1" outlineLevel="1"/>
    <col min="389" max="389" width="16" hidden="1" customWidth="1" outlineLevel="1" collapsed="1"/>
    <col min="390" max="390" width="16" hidden="1" customWidth="1" outlineLevel="1"/>
    <col min="391" max="391" width="16" customWidth="1" collapsed="1"/>
    <col min="392" max="393" width="16" hidden="1" customWidth="1" outlineLevel="1"/>
    <col min="394" max="394" width="16" hidden="1" customWidth="1" outlineLevel="1" collapsed="1"/>
    <col min="395" max="395" width="16" hidden="1" customWidth="1" outlineLevel="1"/>
    <col min="396" max="396" width="16" customWidth="1" collapsed="1"/>
    <col min="397" max="397" width="16" hidden="1" customWidth="1" outlineLevel="1"/>
    <col min="398" max="398" width="16" hidden="1" customWidth="1" outlineLevel="1" collapsed="1"/>
    <col min="399" max="400" width="16" hidden="1" customWidth="1" outlineLevel="1"/>
    <col min="401" max="401" width="16" customWidth="1" collapsed="1"/>
    <col min="402" max="404" width="16" hidden="1" customWidth="1" outlineLevel="1"/>
    <col min="405" max="405" width="16" hidden="1" customWidth="1" outlineLevel="1" collapsed="1"/>
    <col min="406" max="406" width="16" customWidth="1" collapsed="1"/>
    <col min="407" max="410" width="16" hidden="1" customWidth="1" outlineLevel="1"/>
    <col min="411" max="411" width="16" customWidth="1" collapsed="1"/>
    <col min="412" max="415" width="16" hidden="1" customWidth="1" outlineLevel="1"/>
    <col min="416" max="416" width="16" customWidth="1" collapsed="1"/>
    <col min="417" max="417" width="3" customWidth="1"/>
    <col min="418" max="422" width="16" customWidth="1"/>
    <col min="423" max="423" width="3" customWidth="1"/>
    <col min="424" max="427" width="16" customWidth="1"/>
    <col min="428" max="428" width="3" customWidth="1"/>
    <col min="429" max="434" width="16" customWidth="1"/>
    <col min="435" max="435" width="3" customWidth="1"/>
    <col min="436" max="439" width="21" customWidth="1"/>
    <col min="440" max="440" width="4.59765625" customWidth="1"/>
    <col min="441" max="441" width="5" customWidth="1"/>
  </cols>
  <sheetData>
    <row r="1" spans="1:444" s="5" customFormat="1" ht="29" thickBot="1">
      <c r="A1" s="5" t="s">
        <v>499</v>
      </c>
    </row>
    <row r="4" spans="1:444" ht="19" thickBot="1">
      <c r="H4" s="9" t="s">
        <v>474</v>
      </c>
      <c r="I4" s="9"/>
      <c r="J4" s="9"/>
      <c r="K4" s="9"/>
      <c r="L4" s="9"/>
      <c r="M4" s="9"/>
      <c r="N4" s="9"/>
      <c r="O4" s="9"/>
      <c r="P4" s="9"/>
      <c r="Q4" s="9"/>
      <c r="R4" s="9"/>
      <c r="S4" s="9"/>
      <c r="T4" s="9"/>
      <c r="U4" s="9"/>
      <c r="V4" s="9"/>
      <c r="W4" s="9"/>
      <c r="X4" s="9"/>
      <c r="Y4" s="9"/>
      <c r="Z4" s="9"/>
      <c r="AB4" s="9" t="s">
        <v>398</v>
      </c>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O4" s="9" t="s">
        <v>399</v>
      </c>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W4" s="9"/>
      <c r="IX4" s="9"/>
      <c r="IY4" s="9"/>
      <c r="IZ4" s="9"/>
      <c r="JA4" s="9"/>
      <c r="JB4" s="9"/>
      <c r="JC4" s="9"/>
      <c r="JD4" s="9"/>
      <c r="JE4" s="9"/>
      <c r="JF4" s="9"/>
      <c r="JG4" s="9"/>
      <c r="JH4" s="9"/>
      <c r="JI4" s="9"/>
      <c r="JJ4" s="9"/>
      <c r="JK4" s="9"/>
      <c r="JL4" s="9"/>
      <c r="JM4" s="9"/>
      <c r="JN4" s="9"/>
      <c r="JO4" s="9"/>
      <c r="JP4" s="9"/>
      <c r="JQ4" s="9"/>
      <c r="JR4" s="9"/>
      <c r="JS4" s="9"/>
      <c r="JT4" s="9"/>
      <c r="JU4" s="9"/>
      <c r="JV4" s="9"/>
      <c r="JW4" s="9"/>
      <c r="JX4" s="9"/>
      <c r="JY4" s="9"/>
      <c r="JZ4" s="9"/>
      <c r="KA4" s="9"/>
      <c r="KB4" s="9"/>
      <c r="KC4" s="9"/>
      <c r="KD4" s="9"/>
      <c r="KE4" s="9"/>
      <c r="KF4" s="9"/>
      <c r="KG4" s="9"/>
      <c r="KH4" s="9"/>
      <c r="KI4" s="9"/>
      <c r="KJ4" s="9"/>
      <c r="KK4" s="9"/>
      <c r="KL4" s="9"/>
      <c r="KM4" s="9"/>
      <c r="KN4" s="9"/>
      <c r="KO4" s="9"/>
      <c r="KP4" s="9"/>
      <c r="KQ4" s="9"/>
      <c r="KR4" s="9"/>
      <c r="KS4" s="9"/>
      <c r="KT4" s="9"/>
      <c r="KU4" s="9"/>
      <c r="KV4" s="9"/>
      <c r="KW4" s="9"/>
      <c r="KX4" s="9"/>
      <c r="KY4" s="9"/>
      <c r="KZ4" s="9"/>
      <c r="LA4" s="9"/>
      <c r="LB4" s="9"/>
      <c r="LC4" s="9"/>
      <c r="LD4" s="9"/>
      <c r="LE4" s="9"/>
      <c r="LF4" s="9"/>
      <c r="LG4" s="9"/>
      <c r="LH4" s="9"/>
      <c r="LI4" s="9"/>
      <c r="LJ4" s="9"/>
      <c r="LK4" s="9"/>
      <c r="LL4" s="9"/>
      <c r="LM4" s="9"/>
      <c r="LN4" s="9"/>
      <c r="LO4" s="9"/>
      <c r="LP4" s="9"/>
      <c r="LQ4" s="9"/>
      <c r="LR4" s="9"/>
      <c r="LS4" s="9"/>
      <c r="LT4" s="9"/>
      <c r="LU4" s="9"/>
      <c r="LV4" s="9"/>
      <c r="LW4" s="9"/>
      <c r="LX4" s="9"/>
      <c r="LY4" s="9"/>
      <c r="LZ4" s="9"/>
      <c r="MA4" s="9"/>
      <c r="MB4" s="9"/>
      <c r="MC4" s="9"/>
      <c r="MD4" s="9"/>
      <c r="ME4" s="9"/>
      <c r="MF4" s="9"/>
      <c r="MG4" s="9"/>
      <c r="MH4" s="9"/>
      <c r="MI4" s="9"/>
      <c r="MJ4" s="9"/>
      <c r="MK4" s="9"/>
      <c r="ML4" s="9"/>
      <c r="MM4" s="9"/>
      <c r="MN4" s="9"/>
      <c r="MO4" s="9"/>
      <c r="MP4" s="9"/>
      <c r="MQ4" s="9"/>
      <c r="MR4" s="9"/>
      <c r="MS4" s="9"/>
      <c r="MT4" s="9"/>
      <c r="MU4" s="9"/>
      <c r="MV4" s="9"/>
      <c r="MW4" s="9"/>
      <c r="MX4" s="9"/>
      <c r="MY4" s="9"/>
      <c r="MZ4" s="9"/>
      <c r="NA4" s="9"/>
      <c r="NB4" s="9"/>
      <c r="NC4" s="9"/>
      <c r="ND4" s="9"/>
      <c r="NE4" s="9"/>
      <c r="NF4" s="9"/>
      <c r="NG4" s="9"/>
      <c r="NH4" s="9"/>
      <c r="NI4" s="9"/>
      <c r="NJ4" s="9"/>
      <c r="NK4" s="9"/>
      <c r="NL4" s="9"/>
      <c r="NM4" s="9"/>
      <c r="NN4" s="9"/>
      <c r="NO4" s="9"/>
      <c r="NP4" s="9"/>
      <c r="NQ4" s="9"/>
      <c r="NR4" s="9"/>
      <c r="NS4" s="9"/>
      <c r="NT4" s="9"/>
      <c r="NU4" s="9"/>
      <c r="NV4" s="9"/>
      <c r="NW4" s="9"/>
      <c r="NX4" s="9"/>
      <c r="NY4" s="9"/>
      <c r="NZ4" s="9"/>
      <c r="OA4" s="9"/>
      <c r="OB4" s="9"/>
      <c r="OC4" s="9"/>
      <c r="OD4" s="9"/>
      <c r="OE4" s="9"/>
      <c r="OF4" s="9"/>
      <c r="OG4" s="9"/>
      <c r="OH4" s="9"/>
      <c r="OI4" s="9"/>
      <c r="OJ4" s="9"/>
      <c r="OK4" s="9"/>
      <c r="OL4" s="9"/>
      <c r="OM4" s="9"/>
      <c r="ON4" s="9"/>
      <c r="OO4" s="9"/>
      <c r="OP4" s="9"/>
      <c r="OQ4" s="9"/>
      <c r="OR4" s="9"/>
      <c r="OS4" s="9"/>
      <c r="OT4" s="9"/>
      <c r="OU4" s="9"/>
      <c r="OV4" s="9"/>
      <c r="OW4" s="9"/>
      <c r="OX4" s="9"/>
      <c r="OY4" s="9"/>
      <c r="OZ4" s="9"/>
      <c r="PB4" s="9" t="s">
        <v>414</v>
      </c>
      <c r="PC4" s="9"/>
      <c r="PD4" s="9"/>
      <c r="PE4" s="9"/>
      <c r="PF4" s="9"/>
      <c r="PG4" s="9"/>
      <c r="PH4" s="9"/>
      <c r="PI4" s="9"/>
      <c r="PJ4" s="9"/>
      <c r="PK4" s="9"/>
      <c r="PL4" s="9"/>
      <c r="PM4" s="9"/>
      <c r="PN4" s="9"/>
      <c r="PO4" s="9"/>
      <c r="PP4" s="9"/>
      <c r="PQ4" s="9"/>
      <c r="PR4" s="9"/>
      <c r="PS4" s="9"/>
      <c r="PT4" s="9"/>
      <c r="PU4" s="9"/>
      <c r="PV4" s="9"/>
      <c r="PW4" s="9"/>
      <c r="PZ4" s="9" t="s">
        <v>415</v>
      </c>
      <c r="QA4" s="9"/>
      <c r="QB4" s="9"/>
    </row>
    <row r="6" spans="1:444" ht="15" thickBot="1">
      <c r="N6" s="83" t="s">
        <v>279</v>
      </c>
      <c r="O6" s="83"/>
      <c r="P6" s="83"/>
      <c r="Q6" s="83"/>
      <c r="R6" s="83"/>
      <c r="S6" s="83"/>
      <c r="U6" s="83" t="s">
        <v>302</v>
      </c>
      <c r="V6" s="83"/>
      <c r="W6" s="83"/>
      <c r="X6" s="83"/>
      <c r="Y6" s="83"/>
      <c r="Z6" s="83"/>
    </row>
    <row r="8" spans="1:444" ht="39" customHeight="1">
      <c r="H8" s="11" t="s">
        <v>203</v>
      </c>
      <c r="J8" s="11" t="s">
        <v>392</v>
      </c>
      <c r="L8" s="11" t="s">
        <v>443</v>
      </c>
      <c r="N8" s="11" t="str" cm="1">
        <f t="array" aca="1" ref="N8" ca="1">TRANSPOSE(OFFSET(lists_reserves,,,COUNTA(lists_reserves)))</f>
        <v>regulating_up</v>
      </c>
      <c r="O8" s="11"/>
      <c r="P8" s="11"/>
      <c r="Q8" s="11"/>
      <c r="R8" s="11"/>
      <c r="S8" s="11"/>
      <c r="U8" s="11" t="e" cm="1" vm="1">
        <f t="array" aca="1" ref="U8" ca="1">TRANSPOSE(OFFSET(lists_prm,,,COUNTA(lists_prm)))</f>
        <v>#VALUE!</v>
      </c>
      <c r="V8" s="11"/>
      <c r="W8" s="11"/>
      <c r="X8" s="11"/>
      <c r="Z8" s="11" t="s">
        <v>349</v>
      </c>
      <c r="AB8" s="6" t="s">
        <v>417</v>
      </c>
      <c r="AC8" s="6" t="s">
        <v>418</v>
      </c>
      <c r="AE8" s="6" t="s">
        <v>400</v>
      </c>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K8" s="11" t="s">
        <v>500</v>
      </c>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Q8" s="6" t="s">
        <v>501</v>
      </c>
      <c r="CR8" s="6"/>
      <c r="CS8" s="6"/>
      <c r="CT8" s="6"/>
      <c r="CU8" s="6"/>
      <c r="CV8" s="6"/>
      <c r="CW8" s="6"/>
      <c r="CX8" s="6"/>
      <c r="CY8" s="6"/>
      <c r="CZ8" s="6"/>
      <c r="DA8" s="6"/>
      <c r="DB8" s="6"/>
      <c r="DC8" s="6"/>
      <c r="DD8" s="6"/>
      <c r="DE8" s="6"/>
      <c r="DF8" s="6"/>
      <c r="DG8" s="6"/>
      <c r="DH8" s="6"/>
      <c r="DI8" s="6"/>
      <c r="DJ8" s="6"/>
      <c r="DK8" s="6"/>
      <c r="DL8" s="6"/>
      <c r="DM8" s="6"/>
      <c r="DN8" s="6"/>
      <c r="DO8" s="6"/>
      <c r="DP8" s="6"/>
      <c r="DQ8" s="6"/>
      <c r="DR8" s="6"/>
      <c r="DS8" s="6"/>
      <c r="DT8" s="6"/>
      <c r="DU8" s="6"/>
      <c r="DW8" s="6" t="s">
        <v>419</v>
      </c>
      <c r="DX8" s="6"/>
      <c r="DY8" s="6"/>
      <c r="DZ8" s="6"/>
      <c r="EA8" s="6"/>
      <c r="EB8" s="6"/>
      <c r="EC8" s="6"/>
      <c r="ED8" s="6"/>
      <c r="EE8" s="6"/>
      <c r="EF8" s="6"/>
      <c r="EG8" s="6"/>
      <c r="EH8" s="6"/>
      <c r="EI8" s="6"/>
      <c r="EJ8" s="6"/>
      <c r="EK8" s="6"/>
      <c r="EL8" s="6"/>
      <c r="EM8" s="6"/>
      <c r="EN8" s="6"/>
      <c r="EO8" s="6"/>
      <c r="EP8" s="6"/>
      <c r="EQ8" s="6"/>
      <c r="ER8" s="6"/>
      <c r="ES8" s="6"/>
      <c r="ET8" s="6"/>
      <c r="EU8" s="6"/>
      <c r="EV8" s="6"/>
      <c r="EW8" s="6"/>
      <c r="EX8" s="6"/>
      <c r="EY8" s="6"/>
      <c r="EZ8" s="6"/>
      <c r="FA8" s="6"/>
      <c r="FC8" s="6" t="s">
        <v>401</v>
      </c>
      <c r="FD8" s="6"/>
      <c r="FE8" s="6"/>
      <c r="FF8" s="6"/>
      <c r="FG8" s="6"/>
      <c r="FH8" s="6"/>
      <c r="FI8" s="6"/>
      <c r="FJ8" s="6"/>
      <c r="FK8" s="6"/>
      <c r="FL8" s="6"/>
      <c r="FM8" s="6"/>
      <c r="FN8" s="6"/>
      <c r="FO8" s="6"/>
      <c r="FP8" s="6"/>
      <c r="FQ8" s="6"/>
      <c r="FR8" s="6"/>
      <c r="FS8" s="6"/>
      <c r="FT8" s="6"/>
      <c r="FU8" s="6"/>
      <c r="FV8" s="6"/>
      <c r="FW8" s="6"/>
      <c r="FX8" s="6"/>
      <c r="FY8" s="6"/>
      <c r="FZ8" s="6"/>
      <c r="GA8" s="6"/>
      <c r="GB8" s="6"/>
      <c r="GC8" s="6"/>
      <c r="GD8" s="6"/>
      <c r="GE8" s="6"/>
      <c r="GF8" s="6"/>
      <c r="GG8" s="6"/>
      <c r="GI8" s="6" t="s">
        <v>403</v>
      </c>
      <c r="GJ8" s="6"/>
      <c r="GK8" s="6"/>
      <c r="GL8" s="6"/>
      <c r="GM8" s="6"/>
      <c r="GN8" s="6"/>
      <c r="GO8" s="6"/>
      <c r="GP8" s="6"/>
      <c r="GQ8" s="6"/>
      <c r="GR8" s="6"/>
      <c r="GS8" s="6"/>
      <c r="GT8" s="6"/>
      <c r="GU8" s="6"/>
      <c r="GV8" s="6"/>
      <c r="GW8" s="6"/>
      <c r="GX8" s="6"/>
      <c r="GY8" s="6"/>
      <c r="GZ8" s="6"/>
      <c r="HA8" s="6"/>
      <c r="HB8" s="6"/>
      <c r="HC8" s="6"/>
      <c r="HD8" s="6"/>
      <c r="HE8" s="6"/>
      <c r="HF8" s="6"/>
      <c r="HG8" s="6"/>
      <c r="HH8" s="6"/>
      <c r="HI8" s="6"/>
      <c r="HJ8" s="6"/>
      <c r="HK8" s="6"/>
      <c r="HL8" s="6"/>
      <c r="HM8" s="6"/>
      <c r="HO8" s="11" t="s">
        <v>420</v>
      </c>
      <c r="HP8" s="11" t="s">
        <v>476</v>
      </c>
      <c r="HR8" s="6" t="s">
        <v>404</v>
      </c>
      <c r="HS8" s="6"/>
      <c r="HT8" s="6"/>
      <c r="HU8" s="6"/>
      <c r="HV8" s="6"/>
      <c r="HW8" s="6"/>
      <c r="HX8" s="6"/>
      <c r="HY8" s="6"/>
      <c r="HZ8" s="6"/>
      <c r="IA8" s="6"/>
      <c r="IB8" s="6"/>
      <c r="IC8" s="6"/>
      <c r="ID8" s="6"/>
      <c r="IE8" s="6"/>
      <c r="IF8" s="6"/>
      <c r="IG8" s="6"/>
      <c r="IH8" s="6"/>
      <c r="II8" s="6"/>
      <c r="IJ8" s="6"/>
      <c r="IK8" s="6"/>
      <c r="IL8" s="6"/>
      <c r="IM8" s="6"/>
      <c r="IN8" s="6"/>
      <c r="IO8" s="6"/>
      <c r="IP8" s="6"/>
      <c r="IQ8" s="6"/>
      <c r="IR8" s="6"/>
      <c r="IS8" s="6"/>
      <c r="IT8" s="6"/>
      <c r="IU8" s="6"/>
      <c r="IV8" s="6"/>
      <c r="IX8" s="6" t="s">
        <v>421</v>
      </c>
      <c r="IY8" s="6"/>
      <c r="IZ8" s="6"/>
      <c r="JA8" s="6"/>
      <c r="JB8" s="6"/>
      <c r="JC8" s="6"/>
      <c r="JD8" s="6"/>
      <c r="JE8" s="6"/>
      <c r="JF8" s="6"/>
      <c r="JG8" s="6"/>
      <c r="JH8" s="6"/>
      <c r="JI8" s="6"/>
      <c r="JJ8" s="6"/>
      <c r="JK8" s="6"/>
      <c r="JL8" s="6"/>
      <c r="JM8" s="6"/>
      <c r="JN8" s="6"/>
      <c r="JO8" s="6"/>
      <c r="JP8" s="6"/>
      <c r="JQ8" s="6"/>
      <c r="JR8" s="6"/>
      <c r="JS8" s="6"/>
      <c r="JT8" s="6"/>
      <c r="JU8" s="6"/>
      <c r="JV8" s="6"/>
      <c r="JW8" s="6"/>
      <c r="JX8" s="6"/>
      <c r="JY8" s="6"/>
      <c r="JZ8" s="6"/>
      <c r="KA8" s="6"/>
      <c r="KB8" s="6"/>
      <c r="KD8" s="6" t="s">
        <v>422</v>
      </c>
      <c r="KE8" s="6"/>
      <c r="KF8" s="6"/>
      <c r="KG8" s="6"/>
      <c r="KH8" s="6"/>
      <c r="KI8" s="6"/>
      <c r="KJ8" s="6"/>
      <c r="KK8" s="6"/>
      <c r="KL8" s="6"/>
      <c r="KM8" s="6"/>
      <c r="KN8" s="6"/>
      <c r="KO8" s="6"/>
      <c r="KP8" s="6"/>
      <c r="KQ8" s="6"/>
      <c r="KR8" s="6"/>
      <c r="KS8" s="6"/>
      <c r="KT8" s="6"/>
      <c r="KU8" s="6"/>
      <c r="KV8" s="6"/>
      <c r="KW8" s="6"/>
      <c r="KX8" s="6"/>
      <c r="KY8" s="6"/>
      <c r="KZ8" s="6"/>
      <c r="LA8" s="6"/>
      <c r="LB8" s="6"/>
      <c r="LC8" s="6"/>
      <c r="LD8" s="6"/>
      <c r="LE8" s="6"/>
      <c r="LF8" s="6"/>
      <c r="LG8" s="6"/>
      <c r="LH8" s="6"/>
      <c r="LJ8" s="6" t="s">
        <v>502</v>
      </c>
      <c r="LK8" s="6"/>
      <c r="LL8" s="6"/>
      <c r="LM8" s="6"/>
      <c r="LN8" s="6"/>
      <c r="LO8" s="6"/>
      <c r="LP8" s="6"/>
      <c r="LQ8" s="6"/>
      <c r="LR8" s="6"/>
      <c r="LS8" s="6"/>
      <c r="LT8" s="6"/>
      <c r="LU8" s="6"/>
      <c r="LV8" s="6"/>
      <c r="LW8" s="6"/>
      <c r="LX8" s="6"/>
      <c r="LY8" s="6"/>
      <c r="LZ8" s="6"/>
      <c r="MA8" s="6"/>
      <c r="MB8" s="6"/>
      <c r="MC8" s="6"/>
      <c r="MD8" s="6"/>
      <c r="ME8" s="6"/>
      <c r="MF8" s="6"/>
      <c r="MG8" s="6"/>
      <c r="MH8" s="6"/>
      <c r="MI8" s="6"/>
      <c r="MJ8" s="6"/>
      <c r="MK8" s="6"/>
      <c r="ML8" s="6"/>
      <c r="MM8" s="6"/>
      <c r="MN8" s="6"/>
      <c r="MP8" s="6" t="s">
        <v>503</v>
      </c>
      <c r="MQ8" s="6"/>
      <c r="MR8" s="6"/>
      <c r="MS8" s="6"/>
      <c r="MT8" s="6"/>
      <c r="MU8" s="6"/>
      <c r="MV8" s="6"/>
      <c r="MW8" s="6"/>
      <c r="MX8" s="6"/>
      <c r="MY8" s="6"/>
      <c r="MZ8" s="6"/>
      <c r="NA8" s="6"/>
      <c r="NB8" s="6"/>
      <c r="NC8" s="6"/>
      <c r="ND8" s="6"/>
      <c r="NE8" s="6"/>
      <c r="NF8" s="6"/>
      <c r="NG8" s="6"/>
      <c r="NH8" s="6"/>
      <c r="NI8" s="6"/>
      <c r="NJ8" s="6"/>
      <c r="NK8" s="6"/>
      <c r="NL8" s="6"/>
      <c r="NM8" s="6"/>
      <c r="NN8" s="6"/>
      <c r="NO8" s="6"/>
      <c r="NP8" s="6"/>
      <c r="NQ8" s="6"/>
      <c r="NR8" s="6"/>
      <c r="NS8" s="6"/>
      <c r="NT8" s="6"/>
      <c r="NV8" s="6" t="s">
        <v>504</v>
      </c>
      <c r="NW8" s="6"/>
      <c r="NX8" s="6"/>
      <c r="NY8" s="6"/>
      <c r="NZ8" s="6"/>
      <c r="OA8" s="6"/>
      <c r="OB8" s="6"/>
      <c r="OC8" s="6"/>
      <c r="OD8" s="6"/>
      <c r="OE8" s="6"/>
      <c r="OF8" s="6"/>
      <c r="OG8" s="6"/>
      <c r="OH8" s="6"/>
      <c r="OI8" s="6"/>
      <c r="OJ8" s="6"/>
      <c r="OK8" s="6"/>
      <c r="OL8" s="6"/>
      <c r="OM8" s="6"/>
      <c r="ON8" s="6"/>
      <c r="OO8" s="6"/>
      <c r="OP8" s="6"/>
      <c r="OQ8" s="6"/>
      <c r="OR8" s="6"/>
      <c r="OS8" s="6"/>
      <c r="OT8" s="6"/>
      <c r="OU8" s="6"/>
      <c r="OV8" s="6"/>
      <c r="OW8" s="6"/>
      <c r="OX8" s="6"/>
      <c r="OY8" s="6"/>
      <c r="OZ8" s="6"/>
      <c r="PB8" s="11" t="s">
        <v>505</v>
      </c>
      <c r="PC8" s="11" t="s">
        <v>505</v>
      </c>
      <c r="PD8" s="11" t="s">
        <v>506</v>
      </c>
      <c r="PE8" s="11" t="s">
        <v>506</v>
      </c>
      <c r="PF8" s="11" t="s">
        <v>507</v>
      </c>
      <c r="PH8" s="11" t="s">
        <v>433</v>
      </c>
      <c r="PI8" s="11" t="s">
        <v>434</v>
      </c>
      <c r="PJ8" s="11" t="s">
        <v>435</v>
      </c>
      <c r="PK8" s="11" t="s">
        <v>436</v>
      </c>
      <c r="PM8" s="11" t="s">
        <v>437</v>
      </c>
      <c r="PN8" s="11" t="s">
        <v>438</v>
      </c>
      <c r="PO8" s="11" t="s">
        <v>439</v>
      </c>
      <c r="PP8" s="11" t="s">
        <v>440</v>
      </c>
      <c r="PQ8" s="11" t="s">
        <v>508</v>
      </c>
      <c r="PR8" s="11" t="s">
        <v>509</v>
      </c>
      <c r="PT8" s="11" t="s">
        <v>478</v>
      </c>
      <c r="PU8" s="11" t="s">
        <v>479</v>
      </c>
      <c r="PV8" s="11" t="s">
        <v>480</v>
      </c>
      <c r="PW8" s="11" t="s">
        <v>481</v>
      </c>
      <c r="PZ8" s="11" t="s">
        <v>441</v>
      </c>
      <c r="QA8" s="11" t="s">
        <v>442</v>
      </c>
      <c r="QB8" s="11" t="s">
        <v>388</v>
      </c>
    </row>
    <row r="9" spans="1:444" s="30" customFormat="1" outlineLevel="1">
      <c r="B9" s="30" t="s">
        <v>229</v>
      </c>
      <c r="F9"/>
      <c r="H9" s="30" t="s">
        <v>444</v>
      </c>
      <c r="J9" s="30" t="s">
        <v>445</v>
      </c>
      <c r="L9" s="30" t="s">
        <v>471</v>
      </c>
      <c r="N9" s="30" t="s">
        <v>447</v>
      </c>
      <c r="O9" s="30" t="s">
        <v>447</v>
      </c>
      <c r="P9" s="30" t="s">
        <v>447</v>
      </c>
      <c r="Q9" s="30" t="s">
        <v>447</v>
      </c>
      <c r="R9" s="30" t="s">
        <v>447</v>
      </c>
      <c r="S9" s="30" t="s">
        <v>447</v>
      </c>
      <c r="U9" s="30" t="s">
        <v>406</v>
      </c>
      <c r="V9" s="30" t="s">
        <v>406</v>
      </c>
      <c r="W9" s="30" t="s">
        <v>406</v>
      </c>
      <c r="X9" s="30" t="s">
        <v>406</v>
      </c>
      <c r="Z9" s="30" t="s">
        <v>510</v>
      </c>
      <c r="AB9" s="30" t="s">
        <v>410</v>
      </c>
      <c r="AC9" s="30" t="s">
        <v>448</v>
      </c>
      <c r="AD9"/>
      <c r="AE9" s="30" t="s">
        <v>408</v>
      </c>
      <c r="AF9" s="30" t="s">
        <v>408</v>
      </c>
      <c r="AG9" s="30" t="s">
        <v>408</v>
      </c>
      <c r="AH9" s="30" t="s">
        <v>408</v>
      </c>
      <c r="AI9" s="30" t="s">
        <v>408</v>
      </c>
      <c r="AJ9" s="30" t="s">
        <v>408</v>
      </c>
      <c r="AK9" s="30" t="s">
        <v>408</v>
      </c>
      <c r="AL9" s="30" t="s">
        <v>408</v>
      </c>
      <c r="AM9" s="30" t="s">
        <v>408</v>
      </c>
      <c r="AN9" s="30" t="s">
        <v>408</v>
      </c>
      <c r="AO9" s="30" t="s">
        <v>408</v>
      </c>
      <c r="AP9" s="30" t="s">
        <v>408</v>
      </c>
      <c r="AQ9" s="30" t="s">
        <v>408</v>
      </c>
      <c r="AR9" s="30" t="s">
        <v>408</v>
      </c>
      <c r="AS9" s="30" t="s">
        <v>408</v>
      </c>
      <c r="AT9" s="30" t="s">
        <v>408</v>
      </c>
      <c r="AU9" s="30" t="s">
        <v>408</v>
      </c>
      <c r="AV9" s="30" t="s">
        <v>408</v>
      </c>
      <c r="AW9" s="30" t="s">
        <v>408</v>
      </c>
      <c r="AX9" s="30" t="s">
        <v>408</v>
      </c>
      <c r="AY9" s="30" t="s">
        <v>408</v>
      </c>
      <c r="AZ9" s="30" t="s">
        <v>408</v>
      </c>
      <c r="BA9" s="30" t="s">
        <v>408</v>
      </c>
      <c r="BB9" s="30" t="s">
        <v>408</v>
      </c>
      <c r="BC9" s="30" t="s">
        <v>408</v>
      </c>
      <c r="BD9" s="30" t="s">
        <v>408</v>
      </c>
      <c r="BE9" s="30" t="s">
        <v>408</v>
      </c>
      <c r="BF9" s="30" t="s">
        <v>408</v>
      </c>
      <c r="BG9" s="30" t="s">
        <v>408</v>
      </c>
      <c r="BH9" s="30" t="s">
        <v>408</v>
      </c>
      <c r="BI9" s="30" t="s">
        <v>408</v>
      </c>
      <c r="BK9" s="30" t="s">
        <v>511</v>
      </c>
      <c r="BL9" s="30" t="s">
        <v>511</v>
      </c>
      <c r="BM9" s="30" t="s">
        <v>511</v>
      </c>
      <c r="BN9" s="30" t="s">
        <v>511</v>
      </c>
      <c r="BO9" s="30" t="s">
        <v>511</v>
      </c>
      <c r="BP9" s="30" t="s">
        <v>511</v>
      </c>
      <c r="BQ9" s="30" t="s">
        <v>511</v>
      </c>
      <c r="BR9" s="30" t="s">
        <v>511</v>
      </c>
      <c r="BS9" s="30" t="s">
        <v>511</v>
      </c>
      <c r="BT9" s="30" t="s">
        <v>511</v>
      </c>
      <c r="BU9" s="30" t="s">
        <v>511</v>
      </c>
      <c r="BV9" s="30" t="s">
        <v>511</v>
      </c>
      <c r="BW9" s="30" t="s">
        <v>511</v>
      </c>
      <c r="BX9" s="30" t="s">
        <v>511</v>
      </c>
      <c r="BY9" s="30" t="s">
        <v>511</v>
      </c>
      <c r="BZ9" s="30" t="s">
        <v>511</v>
      </c>
      <c r="CA9" s="30" t="s">
        <v>511</v>
      </c>
      <c r="CB9" s="30" t="s">
        <v>511</v>
      </c>
      <c r="CC9" s="30" t="s">
        <v>511</v>
      </c>
      <c r="CD9" s="30" t="s">
        <v>511</v>
      </c>
      <c r="CE9" s="30" t="s">
        <v>511</v>
      </c>
      <c r="CF9" s="30" t="s">
        <v>511</v>
      </c>
      <c r="CG9" s="30" t="s">
        <v>511</v>
      </c>
      <c r="CH9" s="30" t="s">
        <v>511</v>
      </c>
      <c r="CI9" s="30" t="s">
        <v>511</v>
      </c>
      <c r="CJ9" s="30" t="s">
        <v>511</v>
      </c>
      <c r="CK9" s="30" t="s">
        <v>511</v>
      </c>
      <c r="CL9" s="30" t="s">
        <v>511</v>
      </c>
      <c r="CM9" s="30" t="s">
        <v>511</v>
      </c>
      <c r="CN9" s="30" t="s">
        <v>511</v>
      </c>
      <c r="CO9" s="30" t="s">
        <v>511</v>
      </c>
      <c r="CQ9" s="30" t="s">
        <v>512</v>
      </c>
      <c r="CR9" s="30" t="s">
        <v>512</v>
      </c>
      <c r="CS9" s="30" t="s">
        <v>512</v>
      </c>
      <c r="CT9" s="30" t="s">
        <v>512</v>
      </c>
      <c r="CU9" s="30" t="s">
        <v>512</v>
      </c>
      <c r="CV9" s="30" t="s">
        <v>512</v>
      </c>
      <c r="CW9" s="30" t="s">
        <v>512</v>
      </c>
      <c r="CX9" s="30" t="s">
        <v>512</v>
      </c>
      <c r="CY9" s="30" t="s">
        <v>512</v>
      </c>
      <c r="CZ9" s="30" t="s">
        <v>512</v>
      </c>
      <c r="DA9" s="30" t="s">
        <v>512</v>
      </c>
      <c r="DB9" s="30" t="s">
        <v>512</v>
      </c>
      <c r="DC9" s="30" t="s">
        <v>512</v>
      </c>
      <c r="DD9" s="30" t="s">
        <v>512</v>
      </c>
      <c r="DE9" s="30" t="s">
        <v>512</v>
      </c>
      <c r="DF9" s="30" t="s">
        <v>512</v>
      </c>
      <c r="DG9" s="30" t="s">
        <v>512</v>
      </c>
      <c r="DH9" s="30" t="s">
        <v>512</v>
      </c>
      <c r="DI9" s="30" t="s">
        <v>512</v>
      </c>
      <c r="DJ9" s="30" t="s">
        <v>512</v>
      </c>
      <c r="DK9" s="30" t="s">
        <v>512</v>
      </c>
      <c r="DL9" s="30" t="s">
        <v>512</v>
      </c>
      <c r="DM9" s="30" t="s">
        <v>512</v>
      </c>
      <c r="DN9" s="30" t="s">
        <v>512</v>
      </c>
      <c r="DO9" s="30" t="s">
        <v>512</v>
      </c>
      <c r="DP9" s="30" t="s">
        <v>512</v>
      </c>
      <c r="DQ9" s="30" t="s">
        <v>512</v>
      </c>
      <c r="DR9" s="30" t="s">
        <v>512</v>
      </c>
      <c r="DS9" s="30" t="s">
        <v>512</v>
      </c>
      <c r="DT9" s="30" t="s">
        <v>512</v>
      </c>
      <c r="DU9" s="30" t="s">
        <v>512</v>
      </c>
      <c r="DW9" s="30" t="s">
        <v>449</v>
      </c>
      <c r="DX9" s="30" t="s">
        <v>449</v>
      </c>
      <c r="DY9" s="30" t="s">
        <v>449</v>
      </c>
      <c r="DZ9" s="30" t="s">
        <v>449</v>
      </c>
      <c r="EA9" s="30" t="s">
        <v>449</v>
      </c>
      <c r="EB9" s="30" t="s">
        <v>449</v>
      </c>
      <c r="EC9" s="30" t="s">
        <v>449</v>
      </c>
      <c r="ED9" s="30" t="s">
        <v>449</v>
      </c>
      <c r="EE9" s="30" t="s">
        <v>449</v>
      </c>
      <c r="EF9" s="30" t="s">
        <v>449</v>
      </c>
      <c r="EG9" s="30" t="s">
        <v>449</v>
      </c>
      <c r="EH9" s="30" t="s">
        <v>449</v>
      </c>
      <c r="EI9" s="30" t="s">
        <v>449</v>
      </c>
      <c r="EJ9" s="30" t="s">
        <v>449</v>
      </c>
      <c r="EK9" s="30" t="s">
        <v>449</v>
      </c>
      <c r="EL9" s="30" t="s">
        <v>449</v>
      </c>
      <c r="EM9" s="30" t="s">
        <v>449</v>
      </c>
      <c r="EN9" s="30" t="s">
        <v>449</v>
      </c>
      <c r="EO9" s="30" t="s">
        <v>449</v>
      </c>
      <c r="EP9" s="30" t="s">
        <v>449</v>
      </c>
      <c r="EQ9" s="30" t="s">
        <v>449</v>
      </c>
      <c r="ER9" s="30" t="s">
        <v>449</v>
      </c>
      <c r="ES9" s="30" t="s">
        <v>449</v>
      </c>
      <c r="ET9" s="30" t="s">
        <v>449</v>
      </c>
      <c r="EU9" s="30" t="s">
        <v>449</v>
      </c>
      <c r="EV9" s="30" t="s">
        <v>449</v>
      </c>
      <c r="EW9" s="30" t="s">
        <v>449</v>
      </c>
      <c r="EX9" s="30" t="s">
        <v>449</v>
      </c>
      <c r="EY9" s="30" t="s">
        <v>449</v>
      </c>
      <c r="EZ9" s="30" t="s">
        <v>449</v>
      </c>
      <c r="FA9" s="30" t="s">
        <v>449</v>
      </c>
      <c r="FC9" s="30" t="s">
        <v>409</v>
      </c>
      <c r="FD9" s="30" t="s">
        <v>409</v>
      </c>
      <c r="FE9" s="30" t="s">
        <v>409</v>
      </c>
      <c r="FF9" s="30" t="s">
        <v>409</v>
      </c>
      <c r="FG9" s="30" t="s">
        <v>409</v>
      </c>
      <c r="FH9" s="30" t="s">
        <v>409</v>
      </c>
      <c r="FI9" s="30" t="s">
        <v>409</v>
      </c>
      <c r="FJ9" s="30" t="s">
        <v>409</v>
      </c>
      <c r="FK9" s="30" t="s">
        <v>409</v>
      </c>
      <c r="FL9" s="30" t="s">
        <v>409</v>
      </c>
      <c r="FM9" s="30" t="s">
        <v>409</v>
      </c>
      <c r="FN9" s="30" t="s">
        <v>409</v>
      </c>
      <c r="FO9" s="30" t="s">
        <v>409</v>
      </c>
      <c r="FP9" s="30" t="s">
        <v>409</v>
      </c>
      <c r="FQ9" s="30" t="s">
        <v>409</v>
      </c>
      <c r="FR9" s="30" t="s">
        <v>409</v>
      </c>
      <c r="FS9" s="30" t="s">
        <v>409</v>
      </c>
      <c r="FT9" s="30" t="s">
        <v>409</v>
      </c>
      <c r="FU9" s="30" t="s">
        <v>409</v>
      </c>
      <c r="FV9" s="30" t="s">
        <v>409</v>
      </c>
      <c r="FW9" s="30" t="s">
        <v>409</v>
      </c>
      <c r="FX9" s="30" t="s">
        <v>409</v>
      </c>
      <c r="FY9" s="30" t="s">
        <v>409</v>
      </c>
      <c r="FZ9" s="30" t="s">
        <v>409</v>
      </c>
      <c r="GA9" s="30" t="s">
        <v>409</v>
      </c>
      <c r="GB9" s="30" t="s">
        <v>409</v>
      </c>
      <c r="GC9" s="30" t="s">
        <v>409</v>
      </c>
      <c r="GD9" s="30" t="s">
        <v>409</v>
      </c>
      <c r="GE9" s="30" t="s">
        <v>409</v>
      </c>
      <c r="GF9" s="30" t="s">
        <v>409</v>
      </c>
      <c r="GG9" s="30" t="s">
        <v>409</v>
      </c>
      <c r="GI9" s="30" t="s">
        <v>411</v>
      </c>
      <c r="GJ9" s="30" t="s">
        <v>411</v>
      </c>
      <c r="GK9" s="30" t="s">
        <v>411</v>
      </c>
      <c r="GL9" s="30" t="s">
        <v>411</v>
      </c>
      <c r="GM9" s="30" t="s">
        <v>411</v>
      </c>
      <c r="GN9" s="30" t="s">
        <v>411</v>
      </c>
      <c r="GO9" s="30" t="s">
        <v>411</v>
      </c>
      <c r="GP9" s="30" t="s">
        <v>411</v>
      </c>
      <c r="GQ9" s="30" t="s">
        <v>411</v>
      </c>
      <c r="GR9" s="30" t="s">
        <v>411</v>
      </c>
      <c r="GS9" s="30" t="s">
        <v>411</v>
      </c>
      <c r="GT9" s="30" t="s">
        <v>411</v>
      </c>
      <c r="GU9" s="30" t="s">
        <v>411</v>
      </c>
      <c r="GV9" s="30" t="s">
        <v>411</v>
      </c>
      <c r="GW9" s="30" t="s">
        <v>411</v>
      </c>
      <c r="GX9" s="30" t="s">
        <v>411</v>
      </c>
      <c r="GY9" s="30" t="s">
        <v>411</v>
      </c>
      <c r="GZ9" s="30" t="s">
        <v>411</v>
      </c>
      <c r="HA9" s="30" t="s">
        <v>411</v>
      </c>
      <c r="HB9" s="30" t="s">
        <v>411</v>
      </c>
      <c r="HC9" s="30" t="s">
        <v>411</v>
      </c>
      <c r="HD9" s="30" t="s">
        <v>411</v>
      </c>
      <c r="HE9" s="30" t="s">
        <v>411</v>
      </c>
      <c r="HF9" s="30" t="s">
        <v>411</v>
      </c>
      <c r="HG9" s="30" t="s">
        <v>411</v>
      </c>
      <c r="HH9" s="30" t="s">
        <v>411</v>
      </c>
      <c r="HI9" s="30" t="s">
        <v>411</v>
      </c>
      <c r="HJ9" s="30" t="s">
        <v>411</v>
      </c>
      <c r="HK9" s="30" t="s">
        <v>411</v>
      </c>
      <c r="HL9" s="30" t="s">
        <v>411</v>
      </c>
      <c r="HM9" s="30" t="s">
        <v>411</v>
      </c>
      <c r="HO9" s="30" t="s">
        <v>450</v>
      </c>
      <c r="HP9" s="30" t="s">
        <v>482</v>
      </c>
      <c r="HR9" s="30" t="s">
        <v>412</v>
      </c>
      <c r="HS9" s="30" t="s">
        <v>412</v>
      </c>
      <c r="HT9" s="30" t="s">
        <v>412</v>
      </c>
      <c r="HU9" s="30" t="s">
        <v>412</v>
      </c>
      <c r="HV9" s="30" t="s">
        <v>412</v>
      </c>
      <c r="HW9" s="30" t="s">
        <v>412</v>
      </c>
      <c r="HX9" s="30" t="s">
        <v>412</v>
      </c>
      <c r="HY9" s="30" t="s">
        <v>412</v>
      </c>
      <c r="HZ9" s="30" t="s">
        <v>412</v>
      </c>
      <c r="IA9" s="30" t="s">
        <v>412</v>
      </c>
      <c r="IB9" s="30" t="s">
        <v>412</v>
      </c>
      <c r="IC9" s="30" t="s">
        <v>412</v>
      </c>
      <c r="ID9" s="30" t="s">
        <v>412</v>
      </c>
      <c r="IE9" s="30" t="s">
        <v>412</v>
      </c>
      <c r="IF9" s="30" t="s">
        <v>412</v>
      </c>
      <c r="IG9" s="30" t="s">
        <v>412</v>
      </c>
      <c r="IH9" s="30" t="s">
        <v>412</v>
      </c>
      <c r="II9" s="30" t="s">
        <v>412</v>
      </c>
      <c r="IJ9" s="30" t="s">
        <v>412</v>
      </c>
      <c r="IK9" s="30" t="s">
        <v>412</v>
      </c>
      <c r="IL9" s="30" t="s">
        <v>412</v>
      </c>
      <c r="IM9" s="30" t="s">
        <v>412</v>
      </c>
      <c r="IN9" s="30" t="s">
        <v>412</v>
      </c>
      <c r="IO9" s="30" t="s">
        <v>412</v>
      </c>
      <c r="IP9" s="30" t="s">
        <v>412</v>
      </c>
      <c r="IQ9" s="30" t="s">
        <v>412</v>
      </c>
      <c r="IR9" s="30" t="s">
        <v>412</v>
      </c>
      <c r="IS9" s="30" t="s">
        <v>412</v>
      </c>
      <c r="IT9" s="30" t="s">
        <v>412</v>
      </c>
      <c r="IU9" s="30" t="s">
        <v>412</v>
      </c>
      <c r="IV9" s="30" t="s">
        <v>412</v>
      </c>
      <c r="IX9" s="30" t="s">
        <v>451</v>
      </c>
      <c r="IY9" s="30" t="s">
        <v>451</v>
      </c>
      <c r="IZ9" s="30" t="s">
        <v>451</v>
      </c>
      <c r="JA9" s="30" t="s">
        <v>451</v>
      </c>
      <c r="JB9" s="30" t="s">
        <v>451</v>
      </c>
      <c r="JC9" s="30" t="s">
        <v>451</v>
      </c>
      <c r="JD9" s="30" t="s">
        <v>451</v>
      </c>
      <c r="JE9" s="30" t="s">
        <v>451</v>
      </c>
      <c r="JF9" s="30" t="s">
        <v>451</v>
      </c>
      <c r="JG9" s="30" t="s">
        <v>451</v>
      </c>
      <c r="JH9" s="30" t="s">
        <v>451</v>
      </c>
      <c r="JI9" s="30" t="s">
        <v>451</v>
      </c>
      <c r="JJ9" s="30" t="s">
        <v>451</v>
      </c>
      <c r="JK9" s="30" t="s">
        <v>451</v>
      </c>
      <c r="JL9" s="30" t="s">
        <v>451</v>
      </c>
      <c r="JM9" s="30" t="s">
        <v>451</v>
      </c>
      <c r="JN9" s="30" t="s">
        <v>451</v>
      </c>
      <c r="JO9" s="30" t="s">
        <v>451</v>
      </c>
      <c r="JP9" s="30" t="s">
        <v>451</v>
      </c>
      <c r="JQ9" s="30" t="s">
        <v>451</v>
      </c>
      <c r="JR9" s="30" t="s">
        <v>451</v>
      </c>
      <c r="JS9" s="30" t="s">
        <v>451</v>
      </c>
      <c r="JT9" s="30" t="s">
        <v>451</v>
      </c>
      <c r="JU9" s="30" t="s">
        <v>451</v>
      </c>
      <c r="JV9" s="30" t="s">
        <v>451</v>
      </c>
      <c r="JW9" s="30" t="s">
        <v>451</v>
      </c>
      <c r="JX9" s="30" t="s">
        <v>451</v>
      </c>
      <c r="JY9" s="30" t="s">
        <v>451</v>
      </c>
      <c r="JZ9" s="30" t="s">
        <v>451</v>
      </c>
      <c r="KA9" s="30" t="s">
        <v>451</v>
      </c>
      <c r="KB9" s="30" t="s">
        <v>451</v>
      </c>
      <c r="KD9" s="30" t="s">
        <v>452</v>
      </c>
      <c r="KE9" s="30" t="s">
        <v>452</v>
      </c>
      <c r="KF9" s="30" t="s">
        <v>452</v>
      </c>
      <c r="KG9" s="30" t="s">
        <v>452</v>
      </c>
      <c r="KH9" s="30" t="s">
        <v>452</v>
      </c>
      <c r="KI9" s="30" t="s">
        <v>452</v>
      </c>
      <c r="KJ9" s="30" t="s">
        <v>452</v>
      </c>
      <c r="KK9" s="30" t="s">
        <v>452</v>
      </c>
      <c r="KL9" s="30" t="s">
        <v>452</v>
      </c>
      <c r="KM9" s="30" t="s">
        <v>452</v>
      </c>
      <c r="KN9" s="30" t="s">
        <v>452</v>
      </c>
      <c r="KO9" s="30" t="s">
        <v>452</v>
      </c>
      <c r="KP9" s="30" t="s">
        <v>452</v>
      </c>
      <c r="KQ9" s="30" t="s">
        <v>452</v>
      </c>
      <c r="KR9" s="30" t="s">
        <v>452</v>
      </c>
      <c r="KS9" s="30" t="s">
        <v>452</v>
      </c>
      <c r="KT9" s="30" t="s">
        <v>452</v>
      </c>
      <c r="KU9" s="30" t="s">
        <v>452</v>
      </c>
      <c r="KV9" s="30" t="s">
        <v>452</v>
      </c>
      <c r="KW9" s="30" t="s">
        <v>452</v>
      </c>
      <c r="KX9" s="30" t="s">
        <v>452</v>
      </c>
      <c r="KY9" s="30" t="s">
        <v>452</v>
      </c>
      <c r="KZ9" s="30" t="s">
        <v>452</v>
      </c>
      <c r="LA9" s="30" t="s">
        <v>452</v>
      </c>
      <c r="LB9" s="30" t="s">
        <v>452</v>
      </c>
      <c r="LC9" s="30" t="s">
        <v>452</v>
      </c>
      <c r="LD9" s="30" t="s">
        <v>452</v>
      </c>
      <c r="LE9" s="30" t="s">
        <v>452</v>
      </c>
      <c r="LF9" s="30" t="s">
        <v>452</v>
      </c>
      <c r="LG9" s="30" t="s">
        <v>452</v>
      </c>
      <c r="LH9" s="30" t="s">
        <v>452</v>
      </c>
      <c r="LJ9" s="30" t="s">
        <v>513</v>
      </c>
      <c r="LK9" s="30" t="s">
        <v>513</v>
      </c>
      <c r="LL9" s="30" t="s">
        <v>513</v>
      </c>
      <c r="LM9" s="30" t="s">
        <v>513</v>
      </c>
      <c r="LN9" s="30" t="s">
        <v>513</v>
      </c>
      <c r="LO9" s="30" t="s">
        <v>513</v>
      </c>
      <c r="LP9" s="30" t="s">
        <v>513</v>
      </c>
      <c r="LQ9" s="30" t="s">
        <v>513</v>
      </c>
      <c r="LR9" s="30" t="s">
        <v>513</v>
      </c>
      <c r="LS9" s="30" t="s">
        <v>513</v>
      </c>
      <c r="LT9" s="30" t="s">
        <v>513</v>
      </c>
      <c r="LU9" s="30" t="s">
        <v>513</v>
      </c>
      <c r="LV9" s="30" t="s">
        <v>513</v>
      </c>
      <c r="LW9" s="30" t="s">
        <v>513</v>
      </c>
      <c r="LX9" s="30" t="s">
        <v>513</v>
      </c>
      <c r="LY9" s="30" t="s">
        <v>513</v>
      </c>
      <c r="LZ9" s="30" t="s">
        <v>513</v>
      </c>
      <c r="MA9" s="30" t="s">
        <v>513</v>
      </c>
      <c r="MB9" s="30" t="s">
        <v>513</v>
      </c>
      <c r="MC9" s="30" t="s">
        <v>513</v>
      </c>
      <c r="MD9" s="30" t="s">
        <v>513</v>
      </c>
      <c r="ME9" s="30" t="s">
        <v>513</v>
      </c>
      <c r="MF9" s="30" t="s">
        <v>513</v>
      </c>
      <c r="MG9" s="30" t="s">
        <v>513</v>
      </c>
      <c r="MH9" s="30" t="s">
        <v>513</v>
      </c>
      <c r="MI9" s="30" t="s">
        <v>513</v>
      </c>
      <c r="MJ9" s="30" t="s">
        <v>513</v>
      </c>
      <c r="MK9" s="30" t="s">
        <v>513</v>
      </c>
      <c r="ML9" s="30" t="s">
        <v>513</v>
      </c>
      <c r="MM9" s="30" t="s">
        <v>513</v>
      </c>
      <c r="MN9" s="30" t="s">
        <v>513</v>
      </c>
      <c r="MP9" s="30" t="s">
        <v>514</v>
      </c>
      <c r="MQ9" s="30" t="s">
        <v>514</v>
      </c>
      <c r="MR9" s="30" t="s">
        <v>514</v>
      </c>
      <c r="MS9" s="30" t="s">
        <v>514</v>
      </c>
      <c r="MT9" s="30" t="s">
        <v>514</v>
      </c>
      <c r="MU9" s="30" t="s">
        <v>514</v>
      </c>
      <c r="MV9" s="30" t="s">
        <v>514</v>
      </c>
      <c r="MW9" s="30" t="s">
        <v>514</v>
      </c>
      <c r="MX9" s="30" t="s">
        <v>514</v>
      </c>
      <c r="MY9" s="30" t="s">
        <v>514</v>
      </c>
      <c r="MZ9" s="30" t="s">
        <v>514</v>
      </c>
      <c r="NA9" s="30" t="s">
        <v>514</v>
      </c>
      <c r="NB9" s="30" t="s">
        <v>514</v>
      </c>
      <c r="NC9" s="30" t="s">
        <v>514</v>
      </c>
      <c r="ND9" s="30" t="s">
        <v>514</v>
      </c>
      <c r="NE9" s="30" t="s">
        <v>514</v>
      </c>
      <c r="NF9" s="30" t="s">
        <v>514</v>
      </c>
      <c r="NG9" s="30" t="s">
        <v>514</v>
      </c>
      <c r="NH9" s="30" t="s">
        <v>514</v>
      </c>
      <c r="NI9" s="30" t="s">
        <v>514</v>
      </c>
      <c r="NJ9" s="30" t="s">
        <v>514</v>
      </c>
      <c r="NK9" s="30" t="s">
        <v>514</v>
      </c>
      <c r="NL9" s="30" t="s">
        <v>514</v>
      </c>
      <c r="NM9" s="30" t="s">
        <v>514</v>
      </c>
      <c r="NN9" s="30" t="s">
        <v>514</v>
      </c>
      <c r="NO9" s="30" t="s">
        <v>514</v>
      </c>
      <c r="NP9" s="30" t="s">
        <v>514</v>
      </c>
      <c r="NQ9" s="30" t="s">
        <v>514</v>
      </c>
      <c r="NR9" s="30" t="s">
        <v>514</v>
      </c>
      <c r="NS9" s="30" t="s">
        <v>514</v>
      </c>
      <c r="NT9" s="30" t="s">
        <v>514</v>
      </c>
      <c r="NV9" s="30" t="s">
        <v>515</v>
      </c>
      <c r="NW9" s="30" t="s">
        <v>515</v>
      </c>
      <c r="NX9" s="30" t="s">
        <v>515</v>
      </c>
      <c r="NY9" s="30" t="s">
        <v>515</v>
      </c>
      <c r="NZ9" s="30" t="s">
        <v>515</v>
      </c>
      <c r="OA9" s="30" t="s">
        <v>515</v>
      </c>
      <c r="OB9" s="30" t="s">
        <v>515</v>
      </c>
      <c r="OC9" s="30" t="s">
        <v>515</v>
      </c>
      <c r="OD9" s="30" t="s">
        <v>515</v>
      </c>
      <c r="OE9" s="30" t="s">
        <v>515</v>
      </c>
      <c r="OF9" s="30" t="s">
        <v>515</v>
      </c>
      <c r="OG9" s="30" t="s">
        <v>515</v>
      </c>
      <c r="OH9" s="30" t="s">
        <v>515</v>
      </c>
      <c r="OI9" s="30" t="s">
        <v>515</v>
      </c>
      <c r="OJ9" s="30" t="s">
        <v>515</v>
      </c>
      <c r="OK9" s="30" t="s">
        <v>515</v>
      </c>
      <c r="OL9" s="30" t="s">
        <v>515</v>
      </c>
      <c r="OM9" s="30" t="s">
        <v>515</v>
      </c>
      <c r="ON9" s="30" t="s">
        <v>515</v>
      </c>
      <c r="OO9" s="30" t="s">
        <v>515</v>
      </c>
      <c r="OP9" s="30" t="s">
        <v>515</v>
      </c>
      <c r="OQ9" s="30" t="s">
        <v>515</v>
      </c>
      <c r="OR9" s="30" t="s">
        <v>515</v>
      </c>
      <c r="OS9" s="30" t="s">
        <v>515</v>
      </c>
      <c r="OT9" s="30" t="s">
        <v>515</v>
      </c>
      <c r="OU9" s="30" t="s">
        <v>515</v>
      </c>
      <c r="OV9" s="30" t="s">
        <v>515</v>
      </c>
      <c r="OW9" s="30" t="s">
        <v>515</v>
      </c>
      <c r="OX9" s="30" t="s">
        <v>515</v>
      </c>
      <c r="OY9" s="30" t="s">
        <v>515</v>
      </c>
      <c r="OZ9" s="30" t="s">
        <v>515</v>
      </c>
      <c r="PB9" s="30" t="s">
        <v>516</v>
      </c>
      <c r="PC9" s="30" t="s">
        <v>516</v>
      </c>
      <c r="PD9" s="30" t="s">
        <v>517</v>
      </c>
      <c r="PE9" s="30" t="s">
        <v>517</v>
      </c>
      <c r="PF9" s="30" t="s">
        <v>518</v>
      </c>
      <c r="PG9"/>
      <c r="PH9" s="30" t="s">
        <v>463</v>
      </c>
      <c r="PI9" s="30" t="s">
        <v>464</v>
      </c>
      <c r="PJ9" s="30" t="s">
        <v>465</v>
      </c>
      <c r="PK9" s="30" t="s">
        <v>466</v>
      </c>
      <c r="PM9" s="30" t="s">
        <v>467</v>
      </c>
      <c r="PN9" s="30" t="s">
        <v>467</v>
      </c>
      <c r="PO9" s="30" t="s">
        <v>468</v>
      </c>
      <c r="PP9" s="30" t="s">
        <v>468</v>
      </c>
      <c r="PQ9" s="30" t="s">
        <v>493</v>
      </c>
      <c r="PR9" s="30" t="s">
        <v>493</v>
      </c>
      <c r="PT9" s="30" t="s">
        <v>484</v>
      </c>
      <c r="PU9" s="30" t="s">
        <v>484</v>
      </c>
      <c r="PV9" s="30" t="s">
        <v>485</v>
      </c>
      <c r="PW9" s="30" t="s">
        <v>485</v>
      </c>
      <c r="PZ9" s="30" t="s">
        <v>469</v>
      </c>
      <c r="QA9" s="30" t="s">
        <v>470</v>
      </c>
      <c r="QB9" s="30" t="s">
        <v>391</v>
      </c>
    </row>
    <row r="10" spans="1:444" ht="42">
      <c r="B10" s="6" t="s">
        <v>472</v>
      </c>
      <c r="D10" s="11" t="str">
        <f>"Included in Current System ("&amp;system_name&amp;")"</f>
        <v>Included in Current System (ISONE_toy_system)</v>
      </c>
      <c r="F10" s="11" t="s">
        <v>251</v>
      </c>
      <c r="H10" s="26"/>
      <c r="J10" s="26"/>
      <c r="L10" s="26"/>
      <c r="N10" s="26"/>
      <c r="O10" s="26"/>
      <c r="P10" s="26"/>
      <c r="Q10" s="26"/>
      <c r="R10" s="26"/>
      <c r="S10" s="26"/>
      <c r="U10" s="26"/>
      <c r="V10" s="26"/>
      <c r="W10" s="26"/>
      <c r="X10" s="26"/>
      <c r="Z10" s="26"/>
      <c r="AB10" s="26" t="s">
        <v>277</v>
      </c>
      <c r="AC10" s="26" t="s">
        <v>277</v>
      </c>
      <c r="AE10" s="59">
        <f>start_year</f>
        <v>43831</v>
      </c>
      <c r="AF10" s="59">
        <f t="shared" ref="AF10:BI10" si="0">EDATE(AE10,12)</f>
        <v>44197</v>
      </c>
      <c r="AG10" s="59">
        <f t="shared" si="0"/>
        <v>44562</v>
      </c>
      <c r="AH10" s="59">
        <f t="shared" si="0"/>
        <v>44927</v>
      </c>
      <c r="AI10" s="59">
        <f t="shared" si="0"/>
        <v>45292</v>
      </c>
      <c r="AJ10" s="59">
        <f t="shared" si="0"/>
        <v>45658</v>
      </c>
      <c r="AK10" s="59">
        <f t="shared" si="0"/>
        <v>46023</v>
      </c>
      <c r="AL10" s="59">
        <f t="shared" si="0"/>
        <v>46388</v>
      </c>
      <c r="AM10" s="59">
        <f t="shared" si="0"/>
        <v>46753</v>
      </c>
      <c r="AN10" s="59">
        <f t="shared" si="0"/>
        <v>47119</v>
      </c>
      <c r="AO10" s="59">
        <f t="shared" si="0"/>
        <v>47484</v>
      </c>
      <c r="AP10" s="59">
        <f t="shared" si="0"/>
        <v>47849</v>
      </c>
      <c r="AQ10" s="59">
        <f t="shared" si="0"/>
        <v>48214</v>
      </c>
      <c r="AR10" s="59">
        <f t="shared" si="0"/>
        <v>48580</v>
      </c>
      <c r="AS10" s="59">
        <f t="shared" si="0"/>
        <v>48945</v>
      </c>
      <c r="AT10" s="59">
        <f t="shared" si="0"/>
        <v>49310</v>
      </c>
      <c r="AU10" s="59">
        <f t="shared" si="0"/>
        <v>49675</v>
      </c>
      <c r="AV10" s="59">
        <f t="shared" si="0"/>
        <v>50041</v>
      </c>
      <c r="AW10" s="59">
        <f t="shared" si="0"/>
        <v>50406</v>
      </c>
      <c r="AX10" s="59">
        <f t="shared" si="0"/>
        <v>50771</v>
      </c>
      <c r="AY10" s="59">
        <f t="shared" si="0"/>
        <v>51136</v>
      </c>
      <c r="AZ10" s="59">
        <f t="shared" si="0"/>
        <v>51502</v>
      </c>
      <c r="BA10" s="59">
        <f t="shared" si="0"/>
        <v>51867</v>
      </c>
      <c r="BB10" s="59">
        <f t="shared" si="0"/>
        <v>52232</v>
      </c>
      <c r="BC10" s="59">
        <f t="shared" si="0"/>
        <v>52597</v>
      </c>
      <c r="BD10" s="59">
        <f t="shared" si="0"/>
        <v>52963</v>
      </c>
      <c r="BE10" s="59">
        <f t="shared" si="0"/>
        <v>53328</v>
      </c>
      <c r="BF10" s="59">
        <f t="shared" si="0"/>
        <v>53693</v>
      </c>
      <c r="BG10" s="59">
        <f t="shared" si="0"/>
        <v>54058</v>
      </c>
      <c r="BH10" s="59">
        <f t="shared" si="0"/>
        <v>54424</v>
      </c>
      <c r="BI10" s="59">
        <f t="shared" si="0"/>
        <v>54789</v>
      </c>
      <c r="BK10" s="59">
        <f>start_year</f>
        <v>43831</v>
      </c>
      <c r="BL10" s="59">
        <f>EDATE(BK10,12)</f>
        <v>44197</v>
      </c>
      <c r="BM10" s="59">
        <f t="shared" ref="BM10:CO10" si="1">EDATE(BL10,12)</f>
        <v>44562</v>
      </c>
      <c r="BN10" s="59">
        <f t="shared" si="1"/>
        <v>44927</v>
      </c>
      <c r="BO10" s="59">
        <f t="shared" si="1"/>
        <v>45292</v>
      </c>
      <c r="BP10" s="59">
        <f t="shared" si="1"/>
        <v>45658</v>
      </c>
      <c r="BQ10" s="59">
        <f t="shared" si="1"/>
        <v>46023</v>
      </c>
      <c r="BR10" s="59">
        <f t="shared" si="1"/>
        <v>46388</v>
      </c>
      <c r="BS10" s="59">
        <f t="shared" si="1"/>
        <v>46753</v>
      </c>
      <c r="BT10" s="59">
        <f t="shared" si="1"/>
        <v>47119</v>
      </c>
      <c r="BU10" s="59">
        <f t="shared" si="1"/>
        <v>47484</v>
      </c>
      <c r="BV10" s="59">
        <f t="shared" si="1"/>
        <v>47849</v>
      </c>
      <c r="BW10" s="59">
        <f t="shared" si="1"/>
        <v>48214</v>
      </c>
      <c r="BX10" s="59">
        <f t="shared" si="1"/>
        <v>48580</v>
      </c>
      <c r="BY10" s="59">
        <f t="shared" si="1"/>
        <v>48945</v>
      </c>
      <c r="BZ10" s="59">
        <f t="shared" si="1"/>
        <v>49310</v>
      </c>
      <c r="CA10" s="59">
        <f t="shared" si="1"/>
        <v>49675</v>
      </c>
      <c r="CB10" s="59">
        <f t="shared" si="1"/>
        <v>50041</v>
      </c>
      <c r="CC10" s="59">
        <f t="shared" si="1"/>
        <v>50406</v>
      </c>
      <c r="CD10" s="59">
        <f t="shared" si="1"/>
        <v>50771</v>
      </c>
      <c r="CE10" s="59">
        <f t="shared" si="1"/>
        <v>51136</v>
      </c>
      <c r="CF10" s="59">
        <f t="shared" si="1"/>
        <v>51502</v>
      </c>
      <c r="CG10" s="59">
        <f t="shared" si="1"/>
        <v>51867</v>
      </c>
      <c r="CH10" s="59">
        <f t="shared" si="1"/>
        <v>52232</v>
      </c>
      <c r="CI10" s="59">
        <f t="shared" si="1"/>
        <v>52597</v>
      </c>
      <c r="CJ10" s="59">
        <f t="shared" si="1"/>
        <v>52963</v>
      </c>
      <c r="CK10" s="59">
        <f t="shared" si="1"/>
        <v>53328</v>
      </c>
      <c r="CL10" s="59">
        <f t="shared" si="1"/>
        <v>53693</v>
      </c>
      <c r="CM10" s="59">
        <f t="shared" si="1"/>
        <v>54058</v>
      </c>
      <c r="CN10" s="59">
        <f t="shared" si="1"/>
        <v>54424</v>
      </c>
      <c r="CO10" s="59">
        <f t="shared" si="1"/>
        <v>54789</v>
      </c>
      <c r="CQ10" s="59">
        <f>start_year</f>
        <v>43831</v>
      </c>
      <c r="CR10" s="59">
        <f t="shared" ref="CR10:DU10" si="2">EDATE(CQ10,12)</f>
        <v>44197</v>
      </c>
      <c r="CS10" s="59">
        <f t="shared" si="2"/>
        <v>44562</v>
      </c>
      <c r="CT10" s="59">
        <f t="shared" si="2"/>
        <v>44927</v>
      </c>
      <c r="CU10" s="59">
        <f t="shared" si="2"/>
        <v>45292</v>
      </c>
      <c r="CV10" s="59">
        <f t="shared" si="2"/>
        <v>45658</v>
      </c>
      <c r="CW10" s="59">
        <f t="shared" si="2"/>
        <v>46023</v>
      </c>
      <c r="CX10" s="59">
        <f t="shared" si="2"/>
        <v>46388</v>
      </c>
      <c r="CY10" s="59">
        <f t="shared" si="2"/>
        <v>46753</v>
      </c>
      <c r="CZ10" s="59">
        <f t="shared" si="2"/>
        <v>47119</v>
      </c>
      <c r="DA10" s="59">
        <f t="shared" si="2"/>
        <v>47484</v>
      </c>
      <c r="DB10" s="59">
        <f t="shared" si="2"/>
        <v>47849</v>
      </c>
      <c r="DC10" s="59">
        <f t="shared" si="2"/>
        <v>48214</v>
      </c>
      <c r="DD10" s="59">
        <f t="shared" si="2"/>
        <v>48580</v>
      </c>
      <c r="DE10" s="59">
        <f t="shared" si="2"/>
        <v>48945</v>
      </c>
      <c r="DF10" s="59">
        <f t="shared" si="2"/>
        <v>49310</v>
      </c>
      <c r="DG10" s="59">
        <f t="shared" si="2"/>
        <v>49675</v>
      </c>
      <c r="DH10" s="59">
        <f t="shared" si="2"/>
        <v>50041</v>
      </c>
      <c r="DI10" s="59">
        <f t="shared" si="2"/>
        <v>50406</v>
      </c>
      <c r="DJ10" s="59">
        <f t="shared" si="2"/>
        <v>50771</v>
      </c>
      <c r="DK10" s="59">
        <f t="shared" si="2"/>
        <v>51136</v>
      </c>
      <c r="DL10" s="59">
        <f t="shared" si="2"/>
        <v>51502</v>
      </c>
      <c r="DM10" s="59">
        <f t="shared" si="2"/>
        <v>51867</v>
      </c>
      <c r="DN10" s="59">
        <f t="shared" si="2"/>
        <v>52232</v>
      </c>
      <c r="DO10" s="59">
        <f t="shared" si="2"/>
        <v>52597</v>
      </c>
      <c r="DP10" s="59">
        <f t="shared" si="2"/>
        <v>52963</v>
      </c>
      <c r="DQ10" s="59">
        <f t="shared" si="2"/>
        <v>53328</v>
      </c>
      <c r="DR10" s="59">
        <f t="shared" si="2"/>
        <v>53693</v>
      </c>
      <c r="DS10" s="59">
        <f t="shared" si="2"/>
        <v>54058</v>
      </c>
      <c r="DT10" s="59">
        <f t="shared" si="2"/>
        <v>54424</v>
      </c>
      <c r="DU10" s="59">
        <f t="shared" si="2"/>
        <v>54789</v>
      </c>
      <c r="DW10" s="59">
        <f>start_year</f>
        <v>43831</v>
      </c>
      <c r="DX10" s="59">
        <f t="shared" ref="DX10:FA10" si="3">EDATE(DW10,12)</f>
        <v>44197</v>
      </c>
      <c r="DY10" s="59">
        <f t="shared" si="3"/>
        <v>44562</v>
      </c>
      <c r="DZ10" s="59">
        <f t="shared" si="3"/>
        <v>44927</v>
      </c>
      <c r="EA10" s="59">
        <f t="shared" si="3"/>
        <v>45292</v>
      </c>
      <c r="EB10" s="59">
        <f t="shared" si="3"/>
        <v>45658</v>
      </c>
      <c r="EC10" s="59">
        <f t="shared" si="3"/>
        <v>46023</v>
      </c>
      <c r="ED10" s="59">
        <f t="shared" si="3"/>
        <v>46388</v>
      </c>
      <c r="EE10" s="59">
        <f t="shared" si="3"/>
        <v>46753</v>
      </c>
      <c r="EF10" s="59">
        <f t="shared" si="3"/>
        <v>47119</v>
      </c>
      <c r="EG10" s="59">
        <f t="shared" si="3"/>
        <v>47484</v>
      </c>
      <c r="EH10" s="59">
        <f t="shared" si="3"/>
        <v>47849</v>
      </c>
      <c r="EI10" s="59">
        <f t="shared" si="3"/>
        <v>48214</v>
      </c>
      <c r="EJ10" s="59">
        <f t="shared" si="3"/>
        <v>48580</v>
      </c>
      <c r="EK10" s="59">
        <f t="shared" si="3"/>
        <v>48945</v>
      </c>
      <c r="EL10" s="59">
        <f t="shared" si="3"/>
        <v>49310</v>
      </c>
      <c r="EM10" s="59">
        <f t="shared" si="3"/>
        <v>49675</v>
      </c>
      <c r="EN10" s="59">
        <f t="shared" si="3"/>
        <v>50041</v>
      </c>
      <c r="EO10" s="59">
        <f t="shared" si="3"/>
        <v>50406</v>
      </c>
      <c r="EP10" s="59">
        <f t="shared" si="3"/>
        <v>50771</v>
      </c>
      <c r="EQ10" s="59">
        <f t="shared" si="3"/>
        <v>51136</v>
      </c>
      <c r="ER10" s="59">
        <f t="shared" si="3"/>
        <v>51502</v>
      </c>
      <c r="ES10" s="59">
        <f t="shared" si="3"/>
        <v>51867</v>
      </c>
      <c r="ET10" s="59">
        <f t="shared" si="3"/>
        <v>52232</v>
      </c>
      <c r="EU10" s="59">
        <f t="shared" si="3"/>
        <v>52597</v>
      </c>
      <c r="EV10" s="59">
        <f t="shared" si="3"/>
        <v>52963</v>
      </c>
      <c r="EW10" s="59">
        <f t="shared" si="3"/>
        <v>53328</v>
      </c>
      <c r="EX10" s="59">
        <f t="shared" si="3"/>
        <v>53693</v>
      </c>
      <c r="EY10" s="59">
        <f t="shared" si="3"/>
        <v>54058</v>
      </c>
      <c r="EZ10" s="59">
        <f t="shared" si="3"/>
        <v>54424</v>
      </c>
      <c r="FA10" s="59">
        <f t="shared" si="3"/>
        <v>54789</v>
      </c>
      <c r="FC10" s="59">
        <f>start_year</f>
        <v>43831</v>
      </c>
      <c r="FD10" s="59">
        <f t="shared" ref="FD10:GG10" si="4">EDATE(FC10,12)</f>
        <v>44197</v>
      </c>
      <c r="FE10" s="59">
        <f t="shared" si="4"/>
        <v>44562</v>
      </c>
      <c r="FF10" s="59">
        <f t="shared" si="4"/>
        <v>44927</v>
      </c>
      <c r="FG10" s="59">
        <f t="shared" si="4"/>
        <v>45292</v>
      </c>
      <c r="FH10" s="59">
        <f t="shared" si="4"/>
        <v>45658</v>
      </c>
      <c r="FI10" s="59">
        <f t="shared" si="4"/>
        <v>46023</v>
      </c>
      <c r="FJ10" s="59">
        <f t="shared" si="4"/>
        <v>46388</v>
      </c>
      <c r="FK10" s="59">
        <f t="shared" si="4"/>
        <v>46753</v>
      </c>
      <c r="FL10" s="59">
        <f t="shared" si="4"/>
        <v>47119</v>
      </c>
      <c r="FM10" s="59">
        <f t="shared" si="4"/>
        <v>47484</v>
      </c>
      <c r="FN10" s="59">
        <f t="shared" si="4"/>
        <v>47849</v>
      </c>
      <c r="FO10" s="59">
        <f t="shared" si="4"/>
        <v>48214</v>
      </c>
      <c r="FP10" s="59">
        <f t="shared" si="4"/>
        <v>48580</v>
      </c>
      <c r="FQ10" s="59">
        <f t="shared" si="4"/>
        <v>48945</v>
      </c>
      <c r="FR10" s="59">
        <f t="shared" si="4"/>
        <v>49310</v>
      </c>
      <c r="FS10" s="59">
        <f t="shared" si="4"/>
        <v>49675</v>
      </c>
      <c r="FT10" s="59">
        <f t="shared" si="4"/>
        <v>50041</v>
      </c>
      <c r="FU10" s="59">
        <f t="shared" si="4"/>
        <v>50406</v>
      </c>
      <c r="FV10" s="59">
        <f t="shared" si="4"/>
        <v>50771</v>
      </c>
      <c r="FW10" s="59">
        <f t="shared" si="4"/>
        <v>51136</v>
      </c>
      <c r="FX10" s="59">
        <f t="shared" si="4"/>
        <v>51502</v>
      </c>
      <c r="FY10" s="59">
        <f t="shared" si="4"/>
        <v>51867</v>
      </c>
      <c r="FZ10" s="59">
        <f t="shared" si="4"/>
        <v>52232</v>
      </c>
      <c r="GA10" s="59">
        <f t="shared" si="4"/>
        <v>52597</v>
      </c>
      <c r="GB10" s="59">
        <f t="shared" si="4"/>
        <v>52963</v>
      </c>
      <c r="GC10" s="59">
        <f t="shared" si="4"/>
        <v>53328</v>
      </c>
      <c r="GD10" s="59">
        <f t="shared" si="4"/>
        <v>53693</v>
      </c>
      <c r="GE10" s="59">
        <f t="shared" si="4"/>
        <v>54058</v>
      </c>
      <c r="GF10" s="59">
        <f t="shared" si="4"/>
        <v>54424</v>
      </c>
      <c r="GG10" s="59">
        <f t="shared" si="4"/>
        <v>54789</v>
      </c>
      <c r="GI10" s="59">
        <f>start_year</f>
        <v>43831</v>
      </c>
      <c r="GJ10" s="59">
        <f t="shared" ref="GJ10:HM10" si="5">EDATE(GI10,12)</f>
        <v>44197</v>
      </c>
      <c r="GK10" s="59">
        <f t="shared" si="5"/>
        <v>44562</v>
      </c>
      <c r="GL10" s="59">
        <f t="shared" si="5"/>
        <v>44927</v>
      </c>
      <c r="GM10" s="59">
        <f t="shared" si="5"/>
        <v>45292</v>
      </c>
      <c r="GN10" s="59">
        <f t="shared" si="5"/>
        <v>45658</v>
      </c>
      <c r="GO10" s="59">
        <f t="shared" si="5"/>
        <v>46023</v>
      </c>
      <c r="GP10" s="59">
        <f t="shared" si="5"/>
        <v>46388</v>
      </c>
      <c r="GQ10" s="59">
        <f t="shared" si="5"/>
        <v>46753</v>
      </c>
      <c r="GR10" s="59">
        <f t="shared" si="5"/>
        <v>47119</v>
      </c>
      <c r="GS10" s="59">
        <f t="shared" si="5"/>
        <v>47484</v>
      </c>
      <c r="GT10" s="59">
        <f t="shared" si="5"/>
        <v>47849</v>
      </c>
      <c r="GU10" s="59">
        <f t="shared" si="5"/>
        <v>48214</v>
      </c>
      <c r="GV10" s="59">
        <f t="shared" si="5"/>
        <v>48580</v>
      </c>
      <c r="GW10" s="59">
        <f t="shared" si="5"/>
        <v>48945</v>
      </c>
      <c r="GX10" s="59">
        <f t="shared" si="5"/>
        <v>49310</v>
      </c>
      <c r="GY10" s="59">
        <f t="shared" si="5"/>
        <v>49675</v>
      </c>
      <c r="GZ10" s="59">
        <f t="shared" si="5"/>
        <v>50041</v>
      </c>
      <c r="HA10" s="59">
        <f t="shared" si="5"/>
        <v>50406</v>
      </c>
      <c r="HB10" s="59">
        <f t="shared" si="5"/>
        <v>50771</v>
      </c>
      <c r="HC10" s="59">
        <f t="shared" si="5"/>
        <v>51136</v>
      </c>
      <c r="HD10" s="59">
        <f t="shared" si="5"/>
        <v>51502</v>
      </c>
      <c r="HE10" s="59">
        <f t="shared" si="5"/>
        <v>51867</v>
      </c>
      <c r="HF10" s="59">
        <f t="shared" si="5"/>
        <v>52232</v>
      </c>
      <c r="HG10" s="59">
        <f t="shared" si="5"/>
        <v>52597</v>
      </c>
      <c r="HH10" s="59">
        <f t="shared" si="5"/>
        <v>52963</v>
      </c>
      <c r="HI10" s="59">
        <f t="shared" si="5"/>
        <v>53328</v>
      </c>
      <c r="HJ10" s="59">
        <f t="shared" si="5"/>
        <v>53693</v>
      </c>
      <c r="HK10" s="59">
        <f t="shared" si="5"/>
        <v>54058</v>
      </c>
      <c r="HL10" s="59">
        <f t="shared" si="5"/>
        <v>54424</v>
      </c>
      <c r="HM10" s="59">
        <f t="shared" si="5"/>
        <v>54789</v>
      </c>
      <c r="HO10" s="59">
        <f>start_year</f>
        <v>43831</v>
      </c>
      <c r="HP10" s="59">
        <f>start_year</f>
        <v>43831</v>
      </c>
      <c r="HR10" s="59">
        <f>start_year</f>
        <v>43831</v>
      </c>
      <c r="HS10" s="59">
        <f t="shared" ref="HS10:IV10" si="6">EDATE(HR10,12)</f>
        <v>44197</v>
      </c>
      <c r="HT10" s="59">
        <f t="shared" si="6"/>
        <v>44562</v>
      </c>
      <c r="HU10" s="59">
        <f t="shared" si="6"/>
        <v>44927</v>
      </c>
      <c r="HV10" s="59">
        <f t="shared" si="6"/>
        <v>45292</v>
      </c>
      <c r="HW10" s="59">
        <f t="shared" si="6"/>
        <v>45658</v>
      </c>
      <c r="HX10" s="59">
        <f t="shared" si="6"/>
        <v>46023</v>
      </c>
      <c r="HY10" s="59">
        <f t="shared" si="6"/>
        <v>46388</v>
      </c>
      <c r="HZ10" s="59">
        <f t="shared" si="6"/>
        <v>46753</v>
      </c>
      <c r="IA10" s="59">
        <f t="shared" si="6"/>
        <v>47119</v>
      </c>
      <c r="IB10" s="59">
        <f t="shared" si="6"/>
        <v>47484</v>
      </c>
      <c r="IC10" s="59">
        <f t="shared" si="6"/>
        <v>47849</v>
      </c>
      <c r="ID10" s="59">
        <f t="shared" si="6"/>
        <v>48214</v>
      </c>
      <c r="IE10" s="59">
        <f t="shared" si="6"/>
        <v>48580</v>
      </c>
      <c r="IF10" s="59">
        <f t="shared" si="6"/>
        <v>48945</v>
      </c>
      <c r="IG10" s="59">
        <f t="shared" si="6"/>
        <v>49310</v>
      </c>
      <c r="IH10" s="59">
        <f t="shared" si="6"/>
        <v>49675</v>
      </c>
      <c r="II10" s="59">
        <f t="shared" si="6"/>
        <v>50041</v>
      </c>
      <c r="IJ10" s="59">
        <f t="shared" si="6"/>
        <v>50406</v>
      </c>
      <c r="IK10" s="59">
        <f t="shared" si="6"/>
        <v>50771</v>
      </c>
      <c r="IL10" s="59">
        <f t="shared" si="6"/>
        <v>51136</v>
      </c>
      <c r="IM10" s="59">
        <f t="shared" si="6"/>
        <v>51502</v>
      </c>
      <c r="IN10" s="59">
        <f t="shared" si="6"/>
        <v>51867</v>
      </c>
      <c r="IO10" s="59">
        <f t="shared" si="6"/>
        <v>52232</v>
      </c>
      <c r="IP10" s="59">
        <f t="shared" si="6"/>
        <v>52597</v>
      </c>
      <c r="IQ10" s="59">
        <f t="shared" si="6"/>
        <v>52963</v>
      </c>
      <c r="IR10" s="59">
        <f t="shared" si="6"/>
        <v>53328</v>
      </c>
      <c r="IS10" s="59">
        <f t="shared" si="6"/>
        <v>53693</v>
      </c>
      <c r="IT10" s="59">
        <f t="shared" si="6"/>
        <v>54058</v>
      </c>
      <c r="IU10" s="59">
        <f t="shared" si="6"/>
        <v>54424</v>
      </c>
      <c r="IV10" s="59">
        <f t="shared" si="6"/>
        <v>54789</v>
      </c>
      <c r="IX10" s="59">
        <f>start_year</f>
        <v>43831</v>
      </c>
      <c r="IY10" s="59">
        <f t="shared" ref="IY10:KB10" si="7">EDATE(IX10,12)</f>
        <v>44197</v>
      </c>
      <c r="IZ10" s="59">
        <f t="shared" si="7"/>
        <v>44562</v>
      </c>
      <c r="JA10" s="59">
        <f t="shared" si="7"/>
        <v>44927</v>
      </c>
      <c r="JB10" s="59">
        <f t="shared" si="7"/>
        <v>45292</v>
      </c>
      <c r="JC10" s="59">
        <f t="shared" si="7"/>
        <v>45658</v>
      </c>
      <c r="JD10" s="59">
        <f t="shared" si="7"/>
        <v>46023</v>
      </c>
      <c r="JE10" s="59">
        <f t="shared" si="7"/>
        <v>46388</v>
      </c>
      <c r="JF10" s="59">
        <f t="shared" si="7"/>
        <v>46753</v>
      </c>
      <c r="JG10" s="59">
        <f t="shared" si="7"/>
        <v>47119</v>
      </c>
      <c r="JH10" s="59">
        <f t="shared" si="7"/>
        <v>47484</v>
      </c>
      <c r="JI10" s="59">
        <f t="shared" si="7"/>
        <v>47849</v>
      </c>
      <c r="JJ10" s="59">
        <f t="shared" si="7"/>
        <v>48214</v>
      </c>
      <c r="JK10" s="59">
        <f t="shared" si="7"/>
        <v>48580</v>
      </c>
      <c r="JL10" s="59">
        <f t="shared" si="7"/>
        <v>48945</v>
      </c>
      <c r="JM10" s="59">
        <f t="shared" si="7"/>
        <v>49310</v>
      </c>
      <c r="JN10" s="59">
        <f t="shared" si="7"/>
        <v>49675</v>
      </c>
      <c r="JO10" s="59">
        <f t="shared" si="7"/>
        <v>50041</v>
      </c>
      <c r="JP10" s="59">
        <f t="shared" si="7"/>
        <v>50406</v>
      </c>
      <c r="JQ10" s="59">
        <f t="shared" si="7"/>
        <v>50771</v>
      </c>
      <c r="JR10" s="59">
        <f t="shared" si="7"/>
        <v>51136</v>
      </c>
      <c r="JS10" s="59">
        <f t="shared" si="7"/>
        <v>51502</v>
      </c>
      <c r="JT10" s="59">
        <f t="shared" si="7"/>
        <v>51867</v>
      </c>
      <c r="JU10" s="59">
        <f t="shared" si="7"/>
        <v>52232</v>
      </c>
      <c r="JV10" s="59">
        <f t="shared" si="7"/>
        <v>52597</v>
      </c>
      <c r="JW10" s="59">
        <f t="shared" si="7"/>
        <v>52963</v>
      </c>
      <c r="JX10" s="59">
        <f t="shared" si="7"/>
        <v>53328</v>
      </c>
      <c r="JY10" s="59">
        <f t="shared" si="7"/>
        <v>53693</v>
      </c>
      <c r="JZ10" s="59">
        <f t="shared" si="7"/>
        <v>54058</v>
      </c>
      <c r="KA10" s="59">
        <f t="shared" si="7"/>
        <v>54424</v>
      </c>
      <c r="KB10" s="59">
        <f t="shared" si="7"/>
        <v>54789</v>
      </c>
      <c r="KD10" s="59">
        <f>start_year</f>
        <v>43831</v>
      </c>
      <c r="KE10" s="59">
        <f t="shared" ref="KE10:LH10" si="8">EDATE(KD10,12)</f>
        <v>44197</v>
      </c>
      <c r="KF10" s="59">
        <f t="shared" si="8"/>
        <v>44562</v>
      </c>
      <c r="KG10" s="59">
        <f t="shared" si="8"/>
        <v>44927</v>
      </c>
      <c r="KH10" s="59">
        <f t="shared" si="8"/>
        <v>45292</v>
      </c>
      <c r="KI10" s="59">
        <f t="shared" si="8"/>
        <v>45658</v>
      </c>
      <c r="KJ10" s="59">
        <f t="shared" si="8"/>
        <v>46023</v>
      </c>
      <c r="KK10" s="59">
        <f t="shared" si="8"/>
        <v>46388</v>
      </c>
      <c r="KL10" s="59">
        <f t="shared" si="8"/>
        <v>46753</v>
      </c>
      <c r="KM10" s="59">
        <f t="shared" si="8"/>
        <v>47119</v>
      </c>
      <c r="KN10" s="59">
        <f t="shared" si="8"/>
        <v>47484</v>
      </c>
      <c r="KO10" s="59">
        <f t="shared" si="8"/>
        <v>47849</v>
      </c>
      <c r="KP10" s="59">
        <f t="shared" si="8"/>
        <v>48214</v>
      </c>
      <c r="KQ10" s="59">
        <f t="shared" si="8"/>
        <v>48580</v>
      </c>
      <c r="KR10" s="59">
        <f t="shared" si="8"/>
        <v>48945</v>
      </c>
      <c r="KS10" s="59">
        <f t="shared" si="8"/>
        <v>49310</v>
      </c>
      <c r="KT10" s="59">
        <f t="shared" si="8"/>
        <v>49675</v>
      </c>
      <c r="KU10" s="59">
        <f t="shared" si="8"/>
        <v>50041</v>
      </c>
      <c r="KV10" s="59">
        <f t="shared" si="8"/>
        <v>50406</v>
      </c>
      <c r="KW10" s="59">
        <f t="shared" si="8"/>
        <v>50771</v>
      </c>
      <c r="KX10" s="59">
        <f t="shared" si="8"/>
        <v>51136</v>
      </c>
      <c r="KY10" s="59">
        <f t="shared" si="8"/>
        <v>51502</v>
      </c>
      <c r="KZ10" s="59">
        <f t="shared" si="8"/>
        <v>51867</v>
      </c>
      <c r="LA10" s="59">
        <f t="shared" si="8"/>
        <v>52232</v>
      </c>
      <c r="LB10" s="59">
        <f t="shared" si="8"/>
        <v>52597</v>
      </c>
      <c r="LC10" s="59">
        <f t="shared" si="8"/>
        <v>52963</v>
      </c>
      <c r="LD10" s="59">
        <f t="shared" si="8"/>
        <v>53328</v>
      </c>
      <c r="LE10" s="59">
        <f t="shared" si="8"/>
        <v>53693</v>
      </c>
      <c r="LF10" s="59">
        <f t="shared" si="8"/>
        <v>54058</v>
      </c>
      <c r="LG10" s="59">
        <f t="shared" si="8"/>
        <v>54424</v>
      </c>
      <c r="LH10" s="59">
        <f t="shared" si="8"/>
        <v>54789</v>
      </c>
      <c r="LJ10" s="59">
        <f>start_year</f>
        <v>43831</v>
      </c>
      <c r="LK10" s="59">
        <f t="shared" ref="LK10:MN10" si="9">EDATE(LJ10,12)</f>
        <v>44197</v>
      </c>
      <c r="LL10" s="59">
        <f t="shared" si="9"/>
        <v>44562</v>
      </c>
      <c r="LM10" s="59">
        <f t="shared" si="9"/>
        <v>44927</v>
      </c>
      <c r="LN10" s="59">
        <f t="shared" si="9"/>
        <v>45292</v>
      </c>
      <c r="LO10" s="59">
        <f t="shared" si="9"/>
        <v>45658</v>
      </c>
      <c r="LP10" s="59">
        <f t="shared" si="9"/>
        <v>46023</v>
      </c>
      <c r="LQ10" s="59">
        <f t="shared" si="9"/>
        <v>46388</v>
      </c>
      <c r="LR10" s="59">
        <f t="shared" si="9"/>
        <v>46753</v>
      </c>
      <c r="LS10" s="59">
        <f t="shared" si="9"/>
        <v>47119</v>
      </c>
      <c r="LT10" s="59">
        <f t="shared" si="9"/>
        <v>47484</v>
      </c>
      <c r="LU10" s="59">
        <f t="shared" si="9"/>
        <v>47849</v>
      </c>
      <c r="LV10" s="59">
        <f t="shared" si="9"/>
        <v>48214</v>
      </c>
      <c r="LW10" s="59">
        <f t="shared" si="9"/>
        <v>48580</v>
      </c>
      <c r="LX10" s="59">
        <f t="shared" si="9"/>
        <v>48945</v>
      </c>
      <c r="LY10" s="59">
        <f t="shared" si="9"/>
        <v>49310</v>
      </c>
      <c r="LZ10" s="59">
        <f t="shared" si="9"/>
        <v>49675</v>
      </c>
      <c r="MA10" s="59">
        <f t="shared" si="9"/>
        <v>50041</v>
      </c>
      <c r="MB10" s="59">
        <f t="shared" si="9"/>
        <v>50406</v>
      </c>
      <c r="MC10" s="59">
        <f t="shared" si="9"/>
        <v>50771</v>
      </c>
      <c r="MD10" s="59">
        <f t="shared" si="9"/>
        <v>51136</v>
      </c>
      <c r="ME10" s="59">
        <f t="shared" si="9"/>
        <v>51502</v>
      </c>
      <c r="MF10" s="59">
        <f t="shared" si="9"/>
        <v>51867</v>
      </c>
      <c r="MG10" s="59">
        <f t="shared" si="9"/>
        <v>52232</v>
      </c>
      <c r="MH10" s="59">
        <f t="shared" si="9"/>
        <v>52597</v>
      </c>
      <c r="MI10" s="59">
        <f t="shared" si="9"/>
        <v>52963</v>
      </c>
      <c r="MJ10" s="59">
        <f t="shared" si="9"/>
        <v>53328</v>
      </c>
      <c r="MK10" s="59">
        <f t="shared" si="9"/>
        <v>53693</v>
      </c>
      <c r="ML10" s="59">
        <f t="shared" si="9"/>
        <v>54058</v>
      </c>
      <c r="MM10" s="59">
        <f t="shared" si="9"/>
        <v>54424</v>
      </c>
      <c r="MN10" s="59">
        <f t="shared" si="9"/>
        <v>54789</v>
      </c>
      <c r="MP10" s="59">
        <f>start_year</f>
        <v>43831</v>
      </c>
      <c r="MQ10" s="59">
        <f t="shared" ref="MQ10:NT10" si="10">EDATE(MP10,12)</f>
        <v>44197</v>
      </c>
      <c r="MR10" s="59">
        <f t="shared" si="10"/>
        <v>44562</v>
      </c>
      <c r="MS10" s="59">
        <f t="shared" si="10"/>
        <v>44927</v>
      </c>
      <c r="MT10" s="59">
        <f t="shared" si="10"/>
        <v>45292</v>
      </c>
      <c r="MU10" s="59">
        <f t="shared" si="10"/>
        <v>45658</v>
      </c>
      <c r="MV10" s="59">
        <f t="shared" si="10"/>
        <v>46023</v>
      </c>
      <c r="MW10" s="59">
        <f t="shared" si="10"/>
        <v>46388</v>
      </c>
      <c r="MX10" s="59">
        <f t="shared" si="10"/>
        <v>46753</v>
      </c>
      <c r="MY10" s="59">
        <f t="shared" si="10"/>
        <v>47119</v>
      </c>
      <c r="MZ10" s="59">
        <f t="shared" si="10"/>
        <v>47484</v>
      </c>
      <c r="NA10" s="59">
        <f t="shared" si="10"/>
        <v>47849</v>
      </c>
      <c r="NB10" s="59">
        <f t="shared" si="10"/>
        <v>48214</v>
      </c>
      <c r="NC10" s="59">
        <f t="shared" si="10"/>
        <v>48580</v>
      </c>
      <c r="ND10" s="59">
        <f t="shared" si="10"/>
        <v>48945</v>
      </c>
      <c r="NE10" s="59">
        <f t="shared" si="10"/>
        <v>49310</v>
      </c>
      <c r="NF10" s="59">
        <f t="shared" si="10"/>
        <v>49675</v>
      </c>
      <c r="NG10" s="59">
        <f t="shared" si="10"/>
        <v>50041</v>
      </c>
      <c r="NH10" s="59">
        <f t="shared" si="10"/>
        <v>50406</v>
      </c>
      <c r="NI10" s="59">
        <f t="shared" si="10"/>
        <v>50771</v>
      </c>
      <c r="NJ10" s="59">
        <f t="shared" si="10"/>
        <v>51136</v>
      </c>
      <c r="NK10" s="59">
        <f t="shared" si="10"/>
        <v>51502</v>
      </c>
      <c r="NL10" s="59">
        <f t="shared" si="10"/>
        <v>51867</v>
      </c>
      <c r="NM10" s="59">
        <f t="shared" si="10"/>
        <v>52232</v>
      </c>
      <c r="NN10" s="59">
        <f t="shared" si="10"/>
        <v>52597</v>
      </c>
      <c r="NO10" s="59">
        <f t="shared" si="10"/>
        <v>52963</v>
      </c>
      <c r="NP10" s="59">
        <f t="shared" si="10"/>
        <v>53328</v>
      </c>
      <c r="NQ10" s="59">
        <f t="shared" si="10"/>
        <v>53693</v>
      </c>
      <c r="NR10" s="59">
        <f t="shared" si="10"/>
        <v>54058</v>
      </c>
      <c r="NS10" s="59">
        <f t="shared" si="10"/>
        <v>54424</v>
      </c>
      <c r="NT10" s="59">
        <f t="shared" si="10"/>
        <v>54789</v>
      </c>
      <c r="NV10" s="59">
        <f>start_year</f>
        <v>43831</v>
      </c>
      <c r="NW10" s="59">
        <f t="shared" ref="NW10:OZ10" si="11">EDATE(NV10,12)</f>
        <v>44197</v>
      </c>
      <c r="NX10" s="59">
        <f t="shared" si="11"/>
        <v>44562</v>
      </c>
      <c r="NY10" s="59">
        <f t="shared" si="11"/>
        <v>44927</v>
      </c>
      <c r="NZ10" s="59">
        <f t="shared" si="11"/>
        <v>45292</v>
      </c>
      <c r="OA10" s="59">
        <f t="shared" si="11"/>
        <v>45658</v>
      </c>
      <c r="OB10" s="59">
        <f t="shared" si="11"/>
        <v>46023</v>
      </c>
      <c r="OC10" s="59">
        <f t="shared" si="11"/>
        <v>46388</v>
      </c>
      <c r="OD10" s="59">
        <f t="shared" si="11"/>
        <v>46753</v>
      </c>
      <c r="OE10" s="59">
        <f t="shared" si="11"/>
        <v>47119</v>
      </c>
      <c r="OF10" s="59">
        <f t="shared" si="11"/>
        <v>47484</v>
      </c>
      <c r="OG10" s="59">
        <f t="shared" si="11"/>
        <v>47849</v>
      </c>
      <c r="OH10" s="59">
        <f t="shared" si="11"/>
        <v>48214</v>
      </c>
      <c r="OI10" s="59">
        <f t="shared" si="11"/>
        <v>48580</v>
      </c>
      <c r="OJ10" s="59">
        <f t="shared" si="11"/>
        <v>48945</v>
      </c>
      <c r="OK10" s="59">
        <f t="shared" si="11"/>
        <v>49310</v>
      </c>
      <c r="OL10" s="59">
        <f t="shared" si="11"/>
        <v>49675</v>
      </c>
      <c r="OM10" s="59">
        <f t="shared" si="11"/>
        <v>50041</v>
      </c>
      <c r="ON10" s="59">
        <f t="shared" si="11"/>
        <v>50406</v>
      </c>
      <c r="OO10" s="59">
        <f t="shared" si="11"/>
        <v>50771</v>
      </c>
      <c r="OP10" s="59">
        <f t="shared" si="11"/>
        <v>51136</v>
      </c>
      <c r="OQ10" s="59">
        <f t="shared" si="11"/>
        <v>51502</v>
      </c>
      <c r="OR10" s="59">
        <f t="shared" si="11"/>
        <v>51867</v>
      </c>
      <c r="OS10" s="59">
        <f t="shared" si="11"/>
        <v>52232</v>
      </c>
      <c r="OT10" s="59">
        <f t="shared" si="11"/>
        <v>52597</v>
      </c>
      <c r="OU10" s="59">
        <f t="shared" si="11"/>
        <v>52963</v>
      </c>
      <c r="OV10" s="59">
        <f t="shared" si="11"/>
        <v>53328</v>
      </c>
      <c r="OW10" s="59">
        <f t="shared" si="11"/>
        <v>53693</v>
      </c>
      <c r="OX10" s="59">
        <f t="shared" si="11"/>
        <v>54058</v>
      </c>
      <c r="OY10" s="59">
        <f t="shared" si="11"/>
        <v>54424</v>
      </c>
      <c r="OZ10" s="59">
        <f t="shared" si="11"/>
        <v>54789</v>
      </c>
      <c r="PB10" s="59">
        <f>start_year</f>
        <v>43831</v>
      </c>
      <c r="PC10" s="13" t="s">
        <v>277</v>
      </c>
      <c r="PD10" s="59">
        <f>start_year</f>
        <v>43831</v>
      </c>
      <c r="PE10" s="13" t="s">
        <v>277</v>
      </c>
      <c r="PF10" s="13"/>
      <c r="PH10" s="14"/>
      <c r="PI10" s="14"/>
      <c r="PJ10" s="14"/>
      <c r="PK10" s="14"/>
      <c r="PM10" s="59">
        <f>start_year</f>
        <v>43831</v>
      </c>
      <c r="PN10" s="26" t="s">
        <v>277</v>
      </c>
      <c r="PO10" s="59">
        <f>start_year</f>
        <v>43831</v>
      </c>
      <c r="PP10" s="26" t="s">
        <v>277</v>
      </c>
      <c r="PQ10" s="59">
        <f>start_year</f>
        <v>43831</v>
      </c>
      <c r="PR10" s="26" t="s">
        <v>277</v>
      </c>
      <c r="PT10" s="59">
        <f>start_year</f>
        <v>43831</v>
      </c>
      <c r="PU10" s="26" t="s">
        <v>277</v>
      </c>
      <c r="PV10" s="59">
        <f>start_year</f>
        <v>43831</v>
      </c>
      <c r="PW10" s="26" t="s">
        <v>277</v>
      </c>
      <c r="PZ10" s="14"/>
      <c r="QA10" s="40"/>
      <c r="QB10" s="40"/>
    </row>
    <row r="11" spans="1:444">
      <c r="B11" s="3" t="s">
        <v>230</v>
      </c>
      <c r="D11" s="39" t="b">
        <f t="shared" ref="D11:D38" si="12">IF(ISBLANK($B11),"-/-",COUNTIFS(component_names,$B11,component_types,$B$9)&gt;0)</f>
        <v>1</v>
      </c>
      <c r="F11" s="3"/>
      <c r="H11" s="118" t="s">
        <v>110</v>
      </c>
      <c r="J11" s="118" t="s">
        <v>208</v>
      </c>
      <c r="L11" s="118" t="s">
        <v>216</v>
      </c>
      <c r="N11" s="118"/>
      <c r="O11" s="118"/>
      <c r="P11" s="118"/>
      <c r="Q11" s="118"/>
      <c r="R11" s="118"/>
      <c r="S11" s="118"/>
      <c r="U11" s="118"/>
      <c r="V11" s="118"/>
      <c r="W11" s="118"/>
      <c r="X11" s="118"/>
      <c r="Z11" s="118"/>
      <c r="AB11" s="19"/>
      <c r="AC11" s="19"/>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v>6950</v>
      </c>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v>4</v>
      </c>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C11" s="25"/>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I11" s="25"/>
      <c r="GJ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O11" s="23"/>
      <c r="HP11" s="23"/>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X11" s="25"/>
      <c r="IY11" s="25"/>
      <c r="IZ11" s="25"/>
      <c r="JA11" s="25"/>
      <c r="JB11" s="25"/>
      <c r="JC11" s="25"/>
      <c r="JD11" s="25"/>
      <c r="JE11" s="25"/>
      <c r="JF11" s="25"/>
      <c r="JG11" s="25"/>
      <c r="JH11" s="25"/>
      <c r="JI11" s="25"/>
      <c r="JJ11" s="25"/>
      <c r="JK11" s="25"/>
      <c r="JL11" s="25"/>
      <c r="JM11" s="25"/>
      <c r="JN11" s="25"/>
      <c r="JO11" s="25"/>
      <c r="JP11" s="25"/>
      <c r="JQ11" s="25"/>
      <c r="JR11" s="25"/>
      <c r="JS11" s="25"/>
      <c r="JT11" s="25"/>
      <c r="JU11" s="25"/>
      <c r="JV11" s="25"/>
      <c r="JW11" s="25"/>
      <c r="JX11" s="25"/>
      <c r="JY11" s="25"/>
      <c r="JZ11" s="25"/>
      <c r="KA11" s="25"/>
      <c r="KB11" s="25"/>
      <c r="KD11" s="25"/>
      <c r="KE11" s="25"/>
      <c r="KF11" s="25"/>
      <c r="KG11" s="25"/>
      <c r="KH11" s="25"/>
      <c r="KI11" s="25"/>
      <c r="KJ11" s="25"/>
      <c r="KK11" s="25"/>
      <c r="KL11" s="25"/>
      <c r="KM11" s="25"/>
      <c r="KN11" s="25"/>
      <c r="KO11" s="25"/>
      <c r="KP11" s="25"/>
      <c r="KQ11" s="25"/>
      <c r="KR11" s="25"/>
      <c r="KS11" s="25"/>
      <c r="KT11" s="25"/>
      <c r="KU11" s="25"/>
      <c r="KV11" s="25"/>
      <c r="KW11" s="25"/>
      <c r="KX11" s="25"/>
      <c r="KY11" s="25"/>
      <c r="KZ11" s="25"/>
      <c r="LA11" s="25"/>
      <c r="LB11" s="25"/>
      <c r="LC11" s="25"/>
      <c r="LD11" s="25"/>
      <c r="LE11" s="25"/>
      <c r="LF11" s="25"/>
      <c r="LG11" s="25"/>
      <c r="LH11" s="25"/>
      <c r="LJ11" s="25"/>
      <c r="LK11" s="25"/>
      <c r="LL11" s="25"/>
      <c r="LM11" s="25"/>
      <c r="LN11" s="25"/>
      <c r="LO11" s="25"/>
      <c r="LP11" s="25"/>
      <c r="LQ11" s="25"/>
      <c r="LR11" s="25"/>
      <c r="LS11" s="25"/>
      <c r="LT11" s="25"/>
      <c r="LU11" s="25"/>
      <c r="LV11" s="25"/>
      <c r="LW11" s="25"/>
      <c r="LX11" s="25"/>
      <c r="LY11" s="25"/>
      <c r="LZ11" s="25"/>
      <c r="MA11" s="25"/>
      <c r="MB11" s="25"/>
      <c r="MC11" s="25"/>
      <c r="MD11" s="25"/>
      <c r="ME11" s="25"/>
      <c r="MF11" s="25"/>
      <c r="MG11" s="25"/>
      <c r="MH11" s="25"/>
      <c r="MI11" s="25"/>
      <c r="MJ11" s="25"/>
      <c r="MK11" s="25"/>
      <c r="ML11" s="25"/>
      <c r="MM11" s="25"/>
      <c r="MN11" s="25"/>
      <c r="MP11" s="25"/>
      <c r="MQ11" s="25"/>
      <c r="MR11" s="25"/>
      <c r="MS11" s="25"/>
      <c r="MT11" s="25"/>
      <c r="MU11" s="25"/>
      <c r="MV11" s="25"/>
      <c r="MW11" s="25"/>
      <c r="MX11" s="25"/>
      <c r="MY11" s="25"/>
      <c r="MZ11" s="25"/>
      <c r="NA11" s="25"/>
      <c r="NB11" s="25"/>
      <c r="NC11" s="25"/>
      <c r="ND11" s="25"/>
      <c r="NE11" s="25"/>
      <c r="NF11" s="25"/>
      <c r="NG11" s="25"/>
      <c r="NH11" s="25"/>
      <c r="NI11" s="25"/>
      <c r="NJ11" s="25"/>
      <c r="NK11" s="25"/>
      <c r="NL11" s="25"/>
      <c r="NM11" s="25"/>
      <c r="NN11" s="25"/>
      <c r="NO11" s="25"/>
      <c r="NP11" s="25"/>
      <c r="NQ11" s="25"/>
      <c r="NR11" s="25"/>
      <c r="NS11" s="25"/>
      <c r="NT11" s="25"/>
      <c r="NV11" s="25"/>
      <c r="NW11" s="25"/>
      <c r="NX11" s="25"/>
      <c r="NY11" s="25"/>
      <c r="NZ11" s="25"/>
      <c r="OA11" s="25"/>
      <c r="OB11" s="25"/>
      <c r="OC11" s="25"/>
      <c r="OD11" s="25"/>
      <c r="OE11" s="25"/>
      <c r="OF11" s="25"/>
      <c r="OG11" s="25"/>
      <c r="OH11" s="25"/>
      <c r="OI11" s="25"/>
      <c r="OJ11" s="25"/>
      <c r="OK11" s="25"/>
      <c r="OL11" s="25"/>
      <c r="OM11" s="25"/>
      <c r="ON11" s="25"/>
      <c r="OO11" s="25"/>
      <c r="OP11" s="25"/>
      <c r="OQ11" s="25"/>
      <c r="OR11" s="25"/>
      <c r="OS11" s="25"/>
      <c r="OT11" s="25"/>
      <c r="OU11" s="25"/>
      <c r="OV11" s="25"/>
      <c r="OW11" s="25"/>
      <c r="OX11" s="25"/>
      <c r="OY11" s="25"/>
      <c r="OZ11" s="25"/>
      <c r="PB11" s="29">
        <v>0.85</v>
      </c>
      <c r="PC11" s="29"/>
      <c r="PD11" s="29">
        <v>1</v>
      </c>
      <c r="PE11" s="29"/>
      <c r="PF11" s="29"/>
      <c r="PH11" s="29"/>
      <c r="PI11" s="29"/>
      <c r="PJ11" s="29"/>
      <c r="PK11" s="29"/>
      <c r="PM11" s="29">
        <v>0</v>
      </c>
      <c r="PN11" s="3"/>
      <c r="PO11" s="29">
        <v>1</v>
      </c>
      <c r="PP11" s="93"/>
      <c r="PQ11" s="29">
        <v>1</v>
      </c>
      <c r="PR11" s="3"/>
      <c r="PT11" s="29"/>
      <c r="PU11" s="3"/>
      <c r="PV11" s="29"/>
      <c r="PW11" s="3"/>
      <c r="PZ11" s="35">
        <v>0</v>
      </c>
      <c r="QA11" s="81">
        <v>24</v>
      </c>
      <c r="QB11" s="81">
        <v>5</v>
      </c>
    </row>
    <row r="12" spans="1:444">
      <c r="B12" s="3" t="s">
        <v>231</v>
      </c>
      <c r="D12" s="39" t="b">
        <f t="shared" si="12"/>
        <v>1</v>
      </c>
      <c r="F12" s="3"/>
      <c r="H12" s="118" t="s">
        <v>110</v>
      </c>
      <c r="J12" s="118" t="s">
        <v>208</v>
      </c>
      <c r="L12" s="118" t="s">
        <v>216</v>
      </c>
      <c r="N12" s="118"/>
      <c r="O12" s="118"/>
      <c r="P12" s="118"/>
      <c r="Q12" s="118"/>
      <c r="R12" s="118"/>
      <c r="S12" s="118"/>
      <c r="U12" s="118"/>
      <c r="V12" s="118"/>
      <c r="W12" s="118"/>
      <c r="X12" s="118"/>
      <c r="Z12" s="118"/>
      <c r="AB12" s="19"/>
      <c r="AC12" s="19"/>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v>6150</v>
      </c>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v>12</v>
      </c>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W12" s="25"/>
      <c r="DX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C12" s="25"/>
      <c r="FD12" s="25"/>
      <c r="FE12" s="25"/>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I12" s="25"/>
      <c r="GJ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O12" s="23"/>
      <c r="HP12" s="23"/>
      <c r="HR12" s="25"/>
      <c r="HS12" s="25"/>
      <c r="HT12" s="25"/>
      <c r="HU12" s="25"/>
      <c r="HV12" s="25"/>
      <c r="HW12" s="25"/>
      <c r="HX12" s="25"/>
      <c r="HY12" s="25"/>
      <c r="HZ12" s="25"/>
      <c r="IA12" s="25"/>
      <c r="IB12" s="25"/>
      <c r="IC12" s="25"/>
      <c r="ID12" s="25"/>
      <c r="IE12" s="25"/>
      <c r="IF12" s="25"/>
      <c r="IG12" s="25"/>
      <c r="IH12" s="25"/>
      <c r="II12" s="25"/>
      <c r="IJ12" s="25"/>
      <c r="IK12" s="25"/>
      <c r="IL12" s="25"/>
      <c r="IM12" s="25"/>
      <c r="IN12" s="25"/>
      <c r="IO12" s="25"/>
      <c r="IP12" s="25"/>
      <c r="IQ12" s="25"/>
      <c r="IR12" s="25"/>
      <c r="IS12" s="25"/>
      <c r="IT12" s="25"/>
      <c r="IU12" s="25"/>
      <c r="IV12" s="25"/>
      <c r="IX12" s="25"/>
      <c r="IY12" s="25"/>
      <c r="IZ12" s="25"/>
      <c r="JA12" s="25"/>
      <c r="JB12" s="25"/>
      <c r="JC12" s="25"/>
      <c r="JD12" s="25"/>
      <c r="JE12" s="25"/>
      <c r="JF12" s="25"/>
      <c r="JG12" s="25"/>
      <c r="JH12" s="25"/>
      <c r="JI12" s="25"/>
      <c r="JJ12" s="25"/>
      <c r="JK12" s="25"/>
      <c r="JL12" s="25"/>
      <c r="JM12" s="25"/>
      <c r="JN12" s="25"/>
      <c r="JO12" s="25"/>
      <c r="JP12" s="25"/>
      <c r="JQ12" s="25"/>
      <c r="JR12" s="25"/>
      <c r="JS12" s="25"/>
      <c r="JT12" s="25"/>
      <c r="JU12" s="25"/>
      <c r="JV12" s="25"/>
      <c r="JW12" s="25"/>
      <c r="JX12" s="25"/>
      <c r="JY12" s="25"/>
      <c r="JZ12" s="25"/>
      <c r="KA12" s="25"/>
      <c r="KB12" s="25"/>
      <c r="KD12" s="25"/>
      <c r="KE12" s="25"/>
      <c r="KF12" s="25"/>
      <c r="KG12" s="25"/>
      <c r="KH12" s="25"/>
      <c r="KI12" s="25"/>
      <c r="KJ12" s="25"/>
      <c r="KK12" s="25"/>
      <c r="KL12" s="25"/>
      <c r="KM12" s="25"/>
      <c r="KN12" s="25"/>
      <c r="KO12" s="25"/>
      <c r="KP12" s="25"/>
      <c r="KQ12" s="25"/>
      <c r="KR12" s="25"/>
      <c r="KS12" s="25"/>
      <c r="KT12" s="25"/>
      <c r="KU12" s="25"/>
      <c r="KV12" s="25"/>
      <c r="KW12" s="25"/>
      <c r="KX12" s="25"/>
      <c r="KY12" s="25"/>
      <c r="KZ12" s="25"/>
      <c r="LA12" s="25"/>
      <c r="LB12" s="25"/>
      <c r="LC12" s="25"/>
      <c r="LD12" s="25"/>
      <c r="LE12" s="25"/>
      <c r="LF12" s="25"/>
      <c r="LG12" s="25"/>
      <c r="LH12" s="25"/>
      <c r="LJ12" s="25"/>
      <c r="LK12" s="25"/>
      <c r="LL12" s="25"/>
      <c r="LM12" s="25"/>
      <c r="LN12" s="25"/>
      <c r="LO12" s="25"/>
      <c r="LP12" s="25"/>
      <c r="LQ12" s="25"/>
      <c r="LR12" s="25"/>
      <c r="LS12" s="25"/>
      <c r="LT12" s="25"/>
      <c r="LU12" s="25"/>
      <c r="LV12" s="25"/>
      <c r="LW12" s="25"/>
      <c r="LX12" s="25"/>
      <c r="LY12" s="25"/>
      <c r="LZ12" s="25"/>
      <c r="MA12" s="25"/>
      <c r="MB12" s="25"/>
      <c r="MC12" s="25"/>
      <c r="MD12" s="25"/>
      <c r="ME12" s="25"/>
      <c r="MF12" s="25"/>
      <c r="MG12" s="25"/>
      <c r="MH12" s="25"/>
      <c r="MI12" s="25"/>
      <c r="MJ12" s="25"/>
      <c r="MK12" s="25"/>
      <c r="ML12" s="25"/>
      <c r="MM12" s="25"/>
      <c r="MN12" s="25"/>
      <c r="MP12" s="25"/>
      <c r="MQ12" s="25"/>
      <c r="MR12" s="25"/>
      <c r="MS12" s="25"/>
      <c r="MT12" s="25"/>
      <c r="MU12" s="25"/>
      <c r="MV12" s="25"/>
      <c r="MW12" s="25"/>
      <c r="MX12" s="25"/>
      <c r="MY12" s="25"/>
      <c r="MZ12" s="25"/>
      <c r="NA12" s="25"/>
      <c r="NB12" s="25"/>
      <c r="NC12" s="25"/>
      <c r="ND12" s="25"/>
      <c r="NE12" s="25"/>
      <c r="NF12" s="25"/>
      <c r="NG12" s="25"/>
      <c r="NH12" s="25"/>
      <c r="NI12" s="25"/>
      <c r="NJ12" s="25"/>
      <c r="NK12" s="25"/>
      <c r="NL12" s="25"/>
      <c r="NM12" s="25"/>
      <c r="NN12" s="25"/>
      <c r="NO12" s="25"/>
      <c r="NP12" s="25"/>
      <c r="NQ12" s="25"/>
      <c r="NR12" s="25"/>
      <c r="NS12" s="25"/>
      <c r="NT12" s="25"/>
      <c r="NV12" s="25"/>
      <c r="NW12" s="25"/>
      <c r="NX12" s="25"/>
      <c r="NY12" s="25"/>
      <c r="NZ12" s="25"/>
      <c r="OA12" s="25"/>
      <c r="OB12" s="25"/>
      <c r="OC12" s="25"/>
      <c r="OD12" s="25"/>
      <c r="OE12" s="25"/>
      <c r="OF12" s="25"/>
      <c r="OG12" s="25"/>
      <c r="OH12" s="25"/>
      <c r="OI12" s="25"/>
      <c r="OJ12" s="25"/>
      <c r="OK12" s="25"/>
      <c r="OL12" s="25"/>
      <c r="OM12" s="25"/>
      <c r="ON12" s="25"/>
      <c r="OO12" s="25"/>
      <c r="OP12" s="25"/>
      <c r="OQ12" s="25"/>
      <c r="OR12" s="25"/>
      <c r="OS12" s="25"/>
      <c r="OT12" s="25"/>
      <c r="OU12" s="25"/>
      <c r="OV12" s="25"/>
      <c r="OW12" s="25"/>
      <c r="OX12" s="25"/>
      <c r="OY12" s="25"/>
      <c r="OZ12" s="25"/>
      <c r="PB12" s="29">
        <v>0.81</v>
      </c>
      <c r="PC12" s="29"/>
      <c r="PD12" s="29">
        <v>1</v>
      </c>
      <c r="PE12" s="29"/>
      <c r="PF12" s="29"/>
      <c r="PH12" s="29"/>
      <c r="PI12" s="29"/>
      <c r="PJ12" s="29"/>
      <c r="PK12" s="29"/>
      <c r="PM12" s="29">
        <v>0</v>
      </c>
      <c r="PN12" s="3"/>
      <c r="PO12" s="29">
        <v>1</v>
      </c>
      <c r="PP12" s="93"/>
      <c r="PQ12" s="29">
        <v>1</v>
      </c>
      <c r="PR12" s="3"/>
      <c r="PT12" s="29"/>
      <c r="PU12" s="3"/>
      <c r="PV12" s="29"/>
      <c r="PW12" s="3"/>
      <c r="PZ12" s="35">
        <v>0</v>
      </c>
      <c r="QA12" s="81">
        <v>24</v>
      </c>
      <c r="QB12" s="81">
        <v>6</v>
      </c>
    </row>
    <row r="13" spans="1:444">
      <c r="B13" s="3" t="s">
        <v>232</v>
      </c>
      <c r="D13" s="39" t="b">
        <f t="shared" si="12"/>
        <v>1</v>
      </c>
      <c r="F13" s="3"/>
      <c r="H13" s="118" t="s">
        <v>110</v>
      </c>
      <c r="J13" s="118" t="s">
        <v>209</v>
      </c>
      <c r="L13" s="118" t="s">
        <v>216</v>
      </c>
      <c r="N13" s="118"/>
      <c r="O13" s="118"/>
      <c r="P13" s="118"/>
      <c r="Q13" s="118"/>
      <c r="R13" s="118"/>
      <c r="S13" s="118"/>
      <c r="U13" s="118"/>
      <c r="V13" s="118"/>
      <c r="W13" s="118"/>
      <c r="X13" s="118"/>
      <c r="Z13" s="118"/>
      <c r="AB13" s="19"/>
      <c r="AC13" s="19"/>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v>7210</v>
      </c>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v>100</v>
      </c>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W13" s="25"/>
      <c r="DX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C13" s="25"/>
      <c r="FD13" s="25"/>
      <c r="FE13" s="25"/>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I13" s="25"/>
      <c r="GJ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O13" s="23"/>
      <c r="HP13" s="23"/>
      <c r="HR13" s="25"/>
      <c r="HS13" s="25"/>
      <c r="HT13" s="25"/>
      <c r="HU13" s="25"/>
      <c r="HV13" s="25"/>
      <c r="HW13" s="25"/>
      <c r="HX13" s="25"/>
      <c r="HY13" s="25"/>
      <c r="HZ13" s="25"/>
      <c r="IA13" s="25"/>
      <c r="IB13" s="25"/>
      <c r="IC13" s="25"/>
      <c r="ID13" s="25"/>
      <c r="IE13" s="25"/>
      <c r="IF13" s="25"/>
      <c r="IG13" s="25"/>
      <c r="IH13" s="25"/>
      <c r="II13" s="25"/>
      <c r="IJ13" s="25"/>
      <c r="IK13" s="25"/>
      <c r="IL13" s="25"/>
      <c r="IM13" s="25"/>
      <c r="IN13" s="25"/>
      <c r="IO13" s="25"/>
      <c r="IP13" s="25"/>
      <c r="IQ13" s="25"/>
      <c r="IR13" s="25"/>
      <c r="IS13" s="25"/>
      <c r="IT13" s="25"/>
      <c r="IU13" s="25"/>
      <c r="IV13" s="25"/>
      <c r="IX13" s="25"/>
      <c r="IY13" s="25"/>
      <c r="IZ13" s="25"/>
      <c r="JA13" s="25"/>
      <c r="JB13" s="25"/>
      <c r="JC13" s="25"/>
      <c r="JD13" s="25"/>
      <c r="JE13" s="25"/>
      <c r="JF13" s="25"/>
      <c r="JG13" s="25"/>
      <c r="JH13" s="25"/>
      <c r="JI13" s="25"/>
      <c r="JJ13" s="25"/>
      <c r="JK13" s="25"/>
      <c r="JL13" s="25"/>
      <c r="JM13" s="25"/>
      <c r="JN13" s="25"/>
      <c r="JO13" s="25"/>
      <c r="JP13" s="25"/>
      <c r="JQ13" s="25"/>
      <c r="JR13" s="25"/>
      <c r="JS13" s="25"/>
      <c r="JT13" s="25"/>
      <c r="JU13" s="25"/>
      <c r="JV13" s="25"/>
      <c r="JW13" s="25"/>
      <c r="JX13" s="25"/>
      <c r="JY13" s="25"/>
      <c r="JZ13" s="25"/>
      <c r="KA13" s="25"/>
      <c r="KB13" s="25"/>
      <c r="KD13" s="25"/>
      <c r="KE13" s="25"/>
      <c r="KF13" s="25"/>
      <c r="KG13" s="25"/>
      <c r="KH13" s="25"/>
      <c r="KI13" s="25"/>
      <c r="KJ13" s="25"/>
      <c r="KK13" s="25"/>
      <c r="KL13" s="25"/>
      <c r="KM13" s="25"/>
      <c r="KN13" s="25"/>
      <c r="KO13" s="25"/>
      <c r="KP13" s="25"/>
      <c r="KQ13" s="25"/>
      <c r="KR13" s="25"/>
      <c r="KS13" s="25"/>
      <c r="KT13" s="25"/>
      <c r="KU13" s="25"/>
      <c r="KV13" s="25"/>
      <c r="KW13" s="25"/>
      <c r="KX13" s="25"/>
      <c r="KY13" s="25"/>
      <c r="KZ13" s="25"/>
      <c r="LA13" s="25"/>
      <c r="LB13" s="25"/>
      <c r="LC13" s="25"/>
      <c r="LD13" s="25"/>
      <c r="LE13" s="25"/>
      <c r="LF13" s="25"/>
      <c r="LG13" s="25"/>
      <c r="LH13" s="25"/>
      <c r="LJ13" s="25"/>
      <c r="LK13" s="25"/>
      <c r="LL13" s="25"/>
      <c r="LM13" s="25"/>
      <c r="LN13" s="25"/>
      <c r="LO13" s="25"/>
      <c r="LP13" s="25"/>
      <c r="LQ13" s="25"/>
      <c r="LR13" s="25"/>
      <c r="LS13" s="25"/>
      <c r="LT13" s="25"/>
      <c r="LU13" s="25"/>
      <c r="LV13" s="25"/>
      <c r="LW13" s="25"/>
      <c r="LX13" s="25"/>
      <c r="LY13" s="25"/>
      <c r="LZ13" s="25"/>
      <c r="MA13" s="25"/>
      <c r="MB13" s="25"/>
      <c r="MC13" s="25"/>
      <c r="MD13" s="25"/>
      <c r="ME13" s="25"/>
      <c r="MF13" s="25"/>
      <c r="MG13" s="25"/>
      <c r="MH13" s="25"/>
      <c r="MI13" s="25"/>
      <c r="MJ13" s="25"/>
      <c r="MK13" s="25"/>
      <c r="ML13" s="25"/>
      <c r="MM13" s="25"/>
      <c r="MN13" s="25"/>
      <c r="MP13" s="25"/>
      <c r="MQ13" s="25"/>
      <c r="MR13" s="25"/>
      <c r="MS13" s="25"/>
      <c r="MT13" s="25"/>
      <c r="MU13" s="25"/>
      <c r="MV13" s="25"/>
      <c r="MW13" s="25"/>
      <c r="MX13" s="25"/>
      <c r="MY13" s="25"/>
      <c r="MZ13" s="25"/>
      <c r="NA13" s="25"/>
      <c r="NB13" s="25"/>
      <c r="NC13" s="25"/>
      <c r="ND13" s="25"/>
      <c r="NE13" s="25"/>
      <c r="NF13" s="25"/>
      <c r="NG13" s="25"/>
      <c r="NH13" s="25"/>
      <c r="NI13" s="25"/>
      <c r="NJ13" s="25"/>
      <c r="NK13" s="25"/>
      <c r="NL13" s="25"/>
      <c r="NM13" s="25"/>
      <c r="NN13" s="25"/>
      <c r="NO13" s="25"/>
      <c r="NP13" s="25"/>
      <c r="NQ13" s="25"/>
      <c r="NR13" s="25"/>
      <c r="NS13" s="25"/>
      <c r="NT13" s="25"/>
      <c r="NV13" s="25"/>
      <c r="NW13" s="25"/>
      <c r="NX13" s="25"/>
      <c r="NY13" s="25"/>
      <c r="NZ13" s="25"/>
      <c r="OA13" s="25"/>
      <c r="OB13" s="25"/>
      <c r="OC13" s="25"/>
      <c r="OD13" s="25"/>
      <c r="OE13" s="25"/>
      <c r="OF13" s="25"/>
      <c r="OG13" s="25"/>
      <c r="OH13" s="25"/>
      <c r="OI13" s="25"/>
      <c r="OJ13" s="25"/>
      <c r="OK13" s="25"/>
      <c r="OL13" s="25"/>
      <c r="OM13" s="25"/>
      <c r="ON13" s="25"/>
      <c r="OO13" s="25"/>
      <c r="OP13" s="25"/>
      <c r="OQ13" s="25"/>
      <c r="OR13" s="25"/>
      <c r="OS13" s="25"/>
      <c r="OT13" s="25"/>
      <c r="OU13" s="25"/>
      <c r="OV13" s="25"/>
      <c r="OW13" s="25"/>
      <c r="OX13" s="25"/>
      <c r="OY13" s="25"/>
      <c r="OZ13" s="25"/>
      <c r="PB13" s="29">
        <v>0.45</v>
      </c>
      <c r="PC13" s="29"/>
      <c r="PD13" s="29">
        <v>1</v>
      </c>
      <c r="PE13" s="29"/>
      <c r="PF13" s="29"/>
      <c r="PH13" s="29"/>
      <c r="PI13" s="29"/>
      <c r="PJ13" s="29"/>
      <c r="PK13" s="29"/>
      <c r="PM13" s="29">
        <v>0</v>
      </c>
      <c r="PN13" s="3"/>
      <c r="PO13" s="29">
        <v>1</v>
      </c>
      <c r="PP13" s="93"/>
      <c r="PQ13" s="29">
        <v>1</v>
      </c>
      <c r="PR13" s="3"/>
      <c r="PT13" s="29"/>
      <c r="PU13" s="3"/>
      <c r="PV13" s="29"/>
      <c r="PW13" s="3"/>
      <c r="PZ13" s="35">
        <v>0</v>
      </c>
      <c r="QA13" s="81">
        <v>24</v>
      </c>
      <c r="QB13" s="81">
        <v>7</v>
      </c>
    </row>
    <row r="14" spans="1:444">
      <c r="B14" s="3"/>
      <c r="D14" s="39" t="str">
        <f t="shared" si="12"/>
        <v>-/-</v>
      </c>
      <c r="F14" s="3"/>
      <c r="H14" s="118"/>
      <c r="J14" s="118"/>
      <c r="L14" s="118"/>
      <c r="N14" s="118"/>
      <c r="O14" s="118"/>
      <c r="P14" s="118"/>
      <c r="Q14" s="118"/>
      <c r="R14" s="118"/>
      <c r="S14" s="118"/>
      <c r="U14" s="118"/>
      <c r="V14" s="118"/>
      <c r="W14" s="118"/>
      <c r="X14" s="118"/>
      <c r="Z14" s="118"/>
      <c r="AB14" s="19"/>
      <c r="AC14" s="19"/>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C14" s="25"/>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O14" s="23"/>
      <c r="HP14" s="23"/>
      <c r="HR14" s="25"/>
      <c r="HS14" s="25"/>
      <c r="HT14" s="25"/>
      <c r="HU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25"/>
      <c r="IV14" s="25"/>
      <c r="IX14" s="25"/>
      <c r="IY14" s="25"/>
      <c r="IZ14" s="25"/>
      <c r="JA14" s="25"/>
      <c r="JB14" s="25"/>
      <c r="JC14" s="25"/>
      <c r="JD14" s="25"/>
      <c r="JE14" s="25"/>
      <c r="JF14" s="25"/>
      <c r="JG14" s="25"/>
      <c r="JH14" s="25"/>
      <c r="JI14" s="25"/>
      <c r="JJ14" s="25"/>
      <c r="JK14" s="25"/>
      <c r="JL14" s="25"/>
      <c r="JM14" s="25"/>
      <c r="JN14" s="25"/>
      <c r="JO14" s="25"/>
      <c r="JP14" s="25"/>
      <c r="JQ14" s="25"/>
      <c r="JR14" s="25"/>
      <c r="JS14" s="25"/>
      <c r="JT14" s="25"/>
      <c r="JU14" s="25"/>
      <c r="JV14" s="25"/>
      <c r="JW14" s="25"/>
      <c r="JX14" s="25"/>
      <c r="JY14" s="25"/>
      <c r="JZ14" s="25"/>
      <c r="KA14" s="25"/>
      <c r="KB14" s="25"/>
      <c r="KD14" s="25"/>
      <c r="KE14" s="25"/>
      <c r="KF14" s="25"/>
      <c r="KG14" s="25"/>
      <c r="KH14" s="25"/>
      <c r="KI14" s="25"/>
      <c r="KJ14" s="25"/>
      <c r="KK14" s="25"/>
      <c r="KL14" s="25"/>
      <c r="KM14" s="25"/>
      <c r="KN14" s="25"/>
      <c r="KO14" s="25"/>
      <c r="KP14" s="25"/>
      <c r="KQ14" s="25"/>
      <c r="KR14" s="25"/>
      <c r="KS14" s="25"/>
      <c r="KT14" s="25"/>
      <c r="KU14" s="25"/>
      <c r="KV14" s="25"/>
      <c r="KW14" s="25"/>
      <c r="KX14" s="25"/>
      <c r="KY14" s="25"/>
      <c r="KZ14" s="25"/>
      <c r="LA14" s="25"/>
      <c r="LB14" s="25"/>
      <c r="LC14" s="25"/>
      <c r="LD14" s="25"/>
      <c r="LE14" s="25"/>
      <c r="LF14" s="25"/>
      <c r="LG14" s="25"/>
      <c r="LH14" s="25"/>
      <c r="LJ14" s="25"/>
      <c r="LK14" s="25"/>
      <c r="LL14" s="25"/>
      <c r="LM14" s="25"/>
      <c r="LN14" s="25"/>
      <c r="LO14" s="25"/>
      <c r="LP14" s="25"/>
      <c r="LQ14" s="25"/>
      <c r="LR14" s="25"/>
      <c r="LS14" s="25"/>
      <c r="LT14" s="25"/>
      <c r="LU14" s="25"/>
      <c r="LV14" s="25"/>
      <c r="LW14" s="25"/>
      <c r="LX14" s="25"/>
      <c r="LY14" s="25"/>
      <c r="LZ14" s="25"/>
      <c r="MA14" s="25"/>
      <c r="MB14" s="25"/>
      <c r="MC14" s="25"/>
      <c r="MD14" s="25"/>
      <c r="ME14" s="25"/>
      <c r="MF14" s="25"/>
      <c r="MG14" s="25"/>
      <c r="MH14" s="25"/>
      <c r="MI14" s="25"/>
      <c r="MJ14" s="25"/>
      <c r="MK14" s="25"/>
      <c r="ML14" s="25"/>
      <c r="MM14" s="25"/>
      <c r="MN14" s="25"/>
      <c r="MP14" s="25"/>
      <c r="MQ14" s="25"/>
      <c r="MR14" s="25"/>
      <c r="MS14" s="25"/>
      <c r="MT14" s="25"/>
      <c r="MU14" s="25"/>
      <c r="MV14" s="25"/>
      <c r="MW14" s="25"/>
      <c r="MX14" s="25"/>
      <c r="MY14" s="25"/>
      <c r="MZ14" s="25"/>
      <c r="NA14" s="25"/>
      <c r="NB14" s="25"/>
      <c r="NC14" s="25"/>
      <c r="ND14" s="25"/>
      <c r="NE14" s="25"/>
      <c r="NF14" s="25"/>
      <c r="NG14" s="25"/>
      <c r="NH14" s="25"/>
      <c r="NI14" s="25"/>
      <c r="NJ14" s="25"/>
      <c r="NK14" s="25"/>
      <c r="NL14" s="25"/>
      <c r="NM14" s="25"/>
      <c r="NN14" s="25"/>
      <c r="NO14" s="25"/>
      <c r="NP14" s="25"/>
      <c r="NQ14" s="25"/>
      <c r="NR14" s="25"/>
      <c r="NS14" s="25"/>
      <c r="NT14" s="25"/>
      <c r="NV14" s="25"/>
      <c r="NW14" s="25"/>
      <c r="NX14" s="25"/>
      <c r="NY14" s="25"/>
      <c r="NZ14" s="25"/>
      <c r="OA14" s="25"/>
      <c r="OB14" s="25"/>
      <c r="OC14" s="25"/>
      <c r="OD14" s="25"/>
      <c r="OE14" s="25"/>
      <c r="OF14" s="25"/>
      <c r="OG14" s="25"/>
      <c r="OH14" s="25"/>
      <c r="OI14" s="25"/>
      <c r="OJ14" s="25"/>
      <c r="OK14" s="25"/>
      <c r="OL14" s="25"/>
      <c r="OM14" s="25"/>
      <c r="ON14" s="25"/>
      <c r="OO14" s="25"/>
      <c r="OP14" s="25"/>
      <c r="OQ14" s="25"/>
      <c r="OR14" s="25"/>
      <c r="OS14" s="25"/>
      <c r="OT14" s="25"/>
      <c r="OU14" s="25"/>
      <c r="OV14" s="25"/>
      <c r="OW14" s="25"/>
      <c r="OX14" s="25"/>
      <c r="OY14" s="25"/>
      <c r="OZ14" s="25"/>
      <c r="PB14" s="29"/>
      <c r="PC14" s="29"/>
      <c r="PD14" s="29"/>
      <c r="PE14" s="29"/>
      <c r="PF14" s="29"/>
      <c r="PH14" s="29"/>
      <c r="PI14" s="29"/>
      <c r="PJ14" s="29"/>
      <c r="PK14" s="29"/>
      <c r="PM14" s="29"/>
      <c r="PN14" s="3"/>
      <c r="PO14" s="29"/>
      <c r="PP14" s="93"/>
      <c r="PQ14" s="29"/>
      <c r="PR14" s="3"/>
      <c r="PT14" s="29"/>
      <c r="PU14" s="3"/>
      <c r="PV14" s="29"/>
      <c r="PW14" s="3"/>
      <c r="PZ14" s="35"/>
      <c r="QA14" s="81"/>
      <c r="QB14" s="81"/>
    </row>
    <row r="15" spans="1:444">
      <c r="B15" s="3"/>
      <c r="D15" s="39" t="str">
        <f t="shared" si="12"/>
        <v>-/-</v>
      </c>
      <c r="F15" s="3"/>
      <c r="H15" s="118"/>
      <c r="J15" s="118"/>
      <c r="L15" s="118"/>
      <c r="N15" s="118"/>
      <c r="O15" s="118"/>
      <c r="P15" s="118"/>
      <c r="Q15" s="118"/>
      <c r="R15" s="118"/>
      <c r="S15" s="118"/>
      <c r="U15" s="118"/>
      <c r="V15" s="118"/>
      <c r="W15" s="118"/>
      <c r="X15" s="118"/>
      <c r="Z15" s="118"/>
      <c r="AB15" s="19"/>
      <c r="AC15" s="19"/>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W15" s="25"/>
      <c r="DX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C15" s="25"/>
      <c r="FD15" s="25"/>
      <c r="FE15" s="25"/>
      <c r="FF15" s="25"/>
      <c r="FG15" s="25"/>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I15" s="25"/>
      <c r="GJ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O15" s="23"/>
      <c r="HP15" s="23"/>
      <c r="HR15" s="25"/>
      <c r="HS15" s="25"/>
      <c r="HT15" s="25"/>
      <c r="HU15" s="25"/>
      <c r="HV15" s="25"/>
      <c r="HW15" s="25"/>
      <c r="HX15" s="25"/>
      <c r="HY15" s="25"/>
      <c r="HZ15" s="25"/>
      <c r="IA15" s="25"/>
      <c r="IB15" s="25"/>
      <c r="IC15" s="25"/>
      <c r="ID15" s="25"/>
      <c r="IE15" s="25"/>
      <c r="IF15" s="25"/>
      <c r="IG15" s="25"/>
      <c r="IH15" s="25"/>
      <c r="II15" s="25"/>
      <c r="IJ15" s="25"/>
      <c r="IK15" s="25"/>
      <c r="IL15" s="25"/>
      <c r="IM15" s="25"/>
      <c r="IN15" s="25"/>
      <c r="IO15" s="25"/>
      <c r="IP15" s="25"/>
      <c r="IQ15" s="25"/>
      <c r="IR15" s="25"/>
      <c r="IS15" s="25"/>
      <c r="IT15" s="25"/>
      <c r="IU15" s="25"/>
      <c r="IV15" s="25"/>
      <c r="IX15" s="25"/>
      <c r="IY15" s="25"/>
      <c r="IZ15" s="25"/>
      <c r="JA15" s="25"/>
      <c r="JB15" s="25"/>
      <c r="JC15" s="25"/>
      <c r="JD15" s="25"/>
      <c r="JE15" s="25"/>
      <c r="JF15" s="25"/>
      <c r="JG15" s="25"/>
      <c r="JH15" s="25"/>
      <c r="JI15" s="25"/>
      <c r="JJ15" s="25"/>
      <c r="JK15" s="25"/>
      <c r="JL15" s="25"/>
      <c r="JM15" s="25"/>
      <c r="JN15" s="25"/>
      <c r="JO15" s="25"/>
      <c r="JP15" s="25"/>
      <c r="JQ15" s="25"/>
      <c r="JR15" s="25"/>
      <c r="JS15" s="25"/>
      <c r="JT15" s="25"/>
      <c r="JU15" s="25"/>
      <c r="JV15" s="25"/>
      <c r="JW15" s="25"/>
      <c r="JX15" s="25"/>
      <c r="JY15" s="25"/>
      <c r="JZ15" s="25"/>
      <c r="KA15" s="25"/>
      <c r="KB15" s="25"/>
      <c r="KD15" s="25"/>
      <c r="KE15" s="25"/>
      <c r="KF15" s="25"/>
      <c r="KG15" s="25"/>
      <c r="KH15" s="25"/>
      <c r="KI15" s="25"/>
      <c r="KJ15" s="25"/>
      <c r="KK15" s="25"/>
      <c r="KL15" s="25"/>
      <c r="KM15" s="25"/>
      <c r="KN15" s="25"/>
      <c r="KO15" s="25"/>
      <c r="KP15" s="25"/>
      <c r="KQ15" s="25"/>
      <c r="KR15" s="25"/>
      <c r="KS15" s="25"/>
      <c r="KT15" s="25"/>
      <c r="KU15" s="25"/>
      <c r="KV15" s="25"/>
      <c r="KW15" s="25"/>
      <c r="KX15" s="25"/>
      <c r="KY15" s="25"/>
      <c r="KZ15" s="25"/>
      <c r="LA15" s="25"/>
      <c r="LB15" s="25"/>
      <c r="LC15" s="25"/>
      <c r="LD15" s="25"/>
      <c r="LE15" s="25"/>
      <c r="LF15" s="25"/>
      <c r="LG15" s="25"/>
      <c r="LH15" s="25"/>
      <c r="LJ15" s="25"/>
      <c r="LK15" s="25"/>
      <c r="LL15" s="25"/>
      <c r="LM15" s="25"/>
      <c r="LN15" s="25"/>
      <c r="LO15" s="25"/>
      <c r="LP15" s="25"/>
      <c r="LQ15" s="25"/>
      <c r="LR15" s="25"/>
      <c r="LS15" s="25"/>
      <c r="LT15" s="25"/>
      <c r="LU15" s="25"/>
      <c r="LV15" s="25"/>
      <c r="LW15" s="25"/>
      <c r="LX15" s="25"/>
      <c r="LY15" s="25"/>
      <c r="LZ15" s="25"/>
      <c r="MA15" s="25"/>
      <c r="MB15" s="25"/>
      <c r="MC15" s="25"/>
      <c r="MD15" s="25"/>
      <c r="ME15" s="25"/>
      <c r="MF15" s="25"/>
      <c r="MG15" s="25"/>
      <c r="MH15" s="25"/>
      <c r="MI15" s="25"/>
      <c r="MJ15" s="25"/>
      <c r="MK15" s="25"/>
      <c r="ML15" s="25"/>
      <c r="MM15" s="25"/>
      <c r="MN15" s="25"/>
      <c r="MP15" s="25"/>
      <c r="MQ15" s="25"/>
      <c r="MR15" s="25"/>
      <c r="MS15" s="25"/>
      <c r="MT15" s="25"/>
      <c r="MU15" s="25"/>
      <c r="MV15" s="25"/>
      <c r="MW15" s="25"/>
      <c r="MX15" s="25"/>
      <c r="MY15" s="25"/>
      <c r="MZ15" s="25"/>
      <c r="NA15" s="25"/>
      <c r="NB15" s="25"/>
      <c r="NC15" s="25"/>
      <c r="ND15" s="25"/>
      <c r="NE15" s="25"/>
      <c r="NF15" s="25"/>
      <c r="NG15" s="25"/>
      <c r="NH15" s="25"/>
      <c r="NI15" s="25"/>
      <c r="NJ15" s="25"/>
      <c r="NK15" s="25"/>
      <c r="NL15" s="25"/>
      <c r="NM15" s="25"/>
      <c r="NN15" s="25"/>
      <c r="NO15" s="25"/>
      <c r="NP15" s="25"/>
      <c r="NQ15" s="25"/>
      <c r="NR15" s="25"/>
      <c r="NS15" s="25"/>
      <c r="NT15" s="25"/>
      <c r="NV15" s="25"/>
      <c r="NW15" s="25"/>
      <c r="NX15" s="25"/>
      <c r="NY15" s="25"/>
      <c r="NZ15" s="25"/>
      <c r="OA15" s="25"/>
      <c r="OB15" s="25"/>
      <c r="OC15" s="25"/>
      <c r="OD15" s="25"/>
      <c r="OE15" s="25"/>
      <c r="OF15" s="25"/>
      <c r="OG15" s="25"/>
      <c r="OH15" s="25"/>
      <c r="OI15" s="25"/>
      <c r="OJ15" s="25"/>
      <c r="OK15" s="25"/>
      <c r="OL15" s="25"/>
      <c r="OM15" s="25"/>
      <c r="ON15" s="25"/>
      <c r="OO15" s="25"/>
      <c r="OP15" s="25"/>
      <c r="OQ15" s="25"/>
      <c r="OR15" s="25"/>
      <c r="OS15" s="25"/>
      <c r="OT15" s="25"/>
      <c r="OU15" s="25"/>
      <c r="OV15" s="25"/>
      <c r="OW15" s="25"/>
      <c r="OX15" s="25"/>
      <c r="OY15" s="25"/>
      <c r="OZ15" s="25"/>
      <c r="PB15" s="29"/>
      <c r="PC15" s="29"/>
      <c r="PD15" s="29"/>
      <c r="PE15" s="29"/>
      <c r="PF15" s="29"/>
      <c r="PH15" s="29"/>
      <c r="PI15" s="29"/>
      <c r="PJ15" s="29"/>
      <c r="PK15" s="29"/>
      <c r="PM15" s="29"/>
      <c r="PN15" s="3"/>
      <c r="PO15" s="29"/>
      <c r="PP15" s="93"/>
      <c r="PQ15" s="29"/>
      <c r="PR15" s="3"/>
      <c r="PT15" s="29"/>
      <c r="PU15" s="3"/>
      <c r="PV15" s="29"/>
      <c r="PW15" s="3"/>
      <c r="PZ15" s="35"/>
      <c r="QA15" s="81"/>
      <c r="QB15" s="81"/>
    </row>
    <row r="16" spans="1:444">
      <c r="B16" s="3"/>
      <c r="D16" s="39" t="str">
        <f t="shared" si="12"/>
        <v>-/-</v>
      </c>
      <c r="F16" s="3"/>
      <c r="H16" s="118"/>
      <c r="J16" s="118"/>
      <c r="L16" s="118"/>
      <c r="N16" s="118"/>
      <c r="O16" s="118"/>
      <c r="P16" s="118"/>
      <c r="Q16" s="118"/>
      <c r="R16" s="118"/>
      <c r="S16" s="118"/>
      <c r="U16" s="118"/>
      <c r="V16" s="118"/>
      <c r="W16" s="118"/>
      <c r="X16" s="118"/>
      <c r="Z16" s="118"/>
      <c r="AB16" s="19"/>
      <c r="AC16" s="19"/>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C16" s="25"/>
      <c r="FD16" s="25"/>
      <c r="FE16" s="25"/>
      <c r="FF16" s="25"/>
      <c r="FG16" s="25"/>
      <c r="FH16" s="25"/>
      <c r="FI16" s="25"/>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I16" s="25"/>
      <c r="GJ16" s="25"/>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O16" s="23"/>
      <c r="HP16" s="23"/>
      <c r="HR16" s="25"/>
      <c r="HS16" s="25"/>
      <c r="HT16" s="25"/>
      <c r="HU16" s="25"/>
      <c r="HV16" s="25"/>
      <c r="HW16" s="25"/>
      <c r="HX16" s="25"/>
      <c r="HY16" s="25"/>
      <c r="HZ16" s="25"/>
      <c r="IA16" s="25"/>
      <c r="IB16" s="25"/>
      <c r="IC16" s="25"/>
      <c r="ID16" s="25"/>
      <c r="IE16" s="25"/>
      <c r="IF16" s="25"/>
      <c r="IG16" s="25"/>
      <c r="IH16" s="25"/>
      <c r="II16" s="25"/>
      <c r="IJ16" s="25"/>
      <c r="IK16" s="25"/>
      <c r="IL16" s="25"/>
      <c r="IM16" s="25"/>
      <c r="IN16" s="25"/>
      <c r="IO16" s="25"/>
      <c r="IP16" s="25"/>
      <c r="IQ16" s="25"/>
      <c r="IR16" s="25"/>
      <c r="IS16" s="25"/>
      <c r="IT16" s="25"/>
      <c r="IU16" s="25"/>
      <c r="IV16" s="25"/>
      <c r="IX16" s="25"/>
      <c r="IY16" s="25"/>
      <c r="IZ16" s="25"/>
      <c r="JA16" s="25"/>
      <c r="JB16" s="25"/>
      <c r="JC16" s="25"/>
      <c r="JD16" s="25"/>
      <c r="JE16" s="25"/>
      <c r="JF16" s="25"/>
      <c r="JG16" s="25"/>
      <c r="JH16" s="25"/>
      <c r="JI16" s="25"/>
      <c r="JJ16" s="25"/>
      <c r="JK16" s="25"/>
      <c r="JL16" s="25"/>
      <c r="JM16" s="25"/>
      <c r="JN16" s="25"/>
      <c r="JO16" s="25"/>
      <c r="JP16" s="25"/>
      <c r="JQ16" s="25"/>
      <c r="JR16" s="25"/>
      <c r="JS16" s="25"/>
      <c r="JT16" s="25"/>
      <c r="JU16" s="25"/>
      <c r="JV16" s="25"/>
      <c r="JW16" s="25"/>
      <c r="JX16" s="25"/>
      <c r="JY16" s="25"/>
      <c r="JZ16" s="25"/>
      <c r="KA16" s="25"/>
      <c r="KB16" s="25"/>
      <c r="KD16" s="25"/>
      <c r="KE16" s="25"/>
      <c r="KF16" s="25"/>
      <c r="KG16" s="25"/>
      <c r="KH16" s="25"/>
      <c r="KI16" s="25"/>
      <c r="KJ16" s="25"/>
      <c r="KK16" s="25"/>
      <c r="KL16" s="25"/>
      <c r="KM16" s="25"/>
      <c r="KN16" s="25"/>
      <c r="KO16" s="25"/>
      <c r="KP16" s="25"/>
      <c r="KQ16" s="25"/>
      <c r="KR16" s="25"/>
      <c r="KS16" s="25"/>
      <c r="KT16" s="25"/>
      <c r="KU16" s="25"/>
      <c r="KV16" s="25"/>
      <c r="KW16" s="25"/>
      <c r="KX16" s="25"/>
      <c r="KY16" s="25"/>
      <c r="KZ16" s="25"/>
      <c r="LA16" s="25"/>
      <c r="LB16" s="25"/>
      <c r="LC16" s="25"/>
      <c r="LD16" s="25"/>
      <c r="LE16" s="25"/>
      <c r="LF16" s="25"/>
      <c r="LG16" s="25"/>
      <c r="LH16" s="25"/>
      <c r="LJ16" s="25"/>
      <c r="LK16" s="25"/>
      <c r="LL16" s="25"/>
      <c r="LM16" s="25"/>
      <c r="LN16" s="25"/>
      <c r="LO16" s="25"/>
      <c r="LP16" s="25"/>
      <c r="LQ16" s="25"/>
      <c r="LR16" s="25"/>
      <c r="LS16" s="25"/>
      <c r="LT16" s="25"/>
      <c r="LU16" s="25"/>
      <c r="LV16" s="25"/>
      <c r="LW16" s="25"/>
      <c r="LX16" s="25"/>
      <c r="LY16" s="25"/>
      <c r="LZ16" s="25"/>
      <c r="MA16" s="25"/>
      <c r="MB16" s="25"/>
      <c r="MC16" s="25"/>
      <c r="MD16" s="25"/>
      <c r="ME16" s="25"/>
      <c r="MF16" s="25"/>
      <c r="MG16" s="25"/>
      <c r="MH16" s="25"/>
      <c r="MI16" s="25"/>
      <c r="MJ16" s="25"/>
      <c r="MK16" s="25"/>
      <c r="ML16" s="25"/>
      <c r="MM16" s="25"/>
      <c r="MN16" s="25"/>
      <c r="MP16" s="25"/>
      <c r="MQ16" s="25"/>
      <c r="MR16" s="25"/>
      <c r="MS16" s="25"/>
      <c r="MT16" s="25"/>
      <c r="MU16" s="25"/>
      <c r="MV16" s="25"/>
      <c r="MW16" s="25"/>
      <c r="MX16" s="25"/>
      <c r="MY16" s="25"/>
      <c r="MZ16" s="25"/>
      <c r="NA16" s="25"/>
      <c r="NB16" s="25"/>
      <c r="NC16" s="25"/>
      <c r="ND16" s="25"/>
      <c r="NE16" s="25"/>
      <c r="NF16" s="25"/>
      <c r="NG16" s="25"/>
      <c r="NH16" s="25"/>
      <c r="NI16" s="25"/>
      <c r="NJ16" s="25"/>
      <c r="NK16" s="25"/>
      <c r="NL16" s="25"/>
      <c r="NM16" s="25"/>
      <c r="NN16" s="25"/>
      <c r="NO16" s="25"/>
      <c r="NP16" s="25"/>
      <c r="NQ16" s="25"/>
      <c r="NR16" s="25"/>
      <c r="NS16" s="25"/>
      <c r="NT16" s="25"/>
      <c r="NV16" s="25"/>
      <c r="NW16" s="25"/>
      <c r="NX16" s="25"/>
      <c r="NY16" s="25"/>
      <c r="NZ16" s="25"/>
      <c r="OA16" s="25"/>
      <c r="OB16" s="25"/>
      <c r="OC16" s="25"/>
      <c r="OD16" s="25"/>
      <c r="OE16" s="25"/>
      <c r="OF16" s="25"/>
      <c r="OG16" s="25"/>
      <c r="OH16" s="25"/>
      <c r="OI16" s="25"/>
      <c r="OJ16" s="25"/>
      <c r="OK16" s="25"/>
      <c r="OL16" s="25"/>
      <c r="OM16" s="25"/>
      <c r="ON16" s="25"/>
      <c r="OO16" s="25"/>
      <c r="OP16" s="25"/>
      <c r="OQ16" s="25"/>
      <c r="OR16" s="25"/>
      <c r="OS16" s="25"/>
      <c r="OT16" s="25"/>
      <c r="OU16" s="25"/>
      <c r="OV16" s="25"/>
      <c r="OW16" s="25"/>
      <c r="OX16" s="25"/>
      <c r="OY16" s="25"/>
      <c r="OZ16" s="25"/>
      <c r="PB16" s="29"/>
      <c r="PC16" s="29"/>
      <c r="PD16" s="29"/>
      <c r="PE16" s="29"/>
      <c r="PF16" s="29"/>
      <c r="PH16" s="29"/>
      <c r="PI16" s="29"/>
      <c r="PJ16" s="29"/>
      <c r="PK16" s="29"/>
      <c r="PM16" s="29"/>
      <c r="PN16" s="3"/>
      <c r="PO16" s="29"/>
      <c r="PP16" s="93"/>
      <c r="PQ16" s="29"/>
      <c r="PR16" s="3"/>
      <c r="PT16" s="29"/>
      <c r="PU16" s="3"/>
      <c r="PV16" s="29"/>
      <c r="PW16" s="3"/>
      <c r="PZ16" s="35"/>
      <c r="QA16" s="81"/>
      <c r="QB16" s="81"/>
    </row>
    <row r="17" spans="2:444">
      <c r="B17" s="3"/>
      <c r="D17" s="39" t="str">
        <f t="shared" si="12"/>
        <v>-/-</v>
      </c>
      <c r="F17" s="3"/>
      <c r="H17" s="118"/>
      <c r="J17" s="118"/>
      <c r="L17" s="118"/>
      <c r="N17" s="118"/>
      <c r="O17" s="118"/>
      <c r="P17" s="118"/>
      <c r="Q17" s="118"/>
      <c r="R17" s="118"/>
      <c r="S17" s="118"/>
      <c r="U17" s="118"/>
      <c r="V17" s="118"/>
      <c r="W17" s="118"/>
      <c r="X17" s="118"/>
      <c r="Z17" s="118"/>
      <c r="AB17" s="19"/>
      <c r="AC17" s="19"/>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Q17" s="25"/>
      <c r="CR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W17" s="25"/>
      <c r="DX17" s="25"/>
      <c r="DY17" s="25"/>
      <c r="DZ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C17" s="25"/>
      <c r="FD17" s="25"/>
      <c r="FE17" s="25"/>
      <c r="FF17" s="25"/>
      <c r="FG17" s="25"/>
      <c r="FH17" s="25"/>
      <c r="FI17" s="25"/>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I17" s="25"/>
      <c r="GJ17" s="25"/>
      <c r="GK17" s="25"/>
      <c r="GL17" s="25"/>
      <c r="GM17" s="25"/>
      <c r="GN17" s="25"/>
      <c r="GO17" s="25"/>
      <c r="GP17" s="25"/>
      <c r="GQ17" s="25"/>
      <c r="GR17" s="25"/>
      <c r="GS17" s="25"/>
      <c r="GT17" s="25"/>
      <c r="GU17" s="25"/>
      <c r="GV17" s="25"/>
      <c r="GW17" s="25"/>
      <c r="GX17" s="25"/>
      <c r="GY17" s="25"/>
      <c r="GZ17" s="25"/>
      <c r="HA17" s="25"/>
      <c r="HB17" s="25"/>
      <c r="HC17" s="25"/>
      <c r="HD17" s="25"/>
      <c r="HE17" s="25"/>
      <c r="HF17" s="25"/>
      <c r="HG17" s="25"/>
      <c r="HH17" s="25"/>
      <c r="HI17" s="25"/>
      <c r="HJ17" s="25"/>
      <c r="HK17" s="25"/>
      <c r="HL17" s="25"/>
      <c r="HM17" s="25"/>
      <c r="HO17" s="23"/>
      <c r="HP17" s="23"/>
      <c r="HR17" s="25"/>
      <c r="HS17" s="25"/>
      <c r="HT17" s="25"/>
      <c r="HU17" s="25"/>
      <c r="HV17" s="25"/>
      <c r="HW17" s="25"/>
      <c r="HX17" s="25"/>
      <c r="HY17" s="25"/>
      <c r="HZ17" s="25"/>
      <c r="IA17" s="25"/>
      <c r="IB17" s="25"/>
      <c r="IC17" s="25"/>
      <c r="ID17" s="25"/>
      <c r="IE17" s="25"/>
      <c r="IF17" s="25"/>
      <c r="IG17" s="25"/>
      <c r="IH17" s="25"/>
      <c r="II17" s="25"/>
      <c r="IJ17" s="25"/>
      <c r="IK17" s="25"/>
      <c r="IL17" s="25"/>
      <c r="IM17" s="25"/>
      <c r="IN17" s="25"/>
      <c r="IO17" s="25"/>
      <c r="IP17" s="25"/>
      <c r="IQ17" s="25"/>
      <c r="IR17" s="25"/>
      <c r="IS17" s="25"/>
      <c r="IT17" s="25"/>
      <c r="IU17" s="25"/>
      <c r="IV17" s="25"/>
      <c r="IX17" s="25"/>
      <c r="IY17" s="25"/>
      <c r="IZ17" s="25"/>
      <c r="JA17" s="25"/>
      <c r="JB17" s="25"/>
      <c r="JC17" s="25"/>
      <c r="JD17" s="25"/>
      <c r="JE17" s="25"/>
      <c r="JF17" s="25"/>
      <c r="JG17" s="25"/>
      <c r="JH17" s="25"/>
      <c r="JI17" s="25"/>
      <c r="JJ17" s="25"/>
      <c r="JK17" s="25"/>
      <c r="JL17" s="25"/>
      <c r="JM17" s="25"/>
      <c r="JN17" s="25"/>
      <c r="JO17" s="25"/>
      <c r="JP17" s="25"/>
      <c r="JQ17" s="25"/>
      <c r="JR17" s="25"/>
      <c r="JS17" s="25"/>
      <c r="JT17" s="25"/>
      <c r="JU17" s="25"/>
      <c r="JV17" s="25"/>
      <c r="JW17" s="25"/>
      <c r="JX17" s="25"/>
      <c r="JY17" s="25"/>
      <c r="JZ17" s="25"/>
      <c r="KA17" s="25"/>
      <c r="KB17" s="25"/>
      <c r="KD17" s="25"/>
      <c r="KE17" s="25"/>
      <c r="KF17" s="25"/>
      <c r="KG17" s="25"/>
      <c r="KH17" s="25"/>
      <c r="KI17" s="25"/>
      <c r="KJ17" s="25"/>
      <c r="KK17" s="25"/>
      <c r="KL17" s="25"/>
      <c r="KM17" s="25"/>
      <c r="KN17" s="25"/>
      <c r="KO17" s="25"/>
      <c r="KP17" s="25"/>
      <c r="KQ17" s="25"/>
      <c r="KR17" s="25"/>
      <c r="KS17" s="25"/>
      <c r="KT17" s="25"/>
      <c r="KU17" s="25"/>
      <c r="KV17" s="25"/>
      <c r="KW17" s="25"/>
      <c r="KX17" s="25"/>
      <c r="KY17" s="25"/>
      <c r="KZ17" s="25"/>
      <c r="LA17" s="25"/>
      <c r="LB17" s="25"/>
      <c r="LC17" s="25"/>
      <c r="LD17" s="25"/>
      <c r="LE17" s="25"/>
      <c r="LF17" s="25"/>
      <c r="LG17" s="25"/>
      <c r="LH17" s="25"/>
      <c r="LJ17" s="25"/>
      <c r="LK17" s="25"/>
      <c r="LL17" s="25"/>
      <c r="LM17" s="25"/>
      <c r="LN17" s="25"/>
      <c r="LO17" s="25"/>
      <c r="LP17" s="25"/>
      <c r="LQ17" s="25"/>
      <c r="LR17" s="25"/>
      <c r="LS17" s="25"/>
      <c r="LT17" s="25"/>
      <c r="LU17" s="25"/>
      <c r="LV17" s="25"/>
      <c r="LW17" s="25"/>
      <c r="LX17" s="25"/>
      <c r="LY17" s="25"/>
      <c r="LZ17" s="25"/>
      <c r="MA17" s="25"/>
      <c r="MB17" s="25"/>
      <c r="MC17" s="25"/>
      <c r="MD17" s="25"/>
      <c r="ME17" s="25"/>
      <c r="MF17" s="25"/>
      <c r="MG17" s="25"/>
      <c r="MH17" s="25"/>
      <c r="MI17" s="25"/>
      <c r="MJ17" s="25"/>
      <c r="MK17" s="25"/>
      <c r="ML17" s="25"/>
      <c r="MM17" s="25"/>
      <c r="MN17" s="25"/>
      <c r="MP17" s="25"/>
      <c r="MQ17" s="25"/>
      <c r="MR17" s="25"/>
      <c r="MS17" s="25"/>
      <c r="MT17" s="25"/>
      <c r="MU17" s="25"/>
      <c r="MV17" s="25"/>
      <c r="MW17" s="25"/>
      <c r="MX17" s="25"/>
      <c r="MY17" s="25"/>
      <c r="MZ17" s="25"/>
      <c r="NA17" s="25"/>
      <c r="NB17" s="25"/>
      <c r="NC17" s="25"/>
      <c r="ND17" s="25"/>
      <c r="NE17" s="25"/>
      <c r="NF17" s="25"/>
      <c r="NG17" s="25"/>
      <c r="NH17" s="25"/>
      <c r="NI17" s="25"/>
      <c r="NJ17" s="25"/>
      <c r="NK17" s="25"/>
      <c r="NL17" s="25"/>
      <c r="NM17" s="25"/>
      <c r="NN17" s="25"/>
      <c r="NO17" s="25"/>
      <c r="NP17" s="25"/>
      <c r="NQ17" s="25"/>
      <c r="NR17" s="25"/>
      <c r="NS17" s="25"/>
      <c r="NT17" s="25"/>
      <c r="NV17" s="25"/>
      <c r="NW17" s="25"/>
      <c r="NX17" s="25"/>
      <c r="NY17" s="25"/>
      <c r="NZ17" s="25"/>
      <c r="OA17" s="25"/>
      <c r="OB17" s="25"/>
      <c r="OC17" s="25"/>
      <c r="OD17" s="25"/>
      <c r="OE17" s="25"/>
      <c r="OF17" s="25"/>
      <c r="OG17" s="25"/>
      <c r="OH17" s="25"/>
      <c r="OI17" s="25"/>
      <c r="OJ17" s="25"/>
      <c r="OK17" s="25"/>
      <c r="OL17" s="25"/>
      <c r="OM17" s="25"/>
      <c r="ON17" s="25"/>
      <c r="OO17" s="25"/>
      <c r="OP17" s="25"/>
      <c r="OQ17" s="25"/>
      <c r="OR17" s="25"/>
      <c r="OS17" s="25"/>
      <c r="OT17" s="25"/>
      <c r="OU17" s="25"/>
      <c r="OV17" s="25"/>
      <c r="OW17" s="25"/>
      <c r="OX17" s="25"/>
      <c r="OY17" s="25"/>
      <c r="OZ17" s="25"/>
      <c r="PB17" s="29"/>
      <c r="PC17" s="29"/>
      <c r="PD17" s="29"/>
      <c r="PE17" s="29"/>
      <c r="PF17" s="29"/>
      <c r="PH17" s="29"/>
      <c r="PI17" s="29"/>
      <c r="PJ17" s="29"/>
      <c r="PK17" s="29"/>
      <c r="PM17" s="29"/>
      <c r="PN17" s="3"/>
      <c r="PO17" s="29"/>
      <c r="PP17" s="93"/>
      <c r="PQ17" s="29"/>
      <c r="PR17" s="3"/>
      <c r="PT17" s="29"/>
      <c r="PU17" s="3"/>
      <c r="PV17" s="29"/>
      <c r="PW17" s="3"/>
      <c r="PZ17" s="35"/>
      <c r="QA17" s="81"/>
      <c r="QB17" s="81"/>
    </row>
    <row r="18" spans="2:444">
      <c r="B18" s="3"/>
      <c r="D18" s="39" t="str">
        <f t="shared" si="12"/>
        <v>-/-</v>
      </c>
      <c r="F18" s="3"/>
      <c r="H18" s="118"/>
      <c r="J18" s="118"/>
      <c r="L18" s="118"/>
      <c r="N18" s="118"/>
      <c r="O18" s="118"/>
      <c r="P18" s="118"/>
      <c r="Q18" s="118"/>
      <c r="R18" s="118"/>
      <c r="S18" s="118"/>
      <c r="U18" s="118"/>
      <c r="V18" s="118"/>
      <c r="W18" s="118"/>
      <c r="X18" s="118"/>
      <c r="Z18" s="118"/>
      <c r="AB18" s="19"/>
      <c r="AC18" s="19"/>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O18" s="23"/>
      <c r="HP18" s="23"/>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X18" s="25"/>
      <c r="IY18" s="25"/>
      <c r="IZ18" s="25"/>
      <c r="JA18" s="25"/>
      <c r="JB18" s="25"/>
      <c r="JC18" s="25"/>
      <c r="JD18" s="25"/>
      <c r="JE18" s="25"/>
      <c r="JF18" s="25"/>
      <c r="JG18" s="25"/>
      <c r="JH18" s="25"/>
      <c r="JI18" s="25"/>
      <c r="JJ18" s="25"/>
      <c r="JK18" s="25"/>
      <c r="JL18" s="25"/>
      <c r="JM18" s="25"/>
      <c r="JN18" s="25"/>
      <c r="JO18" s="25"/>
      <c r="JP18" s="25"/>
      <c r="JQ18" s="25"/>
      <c r="JR18" s="25"/>
      <c r="JS18" s="25"/>
      <c r="JT18" s="25"/>
      <c r="JU18" s="25"/>
      <c r="JV18" s="25"/>
      <c r="JW18" s="25"/>
      <c r="JX18" s="25"/>
      <c r="JY18" s="25"/>
      <c r="JZ18" s="25"/>
      <c r="KA18" s="25"/>
      <c r="KB18" s="25"/>
      <c r="KD18" s="25"/>
      <c r="KE18" s="25"/>
      <c r="KF18" s="25"/>
      <c r="KG18" s="25"/>
      <c r="KH18" s="25"/>
      <c r="KI18" s="25"/>
      <c r="KJ18" s="25"/>
      <c r="KK18" s="25"/>
      <c r="KL18" s="25"/>
      <c r="KM18" s="25"/>
      <c r="KN18" s="25"/>
      <c r="KO18" s="25"/>
      <c r="KP18" s="25"/>
      <c r="KQ18" s="25"/>
      <c r="KR18" s="25"/>
      <c r="KS18" s="25"/>
      <c r="KT18" s="25"/>
      <c r="KU18" s="25"/>
      <c r="KV18" s="25"/>
      <c r="KW18" s="25"/>
      <c r="KX18" s="25"/>
      <c r="KY18" s="25"/>
      <c r="KZ18" s="25"/>
      <c r="LA18" s="25"/>
      <c r="LB18" s="25"/>
      <c r="LC18" s="25"/>
      <c r="LD18" s="25"/>
      <c r="LE18" s="25"/>
      <c r="LF18" s="25"/>
      <c r="LG18" s="25"/>
      <c r="LH18" s="25"/>
      <c r="LJ18" s="25"/>
      <c r="LK18" s="25"/>
      <c r="LL18" s="25"/>
      <c r="LM18" s="25"/>
      <c r="LN18" s="25"/>
      <c r="LO18" s="25"/>
      <c r="LP18" s="25"/>
      <c r="LQ18" s="25"/>
      <c r="LR18" s="25"/>
      <c r="LS18" s="25"/>
      <c r="LT18" s="25"/>
      <c r="LU18" s="25"/>
      <c r="LV18" s="25"/>
      <c r="LW18" s="25"/>
      <c r="LX18" s="25"/>
      <c r="LY18" s="25"/>
      <c r="LZ18" s="25"/>
      <c r="MA18" s="25"/>
      <c r="MB18" s="25"/>
      <c r="MC18" s="25"/>
      <c r="MD18" s="25"/>
      <c r="ME18" s="25"/>
      <c r="MF18" s="25"/>
      <c r="MG18" s="25"/>
      <c r="MH18" s="25"/>
      <c r="MI18" s="25"/>
      <c r="MJ18" s="25"/>
      <c r="MK18" s="25"/>
      <c r="ML18" s="25"/>
      <c r="MM18" s="25"/>
      <c r="MN18" s="25"/>
      <c r="MP18" s="25"/>
      <c r="MQ18" s="25"/>
      <c r="MR18" s="25"/>
      <c r="MS18" s="25"/>
      <c r="MT18" s="25"/>
      <c r="MU18" s="25"/>
      <c r="MV18" s="25"/>
      <c r="MW18" s="25"/>
      <c r="MX18" s="25"/>
      <c r="MY18" s="25"/>
      <c r="MZ18" s="25"/>
      <c r="NA18" s="25"/>
      <c r="NB18" s="25"/>
      <c r="NC18" s="25"/>
      <c r="ND18" s="25"/>
      <c r="NE18" s="25"/>
      <c r="NF18" s="25"/>
      <c r="NG18" s="25"/>
      <c r="NH18" s="25"/>
      <c r="NI18" s="25"/>
      <c r="NJ18" s="25"/>
      <c r="NK18" s="25"/>
      <c r="NL18" s="25"/>
      <c r="NM18" s="25"/>
      <c r="NN18" s="25"/>
      <c r="NO18" s="25"/>
      <c r="NP18" s="25"/>
      <c r="NQ18" s="25"/>
      <c r="NR18" s="25"/>
      <c r="NS18" s="25"/>
      <c r="NT18" s="25"/>
      <c r="NV18" s="25"/>
      <c r="NW18" s="25"/>
      <c r="NX18" s="25"/>
      <c r="NY18" s="25"/>
      <c r="NZ18" s="25"/>
      <c r="OA18" s="25"/>
      <c r="OB18" s="25"/>
      <c r="OC18" s="25"/>
      <c r="OD18" s="25"/>
      <c r="OE18" s="25"/>
      <c r="OF18" s="25"/>
      <c r="OG18" s="25"/>
      <c r="OH18" s="25"/>
      <c r="OI18" s="25"/>
      <c r="OJ18" s="25"/>
      <c r="OK18" s="25"/>
      <c r="OL18" s="25"/>
      <c r="OM18" s="25"/>
      <c r="ON18" s="25"/>
      <c r="OO18" s="25"/>
      <c r="OP18" s="25"/>
      <c r="OQ18" s="25"/>
      <c r="OR18" s="25"/>
      <c r="OS18" s="25"/>
      <c r="OT18" s="25"/>
      <c r="OU18" s="25"/>
      <c r="OV18" s="25"/>
      <c r="OW18" s="25"/>
      <c r="OX18" s="25"/>
      <c r="OY18" s="25"/>
      <c r="OZ18" s="25"/>
      <c r="PB18" s="29"/>
      <c r="PC18" s="29"/>
      <c r="PD18" s="29"/>
      <c r="PE18" s="29"/>
      <c r="PF18" s="29"/>
      <c r="PH18" s="29"/>
      <c r="PI18" s="29"/>
      <c r="PJ18" s="29"/>
      <c r="PK18" s="29"/>
      <c r="PM18" s="29"/>
      <c r="PN18" s="3"/>
      <c r="PO18" s="29"/>
      <c r="PP18" s="93"/>
      <c r="PQ18" s="29"/>
      <c r="PR18" s="3"/>
      <c r="PT18" s="29"/>
      <c r="PU18" s="3"/>
      <c r="PV18" s="29"/>
      <c r="PW18" s="3"/>
      <c r="PZ18" s="35"/>
      <c r="QA18" s="81"/>
      <c r="QB18" s="81"/>
    </row>
    <row r="19" spans="2:444">
      <c r="B19" s="3"/>
      <c r="D19" s="39" t="str">
        <f t="shared" si="12"/>
        <v>-/-</v>
      </c>
      <c r="F19" s="3"/>
      <c r="H19" s="118"/>
      <c r="J19" s="118"/>
      <c r="L19" s="118"/>
      <c r="N19" s="118"/>
      <c r="O19" s="118"/>
      <c r="P19" s="118"/>
      <c r="Q19" s="118"/>
      <c r="R19" s="118"/>
      <c r="S19" s="118"/>
      <c r="U19" s="118"/>
      <c r="V19" s="118"/>
      <c r="W19" s="118"/>
      <c r="X19" s="118"/>
      <c r="Z19" s="118"/>
      <c r="AB19" s="19"/>
      <c r="AC19" s="19"/>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Q19" s="25"/>
      <c r="CR19" s="25"/>
      <c r="CS19" s="25"/>
      <c r="CT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W19" s="25"/>
      <c r="DX19" s="25"/>
      <c r="DY19" s="25"/>
      <c r="DZ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C19" s="25"/>
      <c r="FD19" s="25"/>
      <c r="FE19" s="25"/>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I19" s="25"/>
      <c r="GJ19" s="25"/>
      <c r="GK19" s="25"/>
      <c r="GL19" s="25"/>
      <c r="GM19" s="25"/>
      <c r="GN19" s="25"/>
      <c r="GO19" s="25"/>
      <c r="GP19" s="25"/>
      <c r="GQ19" s="25"/>
      <c r="GR19" s="25"/>
      <c r="GS19" s="25"/>
      <c r="GT19" s="25"/>
      <c r="GU19" s="25"/>
      <c r="GV19" s="25"/>
      <c r="GW19" s="25"/>
      <c r="GX19" s="25"/>
      <c r="GY19" s="25"/>
      <c r="GZ19" s="25"/>
      <c r="HA19" s="25"/>
      <c r="HB19" s="25"/>
      <c r="HC19" s="25"/>
      <c r="HD19" s="25"/>
      <c r="HE19" s="25"/>
      <c r="HF19" s="25"/>
      <c r="HG19" s="25"/>
      <c r="HH19" s="25"/>
      <c r="HI19" s="25"/>
      <c r="HJ19" s="25"/>
      <c r="HK19" s="25"/>
      <c r="HL19" s="25"/>
      <c r="HM19" s="25"/>
      <c r="HO19" s="23"/>
      <c r="HP19" s="23"/>
      <c r="HR19" s="25"/>
      <c r="HS19" s="25"/>
      <c r="HT19" s="25"/>
      <c r="HU19" s="25"/>
      <c r="HV19" s="25"/>
      <c r="HW19" s="25"/>
      <c r="HX19" s="25"/>
      <c r="HY19" s="25"/>
      <c r="HZ19" s="25"/>
      <c r="IA19" s="25"/>
      <c r="IB19" s="25"/>
      <c r="IC19" s="25"/>
      <c r="ID19" s="25"/>
      <c r="IE19" s="25"/>
      <c r="IF19" s="25"/>
      <c r="IG19" s="25"/>
      <c r="IH19" s="25"/>
      <c r="II19" s="25"/>
      <c r="IJ19" s="25"/>
      <c r="IK19" s="25"/>
      <c r="IL19" s="25"/>
      <c r="IM19" s="25"/>
      <c r="IN19" s="25"/>
      <c r="IO19" s="25"/>
      <c r="IP19" s="25"/>
      <c r="IQ19" s="25"/>
      <c r="IR19" s="25"/>
      <c r="IS19" s="25"/>
      <c r="IT19" s="25"/>
      <c r="IU19" s="25"/>
      <c r="IV19" s="25"/>
      <c r="IX19" s="25"/>
      <c r="IY19" s="25"/>
      <c r="IZ19" s="25"/>
      <c r="JA19" s="25"/>
      <c r="JB19" s="25"/>
      <c r="JC19" s="25"/>
      <c r="JD19" s="25"/>
      <c r="JE19" s="25"/>
      <c r="JF19" s="25"/>
      <c r="JG19" s="25"/>
      <c r="JH19" s="25"/>
      <c r="JI19" s="25"/>
      <c r="JJ19" s="25"/>
      <c r="JK19" s="25"/>
      <c r="JL19" s="25"/>
      <c r="JM19" s="25"/>
      <c r="JN19" s="25"/>
      <c r="JO19" s="25"/>
      <c r="JP19" s="25"/>
      <c r="JQ19" s="25"/>
      <c r="JR19" s="25"/>
      <c r="JS19" s="25"/>
      <c r="JT19" s="25"/>
      <c r="JU19" s="25"/>
      <c r="JV19" s="25"/>
      <c r="JW19" s="25"/>
      <c r="JX19" s="25"/>
      <c r="JY19" s="25"/>
      <c r="JZ19" s="25"/>
      <c r="KA19" s="25"/>
      <c r="KB19" s="25"/>
      <c r="KD19" s="25"/>
      <c r="KE19" s="25"/>
      <c r="KF19" s="25"/>
      <c r="KG19" s="25"/>
      <c r="KH19" s="25"/>
      <c r="KI19" s="25"/>
      <c r="KJ19" s="25"/>
      <c r="KK19" s="25"/>
      <c r="KL19" s="25"/>
      <c r="KM19" s="25"/>
      <c r="KN19" s="25"/>
      <c r="KO19" s="25"/>
      <c r="KP19" s="25"/>
      <c r="KQ19" s="25"/>
      <c r="KR19" s="25"/>
      <c r="KS19" s="25"/>
      <c r="KT19" s="25"/>
      <c r="KU19" s="25"/>
      <c r="KV19" s="25"/>
      <c r="KW19" s="25"/>
      <c r="KX19" s="25"/>
      <c r="KY19" s="25"/>
      <c r="KZ19" s="25"/>
      <c r="LA19" s="25"/>
      <c r="LB19" s="25"/>
      <c r="LC19" s="25"/>
      <c r="LD19" s="25"/>
      <c r="LE19" s="25"/>
      <c r="LF19" s="25"/>
      <c r="LG19" s="25"/>
      <c r="LH19" s="25"/>
      <c r="LJ19" s="25"/>
      <c r="LK19" s="25"/>
      <c r="LL19" s="25"/>
      <c r="LM19" s="25"/>
      <c r="LN19" s="25"/>
      <c r="LO19" s="25"/>
      <c r="LP19" s="25"/>
      <c r="LQ19" s="25"/>
      <c r="LR19" s="25"/>
      <c r="LS19" s="25"/>
      <c r="LT19" s="25"/>
      <c r="LU19" s="25"/>
      <c r="LV19" s="25"/>
      <c r="LW19" s="25"/>
      <c r="LX19" s="25"/>
      <c r="LY19" s="25"/>
      <c r="LZ19" s="25"/>
      <c r="MA19" s="25"/>
      <c r="MB19" s="25"/>
      <c r="MC19" s="25"/>
      <c r="MD19" s="25"/>
      <c r="ME19" s="25"/>
      <c r="MF19" s="25"/>
      <c r="MG19" s="25"/>
      <c r="MH19" s="25"/>
      <c r="MI19" s="25"/>
      <c r="MJ19" s="25"/>
      <c r="MK19" s="25"/>
      <c r="ML19" s="25"/>
      <c r="MM19" s="25"/>
      <c r="MN19" s="25"/>
      <c r="MP19" s="25"/>
      <c r="MQ19" s="25"/>
      <c r="MR19" s="25"/>
      <c r="MS19" s="25"/>
      <c r="MT19" s="25"/>
      <c r="MU19" s="25"/>
      <c r="MV19" s="25"/>
      <c r="MW19" s="25"/>
      <c r="MX19" s="25"/>
      <c r="MY19" s="25"/>
      <c r="MZ19" s="25"/>
      <c r="NA19" s="25"/>
      <c r="NB19" s="25"/>
      <c r="NC19" s="25"/>
      <c r="ND19" s="25"/>
      <c r="NE19" s="25"/>
      <c r="NF19" s="25"/>
      <c r="NG19" s="25"/>
      <c r="NH19" s="25"/>
      <c r="NI19" s="25"/>
      <c r="NJ19" s="25"/>
      <c r="NK19" s="25"/>
      <c r="NL19" s="25"/>
      <c r="NM19" s="25"/>
      <c r="NN19" s="25"/>
      <c r="NO19" s="25"/>
      <c r="NP19" s="25"/>
      <c r="NQ19" s="25"/>
      <c r="NR19" s="25"/>
      <c r="NS19" s="25"/>
      <c r="NT19" s="25"/>
      <c r="NV19" s="25"/>
      <c r="NW19" s="25"/>
      <c r="NX19" s="25"/>
      <c r="NY19" s="25"/>
      <c r="NZ19" s="25"/>
      <c r="OA19" s="25"/>
      <c r="OB19" s="25"/>
      <c r="OC19" s="25"/>
      <c r="OD19" s="25"/>
      <c r="OE19" s="25"/>
      <c r="OF19" s="25"/>
      <c r="OG19" s="25"/>
      <c r="OH19" s="25"/>
      <c r="OI19" s="25"/>
      <c r="OJ19" s="25"/>
      <c r="OK19" s="25"/>
      <c r="OL19" s="25"/>
      <c r="OM19" s="25"/>
      <c r="ON19" s="25"/>
      <c r="OO19" s="25"/>
      <c r="OP19" s="25"/>
      <c r="OQ19" s="25"/>
      <c r="OR19" s="25"/>
      <c r="OS19" s="25"/>
      <c r="OT19" s="25"/>
      <c r="OU19" s="25"/>
      <c r="OV19" s="25"/>
      <c r="OW19" s="25"/>
      <c r="OX19" s="25"/>
      <c r="OY19" s="25"/>
      <c r="OZ19" s="25"/>
      <c r="PB19" s="29"/>
      <c r="PC19" s="29"/>
      <c r="PD19" s="29"/>
      <c r="PE19" s="29"/>
      <c r="PF19" s="29"/>
      <c r="PH19" s="29"/>
      <c r="PI19" s="29"/>
      <c r="PJ19" s="29"/>
      <c r="PK19" s="29"/>
      <c r="PM19" s="29"/>
      <c r="PN19" s="3"/>
      <c r="PO19" s="29"/>
      <c r="PP19" s="93"/>
      <c r="PQ19" s="29"/>
      <c r="PR19" s="3"/>
      <c r="PT19" s="29"/>
      <c r="PU19" s="3"/>
      <c r="PV19" s="29"/>
      <c r="PW19" s="3"/>
      <c r="PZ19" s="35"/>
      <c r="QA19" s="81"/>
      <c r="QB19" s="81"/>
    </row>
    <row r="20" spans="2:444">
      <c r="B20" s="3"/>
      <c r="D20" s="39" t="str">
        <f t="shared" si="12"/>
        <v>-/-</v>
      </c>
      <c r="F20" s="3"/>
      <c r="H20" s="118"/>
      <c r="J20" s="118"/>
      <c r="L20" s="118"/>
      <c r="N20" s="118"/>
      <c r="O20" s="118"/>
      <c r="P20" s="118"/>
      <c r="Q20" s="118"/>
      <c r="R20" s="118"/>
      <c r="S20" s="118"/>
      <c r="U20" s="118"/>
      <c r="V20" s="118"/>
      <c r="W20" s="118"/>
      <c r="X20" s="118"/>
      <c r="Z20" s="118"/>
      <c r="AB20" s="19"/>
      <c r="AC20" s="19"/>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Q20" s="25"/>
      <c r="CR20" s="25"/>
      <c r="CS20" s="25"/>
      <c r="CT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W20" s="25"/>
      <c r="DX20" s="25"/>
      <c r="DY20" s="25"/>
      <c r="DZ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C20" s="25"/>
      <c r="FD20" s="25"/>
      <c r="FE20" s="25"/>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I20" s="25"/>
      <c r="GJ20" s="25"/>
      <c r="GK20" s="25"/>
      <c r="GL20" s="25"/>
      <c r="GM20" s="25"/>
      <c r="GN20" s="25"/>
      <c r="GO20" s="25"/>
      <c r="GP20" s="25"/>
      <c r="GQ20" s="25"/>
      <c r="GR20" s="25"/>
      <c r="GS20" s="25"/>
      <c r="GT20" s="25"/>
      <c r="GU20" s="25"/>
      <c r="GV20" s="25"/>
      <c r="GW20" s="25"/>
      <c r="GX20" s="25"/>
      <c r="GY20" s="25"/>
      <c r="GZ20" s="25"/>
      <c r="HA20" s="25"/>
      <c r="HB20" s="25"/>
      <c r="HC20" s="25"/>
      <c r="HD20" s="25"/>
      <c r="HE20" s="25"/>
      <c r="HF20" s="25"/>
      <c r="HG20" s="25"/>
      <c r="HH20" s="25"/>
      <c r="HI20" s="25"/>
      <c r="HJ20" s="25"/>
      <c r="HK20" s="25"/>
      <c r="HL20" s="25"/>
      <c r="HM20" s="25"/>
      <c r="HO20" s="23"/>
      <c r="HP20" s="23"/>
      <c r="HR20" s="25"/>
      <c r="HS20" s="25"/>
      <c r="HT20" s="25"/>
      <c r="HU20" s="25"/>
      <c r="HV20" s="25"/>
      <c r="HW20" s="25"/>
      <c r="HX20" s="25"/>
      <c r="HY20" s="25"/>
      <c r="HZ20" s="25"/>
      <c r="IA20" s="25"/>
      <c r="IB20" s="25"/>
      <c r="IC20" s="25"/>
      <c r="ID20" s="25"/>
      <c r="IE20" s="25"/>
      <c r="IF20" s="25"/>
      <c r="IG20" s="25"/>
      <c r="IH20" s="25"/>
      <c r="II20" s="25"/>
      <c r="IJ20" s="25"/>
      <c r="IK20" s="25"/>
      <c r="IL20" s="25"/>
      <c r="IM20" s="25"/>
      <c r="IN20" s="25"/>
      <c r="IO20" s="25"/>
      <c r="IP20" s="25"/>
      <c r="IQ20" s="25"/>
      <c r="IR20" s="25"/>
      <c r="IS20" s="25"/>
      <c r="IT20" s="25"/>
      <c r="IU20" s="25"/>
      <c r="IV20" s="25"/>
      <c r="IX20" s="25"/>
      <c r="IY20" s="25"/>
      <c r="IZ20" s="25"/>
      <c r="JA20" s="25"/>
      <c r="JB20" s="25"/>
      <c r="JC20" s="25"/>
      <c r="JD20" s="25"/>
      <c r="JE20" s="25"/>
      <c r="JF20" s="25"/>
      <c r="JG20" s="25"/>
      <c r="JH20" s="25"/>
      <c r="JI20" s="25"/>
      <c r="JJ20" s="25"/>
      <c r="JK20" s="25"/>
      <c r="JL20" s="25"/>
      <c r="JM20" s="25"/>
      <c r="JN20" s="25"/>
      <c r="JO20" s="25"/>
      <c r="JP20" s="25"/>
      <c r="JQ20" s="25"/>
      <c r="JR20" s="25"/>
      <c r="JS20" s="25"/>
      <c r="JT20" s="25"/>
      <c r="JU20" s="25"/>
      <c r="JV20" s="25"/>
      <c r="JW20" s="25"/>
      <c r="JX20" s="25"/>
      <c r="JY20" s="25"/>
      <c r="JZ20" s="25"/>
      <c r="KA20" s="25"/>
      <c r="KB20" s="25"/>
      <c r="KD20" s="25"/>
      <c r="KE20" s="25"/>
      <c r="KF20" s="25"/>
      <c r="KG20" s="25"/>
      <c r="KH20" s="25"/>
      <c r="KI20" s="25"/>
      <c r="KJ20" s="25"/>
      <c r="KK20" s="25"/>
      <c r="KL20" s="25"/>
      <c r="KM20" s="25"/>
      <c r="KN20" s="25"/>
      <c r="KO20" s="25"/>
      <c r="KP20" s="25"/>
      <c r="KQ20" s="25"/>
      <c r="KR20" s="25"/>
      <c r="KS20" s="25"/>
      <c r="KT20" s="25"/>
      <c r="KU20" s="25"/>
      <c r="KV20" s="25"/>
      <c r="KW20" s="25"/>
      <c r="KX20" s="25"/>
      <c r="KY20" s="25"/>
      <c r="KZ20" s="25"/>
      <c r="LA20" s="25"/>
      <c r="LB20" s="25"/>
      <c r="LC20" s="25"/>
      <c r="LD20" s="25"/>
      <c r="LE20" s="25"/>
      <c r="LF20" s="25"/>
      <c r="LG20" s="25"/>
      <c r="LH20" s="25"/>
      <c r="LJ20" s="25"/>
      <c r="LK20" s="25"/>
      <c r="LL20" s="25"/>
      <c r="LM20" s="25"/>
      <c r="LN20" s="25"/>
      <c r="LO20" s="25"/>
      <c r="LP20" s="25"/>
      <c r="LQ20" s="25"/>
      <c r="LR20" s="25"/>
      <c r="LS20" s="25"/>
      <c r="LT20" s="25"/>
      <c r="LU20" s="25"/>
      <c r="LV20" s="25"/>
      <c r="LW20" s="25"/>
      <c r="LX20" s="25"/>
      <c r="LY20" s="25"/>
      <c r="LZ20" s="25"/>
      <c r="MA20" s="25"/>
      <c r="MB20" s="25"/>
      <c r="MC20" s="25"/>
      <c r="MD20" s="25"/>
      <c r="ME20" s="25"/>
      <c r="MF20" s="25"/>
      <c r="MG20" s="25"/>
      <c r="MH20" s="25"/>
      <c r="MI20" s="25"/>
      <c r="MJ20" s="25"/>
      <c r="MK20" s="25"/>
      <c r="ML20" s="25"/>
      <c r="MM20" s="25"/>
      <c r="MN20" s="25"/>
      <c r="MP20" s="25"/>
      <c r="MQ20" s="25"/>
      <c r="MR20" s="25"/>
      <c r="MS20" s="25"/>
      <c r="MT20" s="25"/>
      <c r="MU20" s="25"/>
      <c r="MV20" s="25"/>
      <c r="MW20" s="25"/>
      <c r="MX20" s="25"/>
      <c r="MY20" s="25"/>
      <c r="MZ20" s="25"/>
      <c r="NA20" s="25"/>
      <c r="NB20" s="25"/>
      <c r="NC20" s="25"/>
      <c r="ND20" s="25"/>
      <c r="NE20" s="25"/>
      <c r="NF20" s="25"/>
      <c r="NG20" s="25"/>
      <c r="NH20" s="25"/>
      <c r="NI20" s="25"/>
      <c r="NJ20" s="25"/>
      <c r="NK20" s="25"/>
      <c r="NL20" s="25"/>
      <c r="NM20" s="25"/>
      <c r="NN20" s="25"/>
      <c r="NO20" s="25"/>
      <c r="NP20" s="25"/>
      <c r="NQ20" s="25"/>
      <c r="NR20" s="25"/>
      <c r="NS20" s="25"/>
      <c r="NT20" s="25"/>
      <c r="NV20" s="25"/>
      <c r="NW20" s="25"/>
      <c r="NX20" s="25"/>
      <c r="NY20" s="25"/>
      <c r="NZ20" s="25"/>
      <c r="OA20" s="25"/>
      <c r="OB20" s="25"/>
      <c r="OC20" s="25"/>
      <c r="OD20" s="25"/>
      <c r="OE20" s="25"/>
      <c r="OF20" s="25"/>
      <c r="OG20" s="25"/>
      <c r="OH20" s="25"/>
      <c r="OI20" s="25"/>
      <c r="OJ20" s="25"/>
      <c r="OK20" s="25"/>
      <c r="OL20" s="25"/>
      <c r="OM20" s="25"/>
      <c r="ON20" s="25"/>
      <c r="OO20" s="25"/>
      <c r="OP20" s="25"/>
      <c r="OQ20" s="25"/>
      <c r="OR20" s="25"/>
      <c r="OS20" s="25"/>
      <c r="OT20" s="25"/>
      <c r="OU20" s="25"/>
      <c r="OV20" s="25"/>
      <c r="OW20" s="25"/>
      <c r="OX20" s="25"/>
      <c r="OY20" s="25"/>
      <c r="OZ20" s="25"/>
      <c r="PB20" s="29"/>
      <c r="PC20" s="29"/>
      <c r="PD20" s="29"/>
      <c r="PE20" s="29"/>
      <c r="PF20" s="29"/>
      <c r="PH20" s="29"/>
      <c r="PI20" s="29"/>
      <c r="PJ20" s="29"/>
      <c r="PK20" s="29"/>
      <c r="PM20" s="29"/>
      <c r="PN20" s="3"/>
      <c r="PO20" s="29"/>
      <c r="PP20" s="93"/>
      <c r="PQ20" s="29"/>
      <c r="PR20" s="3"/>
      <c r="PT20" s="29"/>
      <c r="PU20" s="3"/>
      <c r="PV20" s="29"/>
      <c r="PW20" s="3"/>
      <c r="PZ20" s="35"/>
      <c r="QA20" s="81"/>
      <c r="QB20" s="81"/>
    </row>
    <row r="21" spans="2:444">
      <c r="B21" s="3"/>
      <c r="D21" s="39" t="str">
        <f t="shared" si="12"/>
        <v>-/-</v>
      </c>
      <c r="F21" s="3"/>
      <c r="H21" s="118"/>
      <c r="J21" s="118"/>
      <c r="L21" s="118"/>
      <c r="N21" s="118"/>
      <c r="O21" s="118"/>
      <c r="P21" s="118"/>
      <c r="Q21" s="118"/>
      <c r="R21" s="118"/>
      <c r="S21" s="118"/>
      <c r="U21" s="118"/>
      <c r="V21" s="118"/>
      <c r="W21" s="118"/>
      <c r="X21" s="118"/>
      <c r="Z21" s="118"/>
      <c r="AB21" s="19"/>
      <c r="AC21" s="19"/>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Q21" s="25"/>
      <c r="CR21" s="25"/>
      <c r="CS21" s="25"/>
      <c r="CT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W21" s="25"/>
      <c r="DX21" s="25"/>
      <c r="DY21" s="25"/>
      <c r="DZ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25"/>
      <c r="FC21" s="25"/>
      <c r="FD21" s="25"/>
      <c r="FE21" s="25"/>
      <c r="FF21" s="25"/>
      <c r="FG21" s="25"/>
      <c r="FH21" s="25"/>
      <c r="FI21" s="25"/>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I21" s="25"/>
      <c r="GJ21" s="25"/>
      <c r="GK21" s="25"/>
      <c r="GL21" s="25"/>
      <c r="GM21" s="25"/>
      <c r="GN21" s="25"/>
      <c r="GO21" s="25"/>
      <c r="GP21" s="25"/>
      <c r="GQ21" s="25"/>
      <c r="GR21" s="25"/>
      <c r="GS21" s="25"/>
      <c r="GT21" s="25"/>
      <c r="GU21" s="25"/>
      <c r="GV21" s="25"/>
      <c r="GW21" s="25"/>
      <c r="GX21" s="25"/>
      <c r="GY21" s="25"/>
      <c r="GZ21" s="25"/>
      <c r="HA21" s="25"/>
      <c r="HB21" s="25"/>
      <c r="HC21" s="25"/>
      <c r="HD21" s="25"/>
      <c r="HE21" s="25"/>
      <c r="HF21" s="25"/>
      <c r="HG21" s="25"/>
      <c r="HH21" s="25"/>
      <c r="HI21" s="25"/>
      <c r="HJ21" s="25"/>
      <c r="HK21" s="25"/>
      <c r="HL21" s="25"/>
      <c r="HM21" s="25"/>
      <c r="HO21" s="23"/>
      <c r="HP21" s="23"/>
      <c r="HR21" s="25"/>
      <c r="HS21" s="25"/>
      <c r="HT21" s="25"/>
      <c r="HU21" s="25"/>
      <c r="HV21" s="25"/>
      <c r="HW21" s="25"/>
      <c r="HX21" s="25"/>
      <c r="HY21" s="25"/>
      <c r="HZ21" s="25"/>
      <c r="IA21" s="25"/>
      <c r="IB21" s="25"/>
      <c r="IC21" s="25"/>
      <c r="ID21" s="25"/>
      <c r="IE21" s="25"/>
      <c r="IF21" s="25"/>
      <c r="IG21" s="25"/>
      <c r="IH21" s="25"/>
      <c r="II21" s="25"/>
      <c r="IJ21" s="25"/>
      <c r="IK21" s="25"/>
      <c r="IL21" s="25"/>
      <c r="IM21" s="25"/>
      <c r="IN21" s="25"/>
      <c r="IO21" s="25"/>
      <c r="IP21" s="25"/>
      <c r="IQ21" s="25"/>
      <c r="IR21" s="25"/>
      <c r="IS21" s="25"/>
      <c r="IT21" s="25"/>
      <c r="IU21" s="25"/>
      <c r="IV21" s="25"/>
      <c r="IX21" s="25"/>
      <c r="IY21" s="25"/>
      <c r="IZ21" s="25"/>
      <c r="JA21" s="25"/>
      <c r="JB21" s="25"/>
      <c r="JC21" s="25"/>
      <c r="JD21" s="25"/>
      <c r="JE21" s="25"/>
      <c r="JF21" s="25"/>
      <c r="JG21" s="25"/>
      <c r="JH21" s="25"/>
      <c r="JI21" s="25"/>
      <c r="JJ21" s="25"/>
      <c r="JK21" s="25"/>
      <c r="JL21" s="25"/>
      <c r="JM21" s="25"/>
      <c r="JN21" s="25"/>
      <c r="JO21" s="25"/>
      <c r="JP21" s="25"/>
      <c r="JQ21" s="25"/>
      <c r="JR21" s="25"/>
      <c r="JS21" s="25"/>
      <c r="JT21" s="25"/>
      <c r="JU21" s="25"/>
      <c r="JV21" s="25"/>
      <c r="JW21" s="25"/>
      <c r="JX21" s="25"/>
      <c r="JY21" s="25"/>
      <c r="JZ21" s="25"/>
      <c r="KA21" s="25"/>
      <c r="KB21" s="25"/>
      <c r="KD21" s="25"/>
      <c r="KE21" s="25"/>
      <c r="KF21" s="25"/>
      <c r="KG21" s="25"/>
      <c r="KH21" s="25"/>
      <c r="KI21" s="25"/>
      <c r="KJ21" s="25"/>
      <c r="KK21" s="25"/>
      <c r="KL21" s="25"/>
      <c r="KM21" s="25"/>
      <c r="KN21" s="25"/>
      <c r="KO21" s="25"/>
      <c r="KP21" s="25"/>
      <c r="KQ21" s="25"/>
      <c r="KR21" s="25"/>
      <c r="KS21" s="25"/>
      <c r="KT21" s="25"/>
      <c r="KU21" s="25"/>
      <c r="KV21" s="25"/>
      <c r="KW21" s="25"/>
      <c r="KX21" s="25"/>
      <c r="KY21" s="25"/>
      <c r="KZ21" s="25"/>
      <c r="LA21" s="25"/>
      <c r="LB21" s="25"/>
      <c r="LC21" s="25"/>
      <c r="LD21" s="25"/>
      <c r="LE21" s="25"/>
      <c r="LF21" s="25"/>
      <c r="LG21" s="25"/>
      <c r="LH21" s="25"/>
      <c r="LJ21" s="25"/>
      <c r="LK21" s="25"/>
      <c r="LL21" s="25"/>
      <c r="LM21" s="25"/>
      <c r="LN21" s="25"/>
      <c r="LO21" s="25"/>
      <c r="LP21" s="25"/>
      <c r="LQ21" s="25"/>
      <c r="LR21" s="25"/>
      <c r="LS21" s="25"/>
      <c r="LT21" s="25"/>
      <c r="LU21" s="25"/>
      <c r="LV21" s="25"/>
      <c r="LW21" s="25"/>
      <c r="LX21" s="25"/>
      <c r="LY21" s="25"/>
      <c r="LZ21" s="25"/>
      <c r="MA21" s="25"/>
      <c r="MB21" s="25"/>
      <c r="MC21" s="25"/>
      <c r="MD21" s="25"/>
      <c r="ME21" s="25"/>
      <c r="MF21" s="25"/>
      <c r="MG21" s="25"/>
      <c r="MH21" s="25"/>
      <c r="MI21" s="25"/>
      <c r="MJ21" s="25"/>
      <c r="MK21" s="25"/>
      <c r="ML21" s="25"/>
      <c r="MM21" s="25"/>
      <c r="MN21" s="25"/>
      <c r="MP21" s="25"/>
      <c r="MQ21" s="25"/>
      <c r="MR21" s="25"/>
      <c r="MS21" s="25"/>
      <c r="MT21" s="25"/>
      <c r="MU21" s="25"/>
      <c r="MV21" s="25"/>
      <c r="MW21" s="25"/>
      <c r="MX21" s="25"/>
      <c r="MY21" s="25"/>
      <c r="MZ21" s="25"/>
      <c r="NA21" s="25"/>
      <c r="NB21" s="25"/>
      <c r="NC21" s="25"/>
      <c r="ND21" s="25"/>
      <c r="NE21" s="25"/>
      <c r="NF21" s="25"/>
      <c r="NG21" s="25"/>
      <c r="NH21" s="25"/>
      <c r="NI21" s="25"/>
      <c r="NJ21" s="25"/>
      <c r="NK21" s="25"/>
      <c r="NL21" s="25"/>
      <c r="NM21" s="25"/>
      <c r="NN21" s="25"/>
      <c r="NO21" s="25"/>
      <c r="NP21" s="25"/>
      <c r="NQ21" s="25"/>
      <c r="NR21" s="25"/>
      <c r="NS21" s="25"/>
      <c r="NT21" s="25"/>
      <c r="NV21" s="25"/>
      <c r="NW21" s="25"/>
      <c r="NX21" s="25"/>
      <c r="NY21" s="25"/>
      <c r="NZ21" s="25"/>
      <c r="OA21" s="25"/>
      <c r="OB21" s="25"/>
      <c r="OC21" s="25"/>
      <c r="OD21" s="25"/>
      <c r="OE21" s="25"/>
      <c r="OF21" s="25"/>
      <c r="OG21" s="25"/>
      <c r="OH21" s="25"/>
      <c r="OI21" s="25"/>
      <c r="OJ21" s="25"/>
      <c r="OK21" s="25"/>
      <c r="OL21" s="25"/>
      <c r="OM21" s="25"/>
      <c r="ON21" s="25"/>
      <c r="OO21" s="25"/>
      <c r="OP21" s="25"/>
      <c r="OQ21" s="25"/>
      <c r="OR21" s="25"/>
      <c r="OS21" s="25"/>
      <c r="OT21" s="25"/>
      <c r="OU21" s="25"/>
      <c r="OV21" s="25"/>
      <c r="OW21" s="25"/>
      <c r="OX21" s="25"/>
      <c r="OY21" s="25"/>
      <c r="OZ21" s="25"/>
      <c r="PB21" s="29"/>
      <c r="PC21" s="29"/>
      <c r="PD21" s="29"/>
      <c r="PE21" s="29"/>
      <c r="PF21" s="29"/>
      <c r="PH21" s="29"/>
      <c r="PI21" s="29"/>
      <c r="PJ21" s="29"/>
      <c r="PK21" s="29"/>
      <c r="PM21" s="29"/>
      <c r="PN21" s="3"/>
      <c r="PO21" s="29"/>
      <c r="PP21" s="93"/>
      <c r="PQ21" s="29"/>
      <c r="PR21" s="3"/>
      <c r="PT21" s="29"/>
      <c r="PU21" s="3"/>
      <c r="PV21" s="29"/>
      <c r="PW21" s="3"/>
      <c r="PZ21" s="35"/>
      <c r="QA21" s="81"/>
      <c r="QB21" s="81"/>
    </row>
    <row r="22" spans="2:444">
      <c r="B22" s="3"/>
      <c r="D22" s="39" t="str">
        <f t="shared" si="12"/>
        <v>-/-</v>
      </c>
      <c r="F22" s="3"/>
      <c r="H22" s="118"/>
      <c r="J22" s="118"/>
      <c r="L22" s="118"/>
      <c r="N22" s="118"/>
      <c r="O22" s="118"/>
      <c r="P22" s="118"/>
      <c r="Q22" s="118"/>
      <c r="R22" s="118"/>
      <c r="S22" s="118"/>
      <c r="U22" s="118"/>
      <c r="V22" s="118"/>
      <c r="W22" s="118"/>
      <c r="X22" s="118"/>
      <c r="Z22" s="118"/>
      <c r="AB22" s="19"/>
      <c r="AC22" s="19"/>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Q22" s="25"/>
      <c r="CR22" s="25"/>
      <c r="CS22" s="25"/>
      <c r="CT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W22" s="25"/>
      <c r="DX22" s="25"/>
      <c r="DY22" s="25"/>
      <c r="DZ22" s="25"/>
      <c r="EA22" s="25"/>
      <c r="EB22" s="25"/>
      <c r="EC22" s="25"/>
      <c r="ED22" s="25"/>
      <c r="EE22" s="25"/>
      <c r="EF22" s="25"/>
      <c r="EG22" s="25"/>
      <c r="EH22" s="25"/>
      <c r="EI22" s="25"/>
      <c r="EJ22" s="25"/>
      <c r="EK22" s="25"/>
      <c r="EL22" s="25"/>
      <c r="EM22" s="25"/>
      <c r="EN22" s="25"/>
      <c r="EO22" s="25"/>
      <c r="EP22" s="25"/>
      <c r="EQ22" s="25"/>
      <c r="ER22" s="25"/>
      <c r="ES22" s="25"/>
      <c r="ET22" s="25"/>
      <c r="EU22" s="25"/>
      <c r="EV22" s="25"/>
      <c r="EW22" s="25"/>
      <c r="EX22" s="25"/>
      <c r="EY22" s="25"/>
      <c r="EZ22" s="25"/>
      <c r="FA22" s="25"/>
      <c r="FC22" s="25"/>
      <c r="FD22" s="25"/>
      <c r="FE22" s="25"/>
      <c r="FF22" s="25"/>
      <c r="FG22" s="25"/>
      <c r="FH22" s="25"/>
      <c r="FI22" s="25"/>
      <c r="FJ22" s="25"/>
      <c r="FK22" s="25"/>
      <c r="FL22" s="25"/>
      <c r="FM22" s="25"/>
      <c r="FN22" s="25"/>
      <c r="FO22" s="25"/>
      <c r="FP22" s="25"/>
      <c r="FQ22" s="25"/>
      <c r="FR22" s="25"/>
      <c r="FS22" s="25"/>
      <c r="FT22" s="25"/>
      <c r="FU22" s="25"/>
      <c r="FV22" s="25"/>
      <c r="FW22" s="25"/>
      <c r="FX22" s="25"/>
      <c r="FY22" s="25"/>
      <c r="FZ22" s="25"/>
      <c r="GA22" s="25"/>
      <c r="GB22" s="25"/>
      <c r="GC22" s="25"/>
      <c r="GD22" s="25"/>
      <c r="GE22" s="25"/>
      <c r="GF22" s="25"/>
      <c r="GG22" s="25"/>
      <c r="GI22" s="25"/>
      <c r="GJ22" s="25"/>
      <c r="GK22" s="25"/>
      <c r="GL22" s="25"/>
      <c r="GM22" s="25"/>
      <c r="GN22" s="25"/>
      <c r="GO22" s="25"/>
      <c r="GP22" s="25"/>
      <c r="GQ22" s="25"/>
      <c r="GR22" s="25"/>
      <c r="GS22" s="25"/>
      <c r="GT22" s="25"/>
      <c r="GU22" s="25"/>
      <c r="GV22" s="25"/>
      <c r="GW22" s="25"/>
      <c r="GX22" s="25"/>
      <c r="GY22" s="25"/>
      <c r="GZ22" s="25"/>
      <c r="HA22" s="25"/>
      <c r="HB22" s="25"/>
      <c r="HC22" s="25"/>
      <c r="HD22" s="25"/>
      <c r="HE22" s="25"/>
      <c r="HF22" s="25"/>
      <c r="HG22" s="25"/>
      <c r="HH22" s="25"/>
      <c r="HI22" s="25"/>
      <c r="HJ22" s="25"/>
      <c r="HK22" s="25"/>
      <c r="HL22" s="25"/>
      <c r="HM22" s="25"/>
      <c r="HO22" s="23"/>
      <c r="HP22" s="23"/>
      <c r="HR22" s="25"/>
      <c r="HS22" s="25"/>
      <c r="HT22" s="25"/>
      <c r="HU22" s="25"/>
      <c r="HV22" s="25"/>
      <c r="HW22" s="25"/>
      <c r="HX22" s="25"/>
      <c r="HY22" s="25"/>
      <c r="HZ22" s="25"/>
      <c r="IA22" s="25"/>
      <c r="IB22" s="25"/>
      <c r="IC22" s="25"/>
      <c r="ID22" s="25"/>
      <c r="IE22" s="25"/>
      <c r="IF22" s="25"/>
      <c r="IG22" s="25"/>
      <c r="IH22" s="25"/>
      <c r="II22" s="25"/>
      <c r="IJ22" s="25"/>
      <c r="IK22" s="25"/>
      <c r="IL22" s="25"/>
      <c r="IM22" s="25"/>
      <c r="IN22" s="25"/>
      <c r="IO22" s="25"/>
      <c r="IP22" s="25"/>
      <c r="IQ22" s="25"/>
      <c r="IR22" s="25"/>
      <c r="IS22" s="25"/>
      <c r="IT22" s="25"/>
      <c r="IU22" s="25"/>
      <c r="IV22" s="25"/>
      <c r="IX22" s="25"/>
      <c r="IY22" s="25"/>
      <c r="IZ22" s="25"/>
      <c r="JA22" s="25"/>
      <c r="JB22" s="25"/>
      <c r="JC22" s="25"/>
      <c r="JD22" s="25"/>
      <c r="JE22" s="25"/>
      <c r="JF22" s="25"/>
      <c r="JG22" s="25"/>
      <c r="JH22" s="25"/>
      <c r="JI22" s="25"/>
      <c r="JJ22" s="25"/>
      <c r="JK22" s="25"/>
      <c r="JL22" s="25"/>
      <c r="JM22" s="25"/>
      <c r="JN22" s="25"/>
      <c r="JO22" s="25"/>
      <c r="JP22" s="25"/>
      <c r="JQ22" s="25"/>
      <c r="JR22" s="25"/>
      <c r="JS22" s="25"/>
      <c r="JT22" s="25"/>
      <c r="JU22" s="25"/>
      <c r="JV22" s="25"/>
      <c r="JW22" s="25"/>
      <c r="JX22" s="25"/>
      <c r="JY22" s="25"/>
      <c r="JZ22" s="25"/>
      <c r="KA22" s="25"/>
      <c r="KB22" s="25"/>
      <c r="KD22" s="25"/>
      <c r="KE22" s="25"/>
      <c r="KF22" s="25"/>
      <c r="KG22" s="25"/>
      <c r="KH22" s="25"/>
      <c r="KI22" s="25"/>
      <c r="KJ22" s="25"/>
      <c r="KK22" s="25"/>
      <c r="KL22" s="25"/>
      <c r="KM22" s="25"/>
      <c r="KN22" s="25"/>
      <c r="KO22" s="25"/>
      <c r="KP22" s="25"/>
      <c r="KQ22" s="25"/>
      <c r="KR22" s="25"/>
      <c r="KS22" s="25"/>
      <c r="KT22" s="25"/>
      <c r="KU22" s="25"/>
      <c r="KV22" s="25"/>
      <c r="KW22" s="25"/>
      <c r="KX22" s="25"/>
      <c r="KY22" s="25"/>
      <c r="KZ22" s="25"/>
      <c r="LA22" s="25"/>
      <c r="LB22" s="25"/>
      <c r="LC22" s="25"/>
      <c r="LD22" s="25"/>
      <c r="LE22" s="25"/>
      <c r="LF22" s="25"/>
      <c r="LG22" s="25"/>
      <c r="LH22" s="25"/>
      <c r="LJ22" s="25"/>
      <c r="LK22" s="25"/>
      <c r="LL22" s="25"/>
      <c r="LM22" s="25"/>
      <c r="LN22" s="25"/>
      <c r="LO22" s="25"/>
      <c r="LP22" s="25"/>
      <c r="LQ22" s="25"/>
      <c r="LR22" s="25"/>
      <c r="LS22" s="25"/>
      <c r="LT22" s="25"/>
      <c r="LU22" s="25"/>
      <c r="LV22" s="25"/>
      <c r="LW22" s="25"/>
      <c r="LX22" s="25"/>
      <c r="LY22" s="25"/>
      <c r="LZ22" s="25"/>
      <c r="MA22" s="25"/>
      <c r="MB22" s="25"/>
      <c r="MC22" s="25"/>
      <c r="MD22" s="25"/>
      <c r="ME22" s="25"/>
      <c r="MF22" s="25"/>
      <c r="MG22" s="25"/>
      <c r="MH22" s="25"/>
      <c r="MI22" s="25"/>
      <c r="MJ22" s="25"/>
      <c r="MK22" s="25"/>
      <c r="ML22" s="25"/>
      <c r="MM22" s="25"/>
      <c r="MN22" s="25"/>
      <c r="MP22" s="25"/>
      <c r="MQ22" s="25"/>
      <c r="MR22" s="25"/>
      <c r="MS22" s="25"/>
      <c r="MT22" s="25"/>
      <c r="MU22" s="25"/>
      <c r="MV22" s="25"/>
      <c r="MW22" s="25"/>
      <c r="MX22" s="25"/>
      <c r="MY22" s="25"/>
      <c r="MZ22" s="25"/>
      <c r="NA22" s="25"/>
      <c r="NB22" s="25"/>
      <c r="NC22" s="25"/>
      <c r="ND22" s="25"/>
      <c r="NE22" s="25"/>
      <c r="NF22" s="25"/>
      <c r="NG22" s="25"/>
      <c r="NH22" s="25"/>
      <c r="NI22" s="25"/>
      <c r="NJ22" s="25"/>
      <c r="NK22" s="25"/>
      <c r="NL22" s="25"/>
      <c r="NM22" s="25"/>
      <c r="NN22" s="25"/>
      <c r="NO22" s="25"/>
      <c r="NP22" s="25"/>
      <c r="NQ22" s="25"/>
      <c r="NR22" s="25"/>
      <c r="NS22" s="25"/>
      <c r="NT22" s="25"/>
      <c r="NV22" s="25"/>
      <c r="NW22" s="25"/>
      <c r="NX22" s="25"/>
      <c r="NY22" s="25"/>
      <c r="NZ22" s="25"/>
      <c r="OA22" s="25"/>
      <c r="OB22" s="25"/>
      <c r="OC22" s="25"/>
      <c r="OD22" s="25"/>
      <c r="OE22" s="25"/>
      <c r="OF22" s="25"/>
      <c r="OG22" s="25"/>
      <c r="OH22" s="25"/>
      <c r="OI22" s="25"/>
      <c r="OJ22" s="25"/>
      <c r="OK22" s="25"/>
      <c r="OL22" s="25"/>
      <c r="OM22" s="25"/>
      <c r="ON22" s="25"/>
      <c r="OO22" s="25"/>
      <c r="OP22" s="25"/>
      <c r="OQ22" s="25"/>
      <c r="OR22" s="25"/>
      <c r="OS22" s="25"/>
      <c r="OT22" s="25"/>
      <c r="OU22" s="25"/>
      <c r="OV22" s="25"/>
      <c r="OW22" s="25"/>
      <c r="OX22" s="25"/>
      <c r="OY22" s="25"/>
      <c r="OZ22" s="25"/>
      <c r="PB22" s="29"/>
      <c r="PC22" s="29"/>
      <c r="PD22" s="29"/>
      <c r="PE22" s="29"/>
      <c r="PF22" s="29"/>
      <c r="PH22" s="29"/>
      <c r="PI22" s="29"/>
      <c r="PJ22" s="29"/>
      <c r="PK22" s="29"/>
      <c r="PM22" s="29"/>
      <c r="PN22" s="3"/>
      <c r="PO22" s="29"/>
      <c r="PP22" s="93"/>
      <c r="PQ22" s="29"/>
      <c r="PR22" s="3"/>
      <c r="PT22" s="29"/>
      <c r="PU22" s="3"/>
      <c r="PV22" s="29"/>
      <c r="PW22" s="3"/>
      <c r="PZ22" s="35"/>
      <c r="QA22" s="81"/>
      <c r="QB22" s="81"/>
    </row>
    <row r="23" spans="2:444">
      <c r="B23" s="3"/>
      <c r="D23" s="39" t="str">
        <f t="shared" si="12"/>
        <v>-/-</v>
      </c>
      <c r="F23" s="3"/>
      <c r="H23" s="118"/>
      <c r="J23" s="118"/>
      <c r="L23" s="118"/>
      <c r="N23" s="118"/>
      <c r="O23" s="118"/>
      <c r="P23" s="118"/>
      <c r="Q23" s="118"/>
      <c r="R23" s="118"/>
      <c r="S23" s="118"/>
      <c r="U23" s="118"/>
      <c r="V23" s="118"/>
      <c r="W23" s="118"/>
      <c r="X23" s="118"/>
      <c r="Z23" s="118"/>
      <c r="AB23" s="19"/>
      <c r="AC23" s="19"/>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Q23" s="25"/>
      <c r="CR23" s="25"/>
      <c r="CS23" s="25"/>
      <c r="CT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W23" s="25"/>
      <c r="DX23" s="25"/>
      <c r="DY23" s="25"/>
      <c r="DZ23" s="25"/>
      <c r="EA23" s="25"/>
      <c r="EB23" s="25"/>
      <c r="EC23" s="25"/>
      <c r="ED23" s="25"/>
      <c r="EE23" s="25"/>
      <c r="EF23" s="25"/>
      <c r="EG23" s="25"/>
      <c r="EH23" s="25"/>
      <c r="EI23" s="25"/>
      <c r="EJ23" s="25"/>
      <c r="EK23" s="25"/>
      <c r="EL23" s="25"/>
      <c r="EM23" s="25"/>
      <c r="EN23" s="25"/>
      <c r="EO23" s="25"/>
      <c r="EP23" s="25"/>
      <c r="EQ23" s="25"/>
      <c r="ER23" s="25"/>
      <c r="ES23" s="25"/>
      <c r="ET23" s="25"/>
      <c r="EU23" s="25"/>
      <c r="EV23" s="25"/>
      <c r="EW23" s="25"/>
      <c r="EX23" s="25"/>
      <c r="EY23" s="25"/>
      <c r="EZ23" s="25"/>
      <c r="FA23" s="25"/>
      <c r="FC23" s="25"/>
      <c r="FD23" s="25"/>
      <c r="FE23" s="25"/>
      <c r="FF23" s="25"/>
      <c r="FG23" s="25"/>
      <c r="FH23" s="25"/>
      <c r="FI23" s="25"/>
      <c r="FJ23" s="25"/>
      <c r="FK23" s="25"/>
      <c r="FL23" s="25"/>
      <c r="FM23" s="25"/>
      <c r="FN23" s="25"/>
      <c r="FO23" s="25"/>
      <c r="FP23" s="25"/>
      <c r="FQ23" s="25"/>
      <c r="FR23" s="25"/>
      <c r="FS23" s="25"/>
      <c r="FT23" s="25"/>
      <c r="FU23" s="25"/>
      <c r="FV23" s="25"/>
      <c r="FW23" s="25"/>
      <c r="FX23" s="25"/>
      <c r="FY23" s="25"/>
      <c r="FZ23" s="25"/>
      <c r="GA23" s="25"/>
      <c r="GB23" s="25"/>
      <c r="GC23" s="25"/>
      <c r="GD23" s="25"/>
      <c r="GE23" s="25"/>
      <c r="GF23" s="25"/>
      <c r="GG23" s="25"/>
      <c r="GI23" s="25"/>
      <c r="GJ23" s="25"/>
      <c r="GK23" s="25"/>
      <c r="GL23" s="25"/>
      <c r="GM23" s="25"/>
      <c r="GN23" s="25"/>
      <c r="GO23" s="25"/>
      <c r="GP23" s="25"/>
      <c r="GQ23" s="25"/>
      <c r="GR23" s="25"/>
      <c r="GS23" s="25"/>
      <c r="GT23" s="25"/>
      <c r="GU23" s="25"/>
      <c r="GV23" s="25"/>
      <c r="GW23" s="25"/>
      <c r="GX23" s="25"/>
      <c r="GY23" s="25"/>
      <c r="GZ23" s="25"/>
      <c r="HA23" s="25"/>
      <c r="HB23" s="25"/>
      <c r="HC23" s="25"/>
      <c r="HD23" s="25"/>
      <c r="HE23" s="25"/>
      <c r="HF23" s="25"/>
      <c r="HG23" s="25"/>
      <c r="HH23" s="25"/>
      <c r="HI23" s="25"/>
      <c r="HJ23" s="25"/>
      <c r="HK23" s="25"/>
      <c r="HL23" s="25"/>
      <c r="HM23" s="25"/>
      <c r="HO23" s="23"/>
      <c r="HP23" s="23"/>
      <c r="HR23" s="25"/>
      <c r="HS23" s="25"/>
      <c r="HT23" s="25"/>
      <c r="HU23" s="25"/>
      <c r="HV23" s="25"/>
      <c r="HW23" s="25"/>
      <c r="HX23" s="25"/>
      <c r="HY23" s="25"/>
      <c r="HZ23" s="25"/>
      <c r="IA23" s="25"/>
      <c r="IB23" s="25"/>
      <c r="IC23" s="25"/>
      <c r="ID23" s="25"/>
      <c r="IE23" s="25"/>
      <c r="IF23" s="25"/>
      <c r="IG23" s="25"/>
      <c r="IH23" s="25"/>
      <c r="II23" s="25"/>
      <c r="IJ23" s="25"/>
      <c r="IK23" s="25"/>
      <c r="IL23" s="25"/>
      <c r="IM23" s="25"/>
      <c r="IN23" s="25"/>
      <c r="IO23" s="25"/>
      <c r="IP23" s="25"/>
      <c r="IQ23" s="25"/>
      <c r="IR23" s="25"/>
      <c r="IS23" s="25"/>
      <c r="IT23" s="25"/>
      <c r="IU23" s="25"/>
      <c r="IV23" s="25"/>
      <c r="IX23" s="25"/>
      <c r="IY23" s="25"/>
      <c r="IZ23" s="25"/>
      <c r="JA23" s="25"/>
      <c r="JB23" s="25"/>
      <c r="JC23" s="25"/>
      <c r="JD23" s="25"/>
      <c r="JE23" s="25"/>
      <c r="JF23" s="25"/>
      <c r="JG23" s="25"/>
      <c r="JH23" s="25"/>
      <c r="JI23" s="25"/>
      <c r="JJ23" s="25"/>
      <c r="JK23" s="25"/>
      <c r="JL23" s="25"/>
      <c r="JM23" s="25"/>
      <c r="JN23" s="25"/>
      <c r="JO23" s="25"/>
      <c r="JP23" s="25"/>
      <c r="JQ23" s="25"/>
      <c r="JR23" s="25"/>
      <c r="JS23" s="25"/>
      <c r="JT23" s="25"/>
      <c r="JU23" s="25"/>
      <c r="JV23" s="25"/>
      <c r="JW23" s="25"/>
      <c r="JX23" s="25"/>
      <c r="JY23" s="25"/>
      <c r="JZ23" s="25"/>
      <c r="KA23" s="25"/>
      <c r="KB23" s="25"/>
      <c r="KD23" s="25"/>
      <c r="KE23" s="25"/>
      <c r="KF23" s="25"/>
      <c r="KG23" s="25"/>
      <c r="KH23" s="25"/>
      <c r="KI23" s="25"/>
      <c r="KJ23" s="25"/>
      <c r="KK23" s="25"/>
      <c r="KL23" s="25"/>
      <c r="KM23" s="25"/>
      <c r="KN23" s="25"/>
      <c r="KO23" s="25"/>
      <c r="KP23" s="25"/>
      <c r="KQ23" s="25"/>
      <c r="KR23" s="25"/>
      <c r="KS23" s="25"/>
      <c r="KT23" s="25"/>
      <c r="KU23" s="25"/>
      <c r="KV23" s="25"/>
      <c r="KW23" s="25"/>
      <c r="KX23" s="25"/>
      <c r="KY23" s="25"/>
      <c r="KZ23" s="25"/>
      <c r="LA23" s="25"/>
      <c r="LB23" s="25"/>
      <c r="LC23" s="25"/>
      <c r="LD23" s="25"/>
      <c r="LE23" s="25"/>
      <c r="LF23" s="25"/>
      <c r="LG23" s="25"/>
      <c r="LH23" s="25"/>
      <c r="LJ23" s="25"/>
      <c r="LK23" s="25"/>
      <c r="LL23" s="25"/>
      <c r="LM23" s="25"/>
      <c r="LN23" s="25"/>
      <c r="LO23" s="25"/>
      <c r="LP23" s="25"/>
      <c r="LQ23" s="25"/>
      <c r="LR23" s="25"/>
      <c r="LS23" s="25"/>
      <c r="LT23" s="25"/>
      <c r="LU23" s="25"/>
      <c r="LV23" s="25"/>
      <c r="LW23" s="25"/>
      <c r="LX23" s="25"/>
      <c r="LY23" s="25"/>
      <c r="LZ23" s="25"/>
      <c r="MA23" s="25"/>
      <c r="MB23" s="25"/>
      <c r="MC23" s="25"/>
      <c r="MD23" s="25"/>
      <c r="ME23" s="25"/>
      <c r="MF23" s="25"/>
      <c r="MG23" s="25"/>
      <c r="MH23" s="25"/>
      <c r="MI23" s="25"/>
      <c r="MJ23" s="25"/>
      <c r="MK23" s="25"/>
      <c r="ML23" s="25"/>
      <c r="MM23" s="25"/>
      <c r="MN23" s="25"/>
      <c r="MP23" s="25"/>
      <c r="MQ23" s="25"/>
      <c r="MR23" s="25"/>
      <c r="MS23" s="25"/>
      <c r="MT23" s="25"/>
      <c r="MU23" s="25"/>
      <c r="MV23" s="25"/>
      <c r="MW23" s="25"/>
      <c r="MX23" s="25"/>
      <c r="MY23" s="25"/>
      <c r="MZ23" s="25"/>
      <c r="NA23" s="25"/>
      <c r="NB23" s="25"/>
      <c r="NC23" s="25"/>
      <c r="ND23" s="25"/>
      <c r="NE23" s="25"/>
      <c r="NF23" s="25"/>
      <c r="NG23" s="25"/>
      <c r="NH23" s="25"/>
      <c r="NI23" s="25"/>
      <c r="NJ23" s="25"/>
      <c r="NK23" s="25"/>
      <c r="NL23" s="25"/>
      <c r="NM23" s="25"/>
      <c r="NN23" s="25"/>
      <c r="NO23" s="25"/>
      <c r="NP23" s="25"/>
      <c r="NQ23" s="25"/>
      <c r="NR23" s="25"/>
      <c r="NS23" s="25"/>
      <c r="NT23" s="25"/>
      <c r="NV23" s="25"/>
      <c r="NW23" s="25"/>
      <c r="NX23" s="25"/>
      <c r="NY23" s="25"/>
      <c r="NZ23" s="25"/>
      <c r="OA23" s="25"/>
      <c r="OB23" s="25"/>
      <c r="OC23" s="25"/>
      <c r="OD23" s="25"/>
      <c r="OE23" s="25"/>
      <c r="OF23" s="25"/>
      <c r="OG23" s="25"/>
      <c r="OH23" s="25"/>
      <c r="OI23" s="25"/>
      <c r="OJ23" s="25"/>
      <c r="OK23" s="25"/>
      <c r="OL23" s="25"/>
      <c r="OM23" s="25"/>
      <c r="ON23" s="25"/>
      <c r="OO23" s="25"/>
      <c r="OP23" s="25"/>
      <c r="OQ23" s="25"/>
      <c r="OR23" s="25"/>
      <c r="OS23" s="25"/>
      <c r="OT23" s="25"/>
      <c r="OU23" s="25"/>
      <c r="OV23" s="25"/>
      <c r="OW23" s="25"/>
      <c r="OX23" s="25"/>
      <c r="OY23" s="25"/>
      <c r="OZ23" s="25"/>
      <c r="PB23" s="29"/>
      <c r="PC23" s="29"/>
      <c r="PD23" s="29"/>
      <c r="PE23" s="29"/>
      <c r="PF23" s="29"/>
      <c r="PH23" s="29"/>
      <c r="PI23" s="29"/>
      <c r="PJ23" s="29"/>
      <c r="PK23" s="29"/>
      <c r="PM23" s="29"/>
      <c r="PN23" s="3"/>
      <c r="PO23" s="29"/>
      <c r="PP23" s="93"/>
      <c r="PQ23" s="29"/>
      <c r="PR23" s="3"/>
      <c r="PT23" s="29"/>
      <c r="PU23" s="3"/>
      <c r="PV23" s="29"/>
      <c r="PW23" s="3"/>
      <c r="PZ23" s="35"/>
      <c r="QA23" s="81"/>
      <c r="QB23" s="81"/>
    </row>
    <row r="24" spans="2:444">
      <c r="B24" s="3"/>
      <c r="D24" s="39" t="str">
        <f t="shared" si="12"/>
        <v>-/-</v>
      </c>
      <c r="F24" s="3"/>
      <c r="H24" s="118"/>
      <c r="J24" s="118"/>
      <c r="L24" s="118"/>
      <c r="N24" s="118"/>
      <c r="O24" s="118"/>
      <c r="P24" s="118"/>
      <c r="Q24" s="118"/>
      <c r="R24" s="118"/>
      <c r="S24" s="118"/>
      <c r="U24" s="118"/>
      <c r="V24" s="118"/>
      <c r="W24" s="118"/>
      <c r="X24" s="118"/>
      <c r="Z24" s="118"/>
      <c r="AB24" s="19"/>
      <c r="AC24" s="19"/>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I24" s="25"/>
      <c r="GJ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O24" s="23"/>
      <c r="HP24" s="23"/>
      <c r="HR24" s="25"/>
      <c r="HS24" s="25"/>
      <c r="HT24" s="25"/>
      <c r="HU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X24" s="25"/>
      <c r="IY24" s="25"/>
      <c r="IZ24" s="25"/>
      <c r="JA24" s="25"/>
      <c r="JB24" s="25"/>
      <c r="JC24" s="25"/>
      <c r="JD24" s="25"/>
      <c r="JE24" s="25"/>
      <c r="JF24" s="25"/>
      <c r="JG24" s="25"/>
      <c r="JH24" s="25"/>
      <c r="JI24" s="25"/>
      <c r="JJ24" s="25"/>
      <c r="JK24" s="25"/>
      <c r="JL24" s="25"/>
      <c r="JM24" s="25"/>
      <c r="JN24" s="25"/>
      <c r="JO24" s="25"/>
      <c r="JP24" s="25"/>
      <c r="JQ24" s="25"/>
      <c r="JR24" s="25"/>
      <c r="JS24" s="25"/>
      <c r="JT24" s="25"/>
      <c r="JU24" s="25"/>
      <c r="JV24" s="25"/>
      <c r="JW24" s="25"/>
      <c r="JX24" s="25"/>
      <c r="JY24" s="25"/>
      <c r="JZ24" s="25"/>
      <c r="KA24" s="25"/>
      <c r="KB24" s="25"/>
      <c r="KD24" s="25"/>
      <c r="KE24" s="25"/>
      <c r="KF24" s="25"/>
      <c r="KG24" s="25"/>
      <c r="KH24" s="25"/>
      <c r="KI24" s="25"/>
      <c r="KJ24" s="25"/>
      <c r="KK24" s="25"/>
      <c r="KL24" s="25"/>
      <c r="KM24" s="25"/>
      <c r="KN24" s="25"/>
      <c r="KO24" s="25"/>
      <c r="KP24" s="25"/>
      <c r="KQ24" s="25"/>
      <c r="KR24" s="25"/>
      <c r="KS24" s="25"/>
      <c r="KT24" s="25"/>
      <c r="KU24" s="25"/>
      <c r="KV24" s="25"/>
      <c r="KW24" s="25"/>
      <c r="KX24" s="25"/>
      <c r="KY24" s="25"/>
      <c r="KZ24" s="25"/>
      <c r="LA24" s="25"/>
      <c r="LB24" s="25"/>
      <c r="LC24" s="25"/>
      <c r="LD24" s="25"/>
      <c r="LE24" s="25"/>
      <c r="LF24" s="25"/>
      <c r="LG24" s="25"/>
      <c r="LH24" s="25"/>
      <c r="LJ24" s="25"/>
      <c r="LK24" s="25"/>
      <c r="LL24" s="25"/>
      <c r="LM24" s="25"/>
      <c r="LN24" s="25"/>
      <c r="LO24" s="25"/>
      <c r="LP24" s="25"/>
      <c r="LQ24" s="25"/>
      <c r="LR24" s="25"/>
      <c r="LS24" s="25"/>
      <c r="LT24" s="25"/>
      <c r="LU24" s="25"/>
      <c r="LV24" s="25"/>
      <c r="LW24" s="25"/>
      <c r="LX24" s="25"/>
      <c r="LY24" s="25"/>
      <c r="LZ24" s="25"/>
      <c r="MA24" s="25"/>
      <c r="MB24" s="25"/>
      <c r="MC24" s="25"/>
      <c r="MD24" s="25"/>
      <c r="ME24" s="25"/>
      <c r="MF24" s="25"/>
      <c r="MG24" s="25"/>
      <c r="MH24" s="25"/>
      <c r="MI24" s="25"/>
      <c r="MJ24" s="25"/>
      <c r="MK24" s="25"/>
      <c r="ML24" s="25"/>
      <c r="MM24" s="25"/>
      <c r="MN24" s="25"/>
      <c r="MP24" s="25"/>
      <c r="MQ24" s="25"/>
      <c r="MR24" s="25"/>
      <c r="MS24" s="25"/>
      <c r="MT24" s="25"/>
      <c r="MU24" s="25"/>
      <c r="MV24" s="25"/>
      <c r="MW24" s="25"/>
      <c r="MX24" s="25"/>
      <c r="MY24" s="25"/>
      <c r="MZ24" s="25"/>
      <c r="NA24" s="25"/>
      <c r="NB24" s="25"/>
      <c r="NC24" s="25"/>
      <c r="ND24" s="25"/>
      <c r="NE24" s="25"/>
      <c r="NF24" s="25"/>
      <c r="NG24" s="25"/>
      <c r="NH24" s="25"/>
      <c r="NI24" s="25"/>
      <c r="NJ24" s="25"/>
      <c r="NK24" s="25"/>
      <c r="NL24" s="25"/>
      <c r="NM24" s="25"/>
      <c r="NN24" s="25"/>
      <c r="NO24" s="25"/>
      <c r="NP24" s="25"/>
      <c r="NQ24" s="25"/>
      <c r="NR24" s="25"/>
      <c r="NS24" s="25"/>
      <c r="NT24" s="25"/>
      <c r="NV24" s="25"/>
      <c r="NW24" s="25"/>
      <c r="NX24" s="25"/>
      <c r="NY24" s="25"/>
      <c r="NZ24" s="25"/>
      <c r="OA24" s="25"/>
      <c r="OB24" s="25"/>
      <c r="OC24" s="25"/>
      <c r="OD24" s="25"/>
      <c r="OE24" s="25"/>
      <c r="OF24" s="25"/>
      <c r="OG24" s="25"/>
      <c r="OH24" s="25"/>
      <c r="OI24" s="25"/>
      <c r="OJ24" s="25"/>
      <c r="OK24" s="25"/>
      <c r="OL24" s="25"/>
      <c r="OM24" s="25"/>
      <c r="ON24" s="25"/>
      <c r="OO24" s="25"/>
      <c r="OP24" s="25"/>
      <c r="OQ24" s="25"/>
      <c r="OR24" s="25"/>
      <c r="OS24" s="25"/>
      <c r="OT24" s="25"/>
      <c r="OU24" s="25"/>
      <c r="OV24" s="25"/>
      <c r="OW24" s="25"/>
      <c r="OX24" s="25"/>
      <c r="OY24" s="25"/>
      <c r="OZ24" s="25"/>
      <c r="PB24" s="29"/>
      <c r="PC24" s="29"/>
      <c r="PD24" s="29"/>
      <c r="PE24" s="29"/>
      <c r="PF24" s="29"/>
      <c r="PH24" s="29"/>
      <c r="PI24" s="29"/>
      <c r="PJ24" s="29"/>
      <c r="PK24" s="29"/>
      <c r="PM24" s="29"/>
      <c r="PN24" s="3"/>
      <c r="PO24" s="29"/>
      <c r="PP24" s="93"/>
      <c r="PQ24" s="29"/>
      <c r="PR24" s="3"/>
      <c r="PT24" s="29"/>
      <c r="PU24" s="3"/>
      <c r="PV24" s="29"/>
      <c r="PW24" s="3"/>
      <c r="PZ24" s="35"/>
      <c r="QA24" s="81"/>
      <c r="QB24" s="81"/>
    </row>
    <row r="25" spans="2:444">
      <c r="B25" s="3"/>
      <c r="D25" s="39" t="str">
        <f t="shared" si="12"/>
        <v>-/-</v>
      </c>
      <c r="F25" s="3"/>
      <c r="H25" s="118"/>
      <c r="J25" s="118"/>
      <c r="L25" s="118"/>
      <c r="N25" s="118"/>
      <c r="O25" s="118"/>
      <c r="P25" s="118"/>
      <c r="Q25" s="118"/>
      <c r="R25" s="118"/>
      <c r="S25" s="118"/>
      <c r="U25" s="118"/>
      <c r="V25" s="118"/>
      <c r="W25" s="118"/>
      <c r="X25" s="118"/>
      <c r="Z25" s="118"/>
      <c r="AB25" s="19"/>
      <c r="AC25" s="19"/>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Q25" s="25"/>
      <c r="CR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W25" s="25"/>
      <c r="DX25" s="25"/>
      <c r="DY25" s="25"/>
      <c r="DZ25" s="25"/>
      <c r="EA25" s="25"/>
      <c r="EB25" s="25"/>
      <c r="EC25" s="25"/>
      <c r="ED25" s="25"/>
      <c r="EE25" s="25"/>
      <c r="EF25" s="25"/>
      <c r="EG25" s="25"/>
      <c r="EH25" s="25"/>
      <c r="EI25" s="25"/>
      <c r="EJ25" s="25"/>
      <c r="EK25" s="25"/>
      <c r="EL25" s="25"/>
      <c r="EM25" s="25"/>
      <c r="EN25" s="25"/>
      <c r="EO25" s="25"/>
      <c r="EP25" s="25"/>
      <c r="EQ25" s="25"/>
      <c r="ER25" s="25"/>
      <c r="ES25" s="25"/>
      <c r="ET25" s="25"/>
      <c r="EU25" s="25"/>
      <c r="EV25" s="25"/>
      <c r="EW25" s="25"/>
      <c r="EX25" s="25"/>
      <c r="EY25" s="25"/>
      <c r="EZ25" s="25"/>
      <c r="FA25" s="25"/>
      <c r="FC25" s="25"/>
      <c r="FD25" s="25"/>
      <c r="FE25" s="25"/>
      <c r="FF25" s="25"/>
      <c r="FG25" s="25"/>
      <c r="FH25" s="25"/>
      <c r="FI25" s="25"/>
      <c r="FJ25" s="25"/>
      <c r="FK25" s="25"/>
      <c r="FL25" s="25"/>
      <c r="FM25" s="25"/>
      <c r="FN25" s="25"/>
      <c r="FO25" s="25"/>
      <c r="FP25" s="25"/>
      <c r="FQ25" s="25"/>
      <c r="FR25" s="25"/>
      <c r="FS25" s="25"/>
      <c r="FT25" s="25"/>
      <c r="FU25" s="25"/>
      <c r="FV25" s="25"/>
      <c r="FW25" s="25"/>
      <c r="FX25" s="25"/>
      <c r="FY25" s="25"/>
      <c r="FZ25" s="25"/>
      <c r="GA25" s="25"/>
      <c r="GB25" s="25"/>
      <c r="GC25" s="25"/>
      <c r="GD25" s="25"/>
      <c r="GE25" s="25"/>
      <c r="GF25" s="25"/>
      <c r="GG25" s="25"/>
      <c r="GI25" s="25"/>
      <c r="GJ25" s="25"/>
      <c r="GK25" s="25"/>
      <c r="GL25" s="25"/>
      <c r="GM25" s="25"/>
      <c r="GN25" s="25"/>
      <c r="GO25" s="25"/>
      <c r="GP25" s="25"/>
      <c r="GQ25" s="25"/>
      <c r="GR25" s="25"/>
      <c r="GS25" s="25"/>
      <c r="GT25" s="25"/>
      <c r="GU25" s="25"/>
      <c r="GV25" s="25"/>
      <c r="GW25" s="25"/>
      <c r="GX25" s="25"/>
      <c r="GY25" s="25"/>
      <c r="GZ25" s="25"/>
      <c r="HA25" s="25"/>
      <c r="HB25" s="25"/>
      <c r="HC25" s="25"/>
      <c r="HD25" s="25"/>
      <c r="HE25" s="25"/>
      <c r="HF25" s="25"/>
      <c r="HG25" s="25"/>
      <c r="HH25" s="25"/>
      <c r="HI25" s="25"/>
      <c r="HJ25" s="25"/>
      <c r="HK25" s="25"/>
      <c r="HL25" s="25"/>
      <c r="HM25" s="25"/>
      <c r="HO25" s="23"/>
      <c r="HP25" s="23"/>
      <c r="HR25" s="25"/>
      <c r="HS25" s="25"/>
      <c r="HT25" s="25"/>
      <c r="HU25" s="25"/>
      <c r="HV25" s="25"/>
      <c r="HW25" s="25"/>
      <c r="HX25" s="25"/>
      <c r="HY25" s="25"/>
      <c r="HZ25" s="25"/>
      <c r="IA25" s="25"/>
      <c r="IB25" s="25"/>
      <c r="IC25" s="25"/>
      <c r="ID25" s="25"/>
      <c r="IE25" s="25"/>
      <c r="IF25" s="25"/>
      <c r="IG25" s="25"/>
      <c r="IH25" s="25"/>
      <c r="II25" s="25"/>
      <c r="IJ25" s="25"/>
      <c r="IK25" s="25"/>
      <c r="IL25" s="25"/>
      <c r="IM25" s="25"/>
      <c r="IN25" s="25"/>
      <c r="IO25" s="25"/>
      <c r="IP25" s="25"/>
      <c r="IQ25" s="25"/>
      <c r="IR25" s="25"/>
      <c r="IS25" s="25"/>
      <c r="IT25" s="25"/>
      <c r="IU25" s="25"/>
      <c r="IV25" s="25"/>
      <c r="IX25" s="25"/>
      <c r="IY25" s="25"/>
      <c r="IZ25" s="25"/>
      <c r="JA25" s="25"/>
      <c r="JB25" s="25"/>
      <c r="JC25" s="25"/>
      <c r="JD25" s="25"/>
      <c r="JE25" s="25"/>
      <c r="JF25" s="25"/>
      <c r="JG25" s="25"/>
      <c r="JH25" s="25"/>
      <c r="JI25" s="25"/>
      <c r="JJ25" s="25"/>
      <c r="JK25" s="25"/>
      <c r="JL25" s="25"/>
      <c r="JM25" s="25"/>
      <c r="JN25" s="25"/>
      <c r="JO25" s="25"/>
      <c r="JP25" s="25"/>
      <c r="JQ25" s="25"/>
      <c r="JR25" s="25"/>
      <c r="JS25" s="25"/>
      <c r="JT25" s="25"/>
      <c r="JU25" s="25"/>
      <c r="JV25" s="25"/>
      <c r="JW25" s="25"/>
      <c r="JX25" s="25"/>
      <c r="JY25" s="25"/>
      <c r="JZ25" s="25"/>
      <c r="KA25" s="25"/>
      <c r="KB25" s="25"/>
      <c r="KD25" s="25"/>
      <c r="KE25" s="25"/>
      <c r="KF25" s="25"/>
      <c r="KG25" s="25"/>
      <c r="KH25" s="25"/>
      <c r="KI25" s="25"/>
      <c r="KJ25" s="25"/>
      <c r="KK25" s="25"/>
      <c r="KL25" s="25"/>
      <c r="KM25" s="25"/>
      <c r="KN25" s="25"/>
      <c r="KO25" s="25"/>
      <c r="KP25" s="25"/>
      <c r="KQ25" s="25"/>
      <c r="KR25" s="25"/>
      <c r="KS25" s="25"/>
      <c r="KT25" s="25"/>
      <c r="KU25" s="25"/>
      <c r="KV25" s="25"/>
      <c r="KW25" s="25"/>
      <c r="KX25" s="25"/>
      <c r="KY25" s="25"/>
      <c r="KZ25" s="25"/>
      <c r="LA25" s="25"/>
      <c r="LB25" s="25"/>
      <c r="LC25" s="25"/>
      <c r="LD25" s="25"/>
      <c r="LE25" s="25"/>
      <c r="LF25" s="25"/>
      <c r="LG25" s="25"/>
      <c r="LH25" s="25"/>
      <c r="LJ25" s="25"/>
      <c r="LK25" s="25"/>
      <c r="LL25" s="25"/>
      <c r="LM25" s="25"/>
      <c r="LN25" s="25"/>
      <c r="LO25" s="25"/>
      <c r="LP25" s="25"/>
      <c r="LQ25" s="25"/>
      <c r="LR25" s="25"/>
      <c r="LS25" s="25"/>
      <c r="LT25" s="25"/>
      <c r="LU25" s="25"/>
      <c r="LV25" s="25"/>
      <c r="LW25" s="25"/>
      <c r="LX25" s="25"/>
      <c r="LY25" s="25"/>
      <c r="LZ25" s="25"/>
      <c r="MA25" s="25"/>
      <c r="MB25" s="25"/>
      <c r="MC25" s="25"/>
      <c r="MD25" s="25"/>
      <c r="ME25" s="25"/>
      <c r="MF25" s="25"/>
      <c r="MG25" s="25"/>
      <c r="MH25" s="25"/>
      <c r="MI25" s="25"/>
      <c r="MJ25" s="25"/>
      <c r="MK25" s="25"/>
      <c r="ML25" s="25"/>
      <c r="MM25" s="25"/>
      <c r="MN25" s="25"/>
      <c r="MP25" s="25"/>
      <c r="MQ25" s="25"/>
      <c r="MR25" s="25"/>
      <c r="MS25" s="25"/>
      <c r="MT25" s="25"/>
      <c r="MU25" s="25"/>
      <c r="MV25" s="25"/>
      <c r="MW25" s="25"/>
      <c r="MX25" s="25"/>
      <c r="MY25" s="25"/>
      <c r="MZ25" s="25"/>
      <c r="NA25" s="25"/>
      <c r="NB25" s="25"/>
      <c r="NC25" s="25"/>
      <c r="ND25" s="25"/>
      <c r="NE25" s="25"/>
      <c r="NF25" s="25"/>
      <c r="NG25" s="25"/>
      <c r="NH25" s="25"/>
      <c r="NI25" s="25"/>
      <c r="NJ25" s="25"/>
      <c r="NK25" s="25"/>
      <c r="NL25" s="25"/>
      <c r="NM25" s="25"/>
      <c r="NN25" s="25"/>
      <c r="NO25" s="25"/>
      <c r="NP25" s="25"/>
      <c r="NQ25" s="25"/>
      <c r="NR25" s="25"/>
      <c r="NS25" s="25"/>
      <c r="NT25" s="25"/>
      <c r="NV25" s="25"/>
      <c r="NW25" s="25"/>
      <c r="NX25" s="25"/>
      <c r="NY25" s="25"/>
      <c r="NZ25" s="25"/>
      <c r="OA25" s="25"/>
      <c r="OB25" s="25"/>
      <c r="OC25" s="25"/>
      <c r="OD25" s="25"/>
      <c r="OE25" s="25"/>
      <c r="OF25" s="25"/>
      <c r="OG25" s="25"/>
      <c r="OH25" s="25"/>
      <c r="OI25" s="25"/>
      <c r="OJ25" s="25"/>
      <c r="OK25" s="25"/>
      <c r="OL25" s="25"/>
      <c r="OM25" s="25"/>
      <c r="ON25" s="25"/>
      <c r="OO25" s="25"/>
      <c r="OP25" s="25"/>
      <c r="OQ25" s="25"/>
      <c r="OR25" s="25"/>
      <c r="OS25" s="25"/>
      <c r="OT25" s="25"/>
      <c r="OU25" s="25"/>
      <c r="OV25" s="25"/>
      <c r="OW25" s="25"/>
      <c r="OX25" s="25"/>
      <c r="OY25" s="25"/>
      <c r="OZ25" s="25"/>
      <c r="PB25" s="29"/>
      <c r="PC25" s="29"/>
      <c r="PD25" s="29"/>
      <c r="PE25" s="29"/>
      <c r="PF25" s="29"/>
      <c r="PH25" s="29"/>
      <c r="PI25" s="29"/>
      <c r="PJ25" s="29"/>
      <c r="PK25" s="29"/>
      <c r="PM25" s="29"/>
      <c r="PN25" s="3"/>
      <c r="PO25" s="29"/>
      <c r="PP25" s="93"/>
      <c r="PQ25" s="29"/>
      <c r="PR25" s="3"/>
      <c r="PT25" s="29"/>
      <c r="PU25" s="3"/>
      <c r="PV25" s="29"/>
      <c r="PW25" s="3"/>
      <c r="PZ25" s="35"/>
      <c r="QA25" s="81"/>
      <c r="QB25" s="81"/>
    </row>
    <row r="26" spans="2:444">
      <c r="B26" s="3"/>
      <c r="D26" s="39" t="str">
        <f t="shared" si="12"/>
        <v>-/-</v>
      </c>
      <c r="F26" s="3"/>
      <c r="H26" s="118"/>
      <c r="J26" s="118"/>
      <c r="L26" s="118"/>
      <c r="N26" s="118"/>
      <c r="O26" s="118"/>
      <c r="P26" s="118"/>
      <c r="Q26" s="118"/>
      <c r="R26" s="118"/>
      <c r="S26" s="118"/>
      <c r="U26" s="118"/>
      <c r="V26" s="118"/>
      <c r="W26" s="118"/>
      <c r="X26" s="118"/>
      <c r="Z26" s="118"/>
      <c r="AB26" s="19"/>
      <c r="AC26" s="19"/>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I26" s="25"/>
      <c r="GJ26" s="25"/>
      <c r="GK26" s="25"/>
      <c r="GL26" s="25"/>
      <c r="GM26" s="25"/>
      <c r="GN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O26" s="23"/>
      <c r="HP26" s="23"/>
      <c r="HR26" s="25"/>
      <c r="HS26" s="25"/>
      <c r="HT26" s="25"/>
      <c r="HU26" s="25"/>
      <c r="HV26" s="25"/>
      <c r="HW26" s="25"/>
      <c r="HX26" s="25"/>
      <c r="HY26" s="25"/>
      <c r="HZ26" s="25"/>
      <c r="IA26" s="25"/>
      <c r="IB26" s="25"/>
      <c r="IC26" s="25"/>
      <c r="ID26" s="25"/>
      <c r="IE26" s="25"/>
      <c r="IF26" s="25"/>
      <c r="IG26" s="25"/>
      <c r="IH26" s="25"/>
      <c r="II26" s="25"/>
      <c r="IJ26" s="25"/>
      <c r="IK26" s="25"/>
      <c r="IL26" s="25"/>
      <c r="IM26" s="25"/>
      <c r="IN26" s="25"/>
      <c r="IO26" s="25"/>
      <c r="IP26" s="25"/>
      <c r="IQ26" s="25"/>
      <c r="IR26" s="25"/>
      <c r="IS26" s="25"/>
      <c r="IT26" s="25"/>
      <c r="IU26" s="25"/>
      <c r="IV26" s="25"/>
      <c r="IX26" s="25"/>
      <c r="IY26" s="25"/>
      <c r="IZ26" s="25"/>
      <c r="JA26" s="25"/>
      <c r="JB26" s="25"/>
      <c r="JC26" s="25"/>
      <c r="JD26" s="25"/>
      <c r="JE26" s="25"/>
      <c r="JF26" s="25"/>
      <c r="JG26" s="25"/>
      <c r="JH26" s="25"/>
      <c r="JI26" s="25"/>
      <c r="JJ26" s="25"/>
      <c r="JK26" s="25"/>
      <c r="JL26" s="25"/>
      <c r="JM26" s="25"/>
      <c r="JN26" s="25"/>
      <c r="JO26" s="25"/>
      <c r="JP26" s="25"/>
      <c r="JQ26" s="25"/>
      <c r="JR26" s="25"/>
      <c r="JS26" s="25"/>
      <c r="JT26" s="25"/>
      <c r="JU26" s="25"/>
      <c r="JV26" s="25"/>
      <c r="JW26" s="25"/>
      <c r="JX26" s="25"/>
      <c r="JY26" s="25"/>
      <c r="JZ26" s="25"/>
      <c r="KA26" s="25"/>
      <c r="KB26" s="25"/>
      <c r="KD26" s="25"/>
      <c r="KE26" s="25"/>
      <c r="KF26" s="25"/>
      <c r="KG26" s="25"/>
      <c r="KH26" s="25"/>
      <c r="KI26" s="25"/>
      <c r="KJ26" s="25"/>
      <c r="KK26" s="25"/>
      <c r="KL26" s="25"/>
      <c r="KM26" s="25"/>
      <c r="KN26" s="25"/>
      <c r="KO26" s="25"/>
      <c r="KP26" s="25"/>
      <c r="KQ26" s="25"/>
      <c r="KR26" s="25"/>
      <c r="KS26" s="25"/>
      <c r="KT26" s="25"/>
      <c r="KU26" s="25"/>
      <c r="KV26" s="25"/>
      <c r="KW26" s="25"/>
      <c r="KX26" s="25"/>
      <c r="KY26" s="25"/>
      <c r="KZ26" s="25"/>
      <c r="LA26" s="25"/>
      <c r="LB26" s="25"/>
      <c r="LC26" s="25"/>
      <c r="LD26" s="25"/>
      <c r="LE26" s="25"/>
      <c r="LF26" s="25"/>
      <c r="LG26" s="25"/>
      <c r="LH26" s="25"/>
      <c r="LJ26" s="25"/>
      <c r="LK26" s="25"/>
      <c r="LL26" s="25"/>
      <c r="LM26" s="25"/>
      <c r="LN26" s="25"/>
      <c r="LO26" s="25"/>
      <c r="LP26" s="25"/>
      <c r="LQ26" s="25"/>
      <c r="LR26" s="25"/>
      <c r="LS26" s="25"/>
      <c r="LT26" s="25"/>
      <c r="LU26" s="25"/>
      <c r="LV26" s="25"/>
      <c r="LW26" s="25"/>
      <c r="LX26" s="25"/>
      <c r="LY26" s="25"/>
      <c r="LZ26" s="25"/>
      <c r="MA26" s="25"/>
      <c r="MB26" s="25"/>
      <c r="MC26" s="25"/>
      <c r="MD26" s="25"/>
      <c r="ME26" s="25"/>
      <c r="MF26" s="25"/>
      <c r="MG26" s="25"/>
      <c r="MH26" s="25"/>
      <c r="MI26" s="25"/>
      <c r="MJ26" s="25"/>
      <c r="MK26" s="25"/>
      <c r="ML26" s="25"/>
      <c r="MM26" s="25"/>
      <c r="MN26" s="25"/>
      <c r="MP26" s="25"/>
      <c r="MQ26" s="25"/>
      <c r="MR26" s="25"/>
      <c r="MS26" s="25"/>
      <c r="MT26" s="25"/>
      <c r="MU26" s="25"/>
      <c r="MV26" s="25"/>
      <c r="MW26" s="25"/>
      <c r="MX26" s="25"/>
      <c r="MY26" s="25"/>
      <c r="MZ26" s="25"/>
      <c r="NA26" s="25"/>
      <c r="NB26" s="25"/>
      <c r="NC26" s="25"/>
      <c r="ND26" s="25"/>
      <c r="NE26" s="25"/>
      <c r="NF26" s="25"/>
      <c r="NG26" s="25"/>
      <c r="NH26" s="25"/>
      <c r="NI26" s="25"/>
      <c r="NJ26" s="25"/>
      <c r="NK26" s="25"/>
      <c r="NL26" s="25"/>
      <c r="NM26" s="25"/>
      <c r="NN26" s="25"/>
      <c r="NO26" s="25"/>
      <c r="NP26" s="25"/>
      <c r="NQ26" s="25"/>
      <c r="NR26" s="25"/>
      <c r="NS26" s="25"/>
      <c r="NT26" s="25"/>
      <c r="NV26" s="25"/>
      <c r="NW26" s="25"/>
      <c r="NX26" s="25"/>
      <c r="NY26" s="25"/>
      <c r="NZ26" s="25"/>
      <c r="OA26" s="25"/>
      <c r="OB26" s="25"/>
      <c r="OC26" s="25"/>
      <c r="OD26" s="25"/>
      <c r="OE26" s="25"/>
      <c r="OF26" s="25"/>
      <c r="OG26" s="25"/>
      <c r="OH26" s="25"/>
      <c r="OI26" s="25"/>
      <c r="OJ26" s="25"/>
      <c r="OK26" s="25"/>
      <c r="OL26" s="25"/>
      <c r="OM26" s="25"/>
      <c r="ON26" s="25"/>
      <c r="OO26" s="25"/>
      <c r="OP26" s="25"/>
      <c r="OQ26" s="25"/>
      <c r="OR26" s="25"/>
      <c r="OS26" s="25"/>
      <c r="OT26" s="25"/>
      <c r="OU26" s="25"/>
      <c r="OV26" s="25"/>
      <c r="OW26" s="25"/>
      <c r="OX26" s="25"/>
      <c r="OY26" s="25"/>
      <c r="OZ26" s="25"/>
      <c r="PB26" s="29"/>
      <c r="PC26" s="29"/>
      <c r="PD26" s="29"/>
      <c r="PE26" s="29"/>
      <c r="PF26" s="29"/>
      <c r="PH26" s="29"/>
      <c r="PI26" s="29"/>
      <c r="PJ26" s="29"/>
      <c r="PK26" s="29"/>
      <c r="PM26" s="29"/>
      <c r="PN26" s="3"/>
      <c r="PO26" s="29"/>
      <c r="PP26" s="93"/>
      <c r="PQ26" s="29"/>
      <c r="PR26" s="3"/>
      <c r="PT26" s="29"/>
      <c r="PU26" s="3"/>
      <c r="PV26" s="29"/>
      <c r="PW26" s="3"/>
      <c r="PZ26" s="35"/>
      <c r="QA26" s="81"/>
      <c r="QB26" s="81"/>
    </row>
    <row r="27" spans="2:444">
      <c r="B27" s="3"/>
      <c r="D27" s="39" t="str">
        <f t="shared" si="12"/>
        <v>-/-</v>
      </c>
      <c r="F27" s="3"/>
      <c r="H27" s="118"/>
      <c r="J27" s="118"/>
      <c r="L27" s="118"/>
      <c r="N27" s="118"/>
      <c r="O27" s="118"/>
      <c r="P27" s="118"/>
      <c r="Q27" s="118"/>
      <c r="R27" s="118"/>
      <c r="S27" s="118"/>
      <c r="U27" s="118"/>
      <c r="V27" s="118"/>
      <c r="W27" s="118"/>
      <c r="X27" s="118"/>
      <c r="Z27" s="118"/>
      <c r="AB27" s="19"/>
      <c r="AC27" s="19"/>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Q27" s="25"/>
      <c r="CR27" s="25"/>
      <c r="CS27" s="25"/>
      <c r="CT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W27" s="25"/>
      <c r="DX27" s="25"/>
      <c r="DY27" s="25"/>
      <c r="DZ27" s="2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C27" s="25"/>
      <c r="FD27" s="25"/>
      <c r="FE27" s="25"/>
      <c r="FF27" s="25"/>
      <c r="FG27" s="25"/>
      <c r="FH27" s="25"/>
      <c r="FI27" s="25"/>
      <c r="FJ27" s="25"/>
      <c r="FK27" s="25"/>
      <c r="FL27" s="25"/>
      <c r="FM27" s="25"/>
      <c r="FN27" s="25"/>
      <c r="FO27" s="25"/>
      <c r="FP27" s="25"/>
      <c r="FQ27" s="25"/>
      <c r="FR27" s="25"/>
      <c r="FS27" s="25"/>
      <c r="FT27" s="25"/>
      <c r="FU27" s="25"/>
      <c r="FV27" s="25"/>
      <c r="FW27" s="25"/>
      <c r="FX27" s="25"/>
      <c r="FY27" s="25"/>
      <c r="FZ27" s="25"/>
      <c r="GA27" s="25"/>
      <c r="GB27" s="25"/>
      <c r="GC27" s="25"/>
      <c r="GD27" s="25"/>
      <c r="GE27" s="25"/>
      <c r="GF27" s="25"/>
      <c r="GG27" s="25"/>
      <c r="GI27" s="25"/>
      <c r="GJ27" s="25"/>
      <c r="GK27" s="25"/>
      <c r="GL27" s="25"/>
      <c r="GM27" s="25"/>
      <c r="GN27" s="25"/>
      <c r="GO27" s="25"/>
      <c r="GP27" s="25"/>
      <c r="GQ27" s="25"/>
      <c r="GR27" s="25"/>
      <c r="GS27" s="25"/>
      <c r="GT27" s="25"/>
      <c r="GU27" s="25"/>
      <c r="GV27" s="25"/>
      <c r="GW27" s="25"/>
      <c r="GX27" s="25"/>
      <c r="GY27" s="25"/>
      <c r="GZ27" s="25"/>
      <c r="HA27" s="25"/>
      <c r="HB27" s="25"/>
      <c r="HC27" s="25"/>
      <c r="HD27" s="25"/>
      <c r="HE27" s="25"/>
      <c r="HF27" s="25"/>
      <c r="HG27" s="25"/>
      <c r="HH27" s="25"/>
      <c r="HI27" s="25"/>
      <c r="HJ27" s="25"/>
      <c r="HK27" s="25"/>
      <c r="HL27" s="25"/>
      <c r="HM27" s="25"/>
      <c r="HO27" s="23"/>
      <c r="HP27" s="23"/>
      <c r="HR27" s="25"/>
      <c r="HS27" s="25"/>
      <c r="HT27" s="25"/>
      <c r="HU27" s="25"/>
      <c r="HV27" s="25"/>
      <c r="HW27" s="25"/>
      <c r="HX27" s="25"/>
      <c r="HY27" s="25"/>
      <c r="HZ27" s="25"/>
      <c r="IA27" s="25"/>
      <c r="IB27" s="25"/>
      <c r="IC27" s="25"/>
      <c r="ID27" s="25"/>
      <c r="IE27" s="25"/>
      <c r="IF27" s="25"/>
      <c r="IG27" s="25"/>
      <c r="IH27" s="25"/>
      <c r="II27" s="25"/>
      <c r="IJ27" s="25"/>
      <c r="IK27" s="25"/>
      <c r="IL27" s="25"/>
      <c r="IM27" s="25"/>
      <c r="IN27" s="25"/>
      <c r="IO27" s="25"/>
      <c r="IP27" s="25"/>
      <c r="IQ27" s="25"/>
      <c r="IR27" s="25"/>
      <c r="IS27" s="25"/>
      <c r="IT27" s="25"/>
      <c r="IU27" s="25"/>
      <c r="IV27" s="25"/>
      <c r="IX27" s="25"/>
      <c r="IY27" s="25"/>
      <c r="IZ27" s="25"/>
      <c r="JA27" s="25"/>
      <c r="JB27" s="25"/>
      <c r="JC27" s="25"/>
      <c r="JD27" s="25"/>
      <c r="JE27" s="25"/>
      <c r="JF27" s="25"/>
      <c r="JG27" s="25"/>
      <c r="JH27" s="25"/>
      <c r="JI27" s="25"/>
      <c r="JJ27" s="25"/>
      <c r="JK27" s="25"/>
      <c r="JL27" s="25"/>
      <c r="JM27" s="25"/>
      <c r="JN27" s="25"/>
      <c r="JO27" s="25"/>
      <c r="JP27" s="25"/>
      <c r="JQ27" s="25"/>
      <c r="JR27" s="25"/>
      <c r="JS27" s="25"/>
      <c r="JT27" s="25"/>
      <c r="JU27" s="25"/>
      <c r="JV27" s="25"/>
      <c r="JW27" s="25"/>
      <c r="JX27" s="25"/>
      <c r="JY27" s="25"/>
      <c r="JZ27" s="25"/>
      <c r="KA27" s="25"/>
      <c r="KB27" s="25"/>
      <c r="KD27" s="25"/>
      <c r="KE27" s="25"/>
      <c r="KF27" s="25"/>
      <c r="KG27" s="25"/>
      <c r="KH27" s="25"/>
      <c r="KI27" s="25"/>
      <c r="KJ27" s="25"/>
      <c r="KK27" s="25"/>
      <c r="KL27" s="25"/>
      <c r="KM27" s="25"/>
      <c r="KN27" s="25"/>
      <c r="KO27" s="25"/>
      <c r="KP27" s="25"/>
      <c r="KQ27" s="25"/>
      <c r="KR27" s="25"/>
      <c r="KS27" s="25"/>
      <c r="KT27" s="25"/>
      <c r="KU27" s="25"/>
      <c r="KV27" s="25"/>
      <c r="KW27" s="25"/>
      <c r="KX27" s="25"/>
      <c r="KY27" s="25"/>
      <c r="KZ27" s="25"/>
      <c r="LA27" s="25"/>
      <c r="LB27" s="25"/>
      <c r="LC27" s="25"/>
      <c r="LD27" s="25"/>
      <c r="LE27" s="25"/>
      <c r="LF27" s="25"/>
      <c r="LG27" s="25"/>
      <c r="LH27" s="25"/>
      <c r="LJ27" s="25"/>
      <c r="LK27" s="25"/>
      <c r="LL27" s="25"/>
      <c r="LM27" s="25"/>
      <c r="LN27" s="25"/>
      <c r="LO27" s="25"/>
      <c r="LP27" s="25"/>
      <c r="LQ27" s="25"/>
      <c r="LR27" s="25"/>
      <c r="LS27" s="25"/>
      <c r="LT27" s="25"/>
      <c r="LU27" s="25"/>
      <c r="LV27" s="25"/>
      <c r="LW27" s="25"/>
      <c r="LX27" s="25"/>
      <c r="LY27" s="25"/>
      <c r="LZ27" s="25"/>
      <c r="MA27" s="25"/>
      <c r="MB27" s="25"/>
      <c r="MC27" s="25"/>
      <c r="MD27" s="25"/>
      <c r="ME27" s="25"/>
      <c r="MF27" s="25"/>
      <c r="MG27" s="25"/>
      <c r="MH27" s="25"/>
      <c r="MI27" s="25"/>
      <c r="MJ27" s="25"/>
      <c r="MK27" s="25"/>
      <c r="ML27" s="25"/>
      <c r="MM27" s="25"/>
      <c r="MN27" s="25"/>
      <c r="MP27" s="25"/>
      <c r="MQ27" s="25"/>
      <c r="MR27" s="25"/>
      <c r="MS27" s="25"/>
      <c r="MT27" s="25"/>
      <c r="MU27" s="25"/>
      <c r="MV27" s="25"/>
      <c r="MW27" s="25"/>
      <c r="MX27" s="25"/>
      <c r="MY27" s="25"/>
      <c r="MZ27" s="25"/>
      <c r="NA27" s="25"/>
      <c r="NB27" s="25"/>
      <c r="NC27" s="25"/>
      <c r="ND27" s="25"/>
      <c r="NE27" s="25"/>
      <c r="NF27" s="25"/>
      <c r="NG27" s="25"/>
      <c r="NH27" s="25"/>
      <c r="NI27" s="25"/>
      <c r="NJ27" s="25"/>
      <c r="NK27" s="25"/>
      <c r="NL27" s="25"/>
      <c r="NM27" s="25"/>
      <c r="NN27" s="25"/>
      <c r="NO27" s="25"/>
      <c r="NP27" s="25"/>
      <c r="NQ27" s="25"/>
      <c r="NR27" s="25"/>
      <c r="NS27" s="25"/>
      <c r="NT27" s="25"/>
      <c r="NV27" s="25"/>
      <c r="NW27" s="25"/>
      <c r="NX27" s="25"/>
      <c r="NY27" s="25"/>
      <c r="NZ27" s="25"/>
      <c r="OA27" s="25"/>
      <c r="OB27" s="25"/>
      <c r="OC27" s="25"/>
      <c r="OD27" s="25"/>
      <c r="OE27" s="25"/>
      <c r="OF27" s="25"/>
      <c r="OG27" s="25"/>
      <c r="OH27" s="25"/>
      <c r="OI27" s="25"/>
      <c r="OJ27" s="25"/>
      <c r="OK27" s="25"/>
      <c r="OL27" s="25"/>
      <c r="OM27" s="25"/>
      <c r="ON27" s="25"/>
      <c r="OO27" s="25"/>
      <c r="OP27" s="25"/>
      <c r="OQ27" s="25"/>
      <c r="OR27" s="25"/>
      <c r="OS27" s="25"/>
      <c r="OT27" s="25"/>
      <c r="OU27" s="25"/>
      <c r="OV27" s="25"/>
      <c r="OW27" s="25"/>
      <c r="OX27" s="25"/>
      <c r="OY27" s="25"/>
      <c r="OZ27" s="25"/>
      <c r="PB27" s="29"/>
      <c r="PC27" s="29"/>
      <c r="PD27" s="29"/>
      <c r="PE27" s="29"/>
      <c r="PF27" s="29"/>
      <c r="PH27" s="29"/>
      <c r="PI27" s="29"/>
      <c r="PJ27" s="29"/>
      <c r="PK27" s="29"/>
      <c r="PM27" s="29"/>
      <c r="PN27" s="3"/>
      <c r="PO27" s="29"/>
      <c r="PP27" s="93"/>
      <c r="PQ27" s="29"/>
      <c r="PR27" s="3"/>
      <c r="PT27" s="29"/>
      <c r="PU27" s="3"/>
      <c r="PV27" s="29"/>
      <c r="PW27" s="3"/>
      <c r="PZ27" s="35"/>
      <c r="QA27" s="81"/>
      <c r="QB27" s="81"/>
    </row>
    <row r="28" spans="2:444">
      <c r="B28" s="3"/>
      <c r="D28" s="39" t="str">
        <f t="shared" si="12"/>
        <v>-/-</v>
      </c>
      <c r="F28" s="3"/>
      <c r="H28" s="118"/>
      <c r="J28" s="118"/>
      <c r="L28" s="118"/>
      <c r="N28" s="118"/>
      <c r="O28" s="118"/>
      <c r="P28" s="118"/>
      <c r="Q28" s="118"/>
      <c r="R28" s="118"/>
      <c r="S28" s="118"/>
      <c r="U28" s="118"/>
      <c r="V28" s="118"/>
      <c r="W28" s="118"/>
      <c r="X28" s="118"/>
      <c r="Z28" s="118"/>
      <c r="AB28" s="19"/>
      <c r="AC28" s="19"/>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W28" s="25"/>
      <c r="DX28" s="25"/>
      <c r="DY28" s="25"/>
      <c r="DZ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C28" s="25"/>
      <c r="FD28" s="25"/>
      <c r="FE28" s="25"/>
      <c r="FF28" s="25"/>
      <c r="FG28" s="25"/>
      <c r="FH28" s="25"/>
      <c r="FI28" s="25"/>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I28" s="25"/>
      <c r="GJ28" s="25"/>
      <c r="GK28" s="25"/>
      <c r="GL28" s="25"/>
      <c r="GM28" s="25"/>
      <c r="GN28" s="25"/>
      <c r="GO28" s="25"/>
      <c r="GP28" s="25"/>
      <c r="GQ28" s="25"/>
      <c r="GR28" s="25"/>
      <c r="GS28" s="25"/>
      <c r="GT28" s="25"/>
      <c r="GU28" s="25"/>
      <c r="GV28" s="25"/>
      <c r="GW28" s="25"/>
      <c r="GX28" s="25"/>
      <c r="GY28" s="25"/>
      <c r="GZ28" s="25"/>
      <c r="HA28" s="25"/>
      <c r="HB28" s="25"/>
      <c r="HC28" s="25"/>
      <c r="HD28" s="25"/>
      <c r="HE28" s="25"/>
      <c r="HF28" s="25"/>
      <c r="HG28" s="25"/>
      <c r="HH28" s="25"/>
      <c r="HI28" s="25"/>
      <c r="HJ28" s="25"/>
      <c r="HK28" s="25"/>
      <c r="HL28" s="25"/>
      <c r="HM28" s="25"/>
      <c r="HO28" s="23"/>
      <c r="HP28" s="23"/>
      <c r="HR28" s="25"/>
      <c r="HS28" s="25"/>
      <c r="HT28" s="25"/>
      <c r="HU28" s="25"/>
      <c r="HV28" s="25"/>
      <c r="HW28" s="25"/>
      <c r="HX28" s="25"/>
      <c r="HY28" s="25"/>
      <c r="HZ28" s="25"/>
      <c r="IA28" s="25"/>
      <c r="IB28" s="25"/>
      <c r="IC28" s="25"/>
      <c r="ID28" s="25"/>
      <c r="IE28" s="25"/>
      <c r="IF28" s="25"/>
      <c r="IG28" s="25"/>
      <c r="IH28" s="25"/>
      <c r="II28" s="25"/>
      <c r="IJ28" s="25"/>
      <c r="IK28" s="25"/>
      <c r="IL28" s="25"/>
      <c r="IM28" s="25"/>
      <c r="IN28" s="25"/>
      <c r="IO28" s="25"/>
      <c r="IP28" s="25"/>
      <c r="IQ28" s="25"/>
      <c r="IR28" s="25"/>
      <c r="IS28" s="25"/>
      <c r="IT28" s="25"/>
      <c r="IU28" s="25"/>
      <c r="IV28" s="25"/>
      <c r="IX28" s="25"/>
      <c r="IY28" s="25"/>
      <c r="IZ28" s="25"/>
      <c r="JA28" s="25"/>
      <c r="JB28" s="25"/>
      <c r="JC28" s="25"/>
      <c r="JD28" s="25"/>
      <c r="JE28" s="25"/>
      <c r="JF28" s="25"/>
      <c r="JG28" s="25"/>
      <c r="JH28" s="25"/>
      <c r="JI28" s="25"/>
      <c r="JJ28" s="25"/>
      <c r="JK28" s="25"/>
      <c r="JL28" s="25"/>
      <c r="JM28" s="25"/>
      <c r="JN28" s="25"/>
      <c r="JO28" s="25"/>
      <c r="JP28" s="25"/>
      <c r="JQ28" s="25"/>
      <c r="JR28" s="25"/>
      <c r="JS28" s="25"/>
      <c r="JT28" s="25"/>
      <c r="JU28" s="25"/>
      <c r="JV28" s="25"/>
      <c r="JW28" s="25"/>
      <c r="JX28" s="25"/>
      <c r="JY28" s="25"/>
      <c r="JZ28" s="25"/>
      <c r="KA28" s="25"/>
      <c r="KB28" s="25"/>
      <c r="KD28" s="25"/>
      <c r="KE28" s="25"/>
      <c r="KF28" s="25"/>
      <c r="KG28" s="25"/>
      <c r="KH28" s="25"/>
      <c r="KI28" s="25"/>
      <c r="KJ28" s="25"/>
      <c r="KK28" s="25"/>
      <c r="KL28" s="25"/>
      <c r="KM28" s="25"/>
      <c r="KN28" s="25"/>
      <c r="KO28" s="25"/>
      <c r="KP28" s="25"/>
      <c r="KQ28" s="25"/>
      <c r="KR28" s="25"/>
      <c r="KS28" s="25"/>
      <c r="KT28" s="25"/>
      <c r="KU28" s="25"/>
      <c r="KV28" s="25"/>
      <c r="KW28" s="25"/>
      <c r="KX28" s="25"/>
      <c r="KY28" s="25"/>
      <c r="KZ28" s="25"/>
      <c r="LA28" s="25"/>
      <c r="LB28" s="25"/>
      <c r="LC28" s="25"/>
      <c r="LD28" s="25"/>
      <c r="LE28" s="25"/>
      <c r="LF28" s="25"/>
      <c r="LG28" s="25"/>
      <c r="LH28" s="25"/>
      <c r="LJ28" s="25"/>
      <c r="LK28" s="25"/>
      <c r="LL28" s="25"/>
      <c r="LM28" s="25"/>
      <c r="LN28" s="25"/>
      <c r="LO28" s="25"/>
      <c r="LP28" s="25"/>
      <c r="LQ28" s="25"/>
      <c r="LR28" s="25"/>
      <c r="LS28" s="25"/>
      <c r="LT28" s="25"/>
      <c r="LU28" s="25"/>
      <c r="LV28" s="25"/>
      <c r="LW28" s="25"/>
      <c r="LX28" s="25"/>
      <c r="LY28" s="25"/>
      <c r="LZ28" s="25"/>
      <c r="MA28" s="25"/>
      <c r="MB28" s="25"/>
      <c r="MC28" s="25"/>
      <c r="MD28" s="25"/>
      <c r="ME28" s="25"/>
      <c r="MF28" s="25"/>
      <c r="MG28" s="25"/>
      <c r="MH28" s="25"/>
      <c r="MI28" s="25"/>
      <c r="MJ28" s="25"/>
      <c r="MK28" s="25"/>
      <c r="ML28" s="25"/>
      <c r="MM28" s="25"/>
      <c r="MN28" s="25"/>
      <c r="MP28" s="25"/>
      <c r="MQ28" s="25"/>
      <c r="MR28" s="25"/>
      <c r="MS28" s="25"/>
      <c r="MT28" s="25"/>
      <c r="MU28" s="25"/>
      <c r="MV28" s="25"/>
      <c r="MW28" s="25"/>
      <c r="MX28" s="25"/>
      <c r="MY28" s="25"/>
      <c r="MZ28" s="25"/>
      <c r="NA28" s="25"/>
      <c r="NB28" s="25"/>
      <c r="NC28" s="25"/>
      <c r="ND28" s="25"/>
      <c r="NE28" s="25"/>
      <c r="NF28" s="25"/>
      <c r="NG28" s="25"/>
      <c r="NH28" s="25"/>
      <c r="NI28" s="25"/>
      <c r="NJ28" s="25"/>
      <c r="NK28" s="25"/>
      <c r="NL28" s="25"/>
      <c r="NM28" s="25"/>
      <c r="NN28" s="25"/>
      <c r="NO28" s="25"/>
      <c r="NP28" s="25"/>
      <c r="NQ28" s="25"/>
      <c r="NR28" s="25"/>
      <c r="NS28" s="25"/>
      <c r="NT28" s="25"/>
      <c r="NV28" s="25"/>
      <c r="NW28" s="25"/>
      <c r="NX28" s="25"/>
      <c r="NY28" s="25"/>
      <c r="NZ28" s="25"/>
      <c r="OA28" s="25"/>
      <c r="OB28" s="25"/>
      <c r="OC28" s="25"/>
      <c r="OD28" s="25"/>
      <c r="OE28" s="25"/>
      <c r="OF28" s="25"/>
      <c r="OG28" s="25"/>
      <c r="OH28" s="25"/>
      <c r="OI28" s="25"/>
      <c r="OJ28" s="25"/>
      <c r="OK28" s="25"/>
      <c r="OL28" s="25"/>
      <c r="OM28" s="25"/>
      <c r="ON28" s="25"/>
      <c r="OO28" s="25"/>
      <c r="OP28" s="25"/>
      <c r="OQ28" s="25"/>
      <c r="OR28" s="25"/>
      <c r="OS28" s="25"/>
      <c r="OT28" s="25"/>
      <c r="OU28" s="25"/>
      <c r="OV28" s="25"/>
      <c r="OW28" s="25"/>
      <c r="OX28" s="25"/>
      <c r="OY28" s="25"/>
      <c r="OZ28" s="25"/>
      <c r="PB28" s="29"/>
      <c r="PC28" s="29"/>
      <c r="PD28" s="29"/>
      <c r="PE28" s="29"/>
      <c r="PF28" s="29"/>
      <c r="PH28" s="29"/>
      <c r="PI28" s="29"/>
      <c r="PJ28" s="29"/>
      <c r="PK28" s="29"/>
      <c r="PM28" s="29"/>
      <c r="PN28" s="3"/>
      <c r="PO28" s="29"/>
      <c r="PP28" s="93"/>
      <c r="PQ28" s="29"/>
      <c r="PR28" s="3"/>
      <c r="PT28" s="29"/>
      <c r="PU28" s="3"/>
      <c r="PV28" s="29"/>
      <c r="PW28" s="3"/>
      <c r="PZ28" s="35"/>
      <c r="QA28" s="81"/>
      <c r="QB28" s="81"/>
    </row>
    <row r="29" spans="2:444">
      <c r="B29" s="3"/>
      <c r="D29" s="39" t="str">
        <f t="shared" si="12"/>
        <v>-/-</v>
      </c>
      <c r="F29" s="3"/>
      <c r="H29" s="118"/>
      <c r="J29" s="118"/>
      <c r="L29" s="118"/>
      <c r="N29" s="118"/>
      <c r="O29" s="118"/>
      <c r="P29" s="118"/>
      <c r="Q29" s="118"/>
      <c r="R29" s="118"/>
      <c r="S29" s="118"/>
      <c r="U29" s="118"/>
      <c r="V29" s="118"/>
      <c r="W29" s="118"/>
      <c r="X29" s="118"/>
      <c r="Z29" s="118"/>
      <c r="AB29" s="19"/>
      <c r="AC29" s="19"/>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Q29" s="25"/>
      <c r="CR29" s="25"/>
      <c r="CS29" s="25"/>
      <c r="CT29" s="25"/>
      <c r="CU29" s="25"/>
      <c r="CV29" s="25"/>
      <c r="CW29" s="25"/>
      <c r="CX29" s="25"/>
      <c r="CY29" s="25"/>
      <c r="CZ29" s="25"/>
      <c r="DA29" s="25"/>
      <c r="DB29" s="25"/>
      <c r="DC29" s="25"/>
      <c r="DD29" s="25"/>
      <c r="DE29" s="25"/>
      <c r="DF29" s="25"/>
      <c r="DG29" s="25"/>
      <c r="DH29" s="25"/>
      <c r="DI29" s="25"/>
      <c r="DJ29" s="25"/>
      <c r="DK29" s="25"/>
      <c r="DL29" s="25"/>
      <c r="DM29" s="25"/>
      <c r="DN29" s="25"/>
      <c r="DO29" s="25"/>
      <c r="DP29" s="25"/>
      <c r="DQ29" s="25"/>
      <c r="DR29" s="25"/>
      <c r="DS29" s="25"/>
      <c r="DT29" s="25"/>
      <c r="DU29" s="25"/>
      <c r="DW29" s="25"/>
      <c r="DX29" s="25"/>
      <c r="DY29" s="25"/>
      <c r="DZ29" s="2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C29" s="25"/>
      <c r="FD29" s="25"/>
      <c r="FE29" s="25"/>
      <c r="FF29" s="25"/>
      <c r="FG29" s="25"/>
      <c r="FH29" s="25"/>
      <c r="FI29" s="25"/>
      <c r="FJ29" s="25"/>
      <c r="FK29" s="25"/>
      <c r="FL29" s="25"/>
      <c r="FM29" s="25"/>
      <c r="FN29" s="25"/>
      <c r="FO29" s="25"/>
      <c r="FP29" s="25"/>
      <c r="FQ29" s="25"/>
      <c r="FR29" s="25"/>
      <c r="FS29" s="25"/>
      <c r="FT29" s="25"/>
      <c r="FU29" s="25"/>
      <c r="FV29" s="25"/>
      <c r="FW29" s="25"/>
      <c r="FX29" s="25"/>
      <c r="FY29" s="25"/>
      <c r="FZ29" s="25"/>
      <c r="GA29" s="25"/>
      <c r="GB29" s="25"/>
      <c r="GC29" s="25"/>
      <c r="GD29" s="25"/>
      <c r="GE29" s="25"/>
      <c r="GF29" s="25"/>
      <c r="GG29" s="25"/>
      <c r="GI29" s="25"/>
      <c r="GJ29" s="25"/>
      <c r="GK29" s="25"/>
      <c r="GL29" s="25"/>
      <c r="GM29" s="25"/>
      <c r="GN29" s="25"/>
      <c r="GO29" s="25"/>
      <c r="GP29" s="25"/>
      <c r="GQ29" s="25"/>
      <c r="GR29" s="25"/>
      <c r="GS29" s="25"/>
      <c r="GT29" s="25"/>
      <c r="GU29" s="25"/>
      <c r="GV29" s="25"/>
      <c r="GW29" s="25"/>
      <c r="GX29" s="25"/>
      <c r="GY29" s="25"/>
      <c r="GZ29" s="25"/>
      <c r="HA29" s="25"/>
      <c r="HB29" s="25"/>
      <c r="HC29" s="25"/>
      <c r="HD29" s="25"/>
      <c r="HE29" s="25"/>
      <c r="HF29" s="25"/>
      <c r="HG29" s="25"/>
      <c r="HH29" s="25"/>
      <c r="HI29" s="25"/>
      <c r="HJ29" s="25"/>
      <c r="HK29" s="25"/>
      <c r="HL29" s="25"/>
      <c r="HM29" s="25"/>
      <c r="HO29" s="23"/>
      <c r="HP29" s="23"/>
      <c r="HR29" s="25"/>
      <c r="HS29" s="25"/>
      <c r="HT29" s="25"/>
      <c r="HU29" s="25"/>
      <c r="HV29" s="25"/>
      <c r="HW29" s="25"/>
      <c r="HX29" s="25"/>
      <c r="HY29" s="25"/>
      <c r="HZ29" s="25"/>
      <c r="IA29" s="25"/>
      <c r="IB29" s="25"/>
      <c r="IC29" s="25"/>
      <c r="ID29" s="25"/>
      <c r="IE29" s="25"/>
      <c r="IF29" s="25"/>
      <c r="IG29" s="25"/>
      <c r="IH29" s="25"/>
      <c r="II29" s="25"/>
      <c r="IJ29" s="25"/>
      <c r="IK29" s="25"/>
      <c r="IL29" s="25"/>
      <c r="IM29" s="25"/>
      <c r="IN29" s="25"/>
      <c r="IO29" s="25"/>
      <c r="IP29" s="25"/>
      <c r="IQ29" s="25"/>
      <c r="IR29" s="25"/>
      <c r="IS29" s="25"/>
      <c r="IT29" s="25"/>
      <c r="IU29" s="25"/>
      <c r="IV29" s="25"/>
      <c r="IX29" s="25"/>
      <c r="IY29" s="25"/>
      <c r="IZ29" s="25"/>
      <c r="JA29" s="25"/>
      <c r="JB29" s="25"/>
      <c r="JC29" s="25"/>
      <c r="JD29" s="25"/>
      <c r="JE29" s="25"/>
      <c r="JF29" s="25"/>
      <c r="JG29" s="25"/>
      <c r="JH29" s="25"/>
      <c r="JI29" s="25"/>
      <c r="JJ29" s="25"/>
      <c r="JK29" s="25"/>
      <c r="JL29" s="25"/>
      <c r="JM29" s="25"/>
      <c r="JN29" s="25"/>
      <c r="JO29" s="25"/>
      <c r="JP29" s="25"/>
      <c r="JQ29" s="25"/>
      <c r="JR29" s="25"/>
      <c r="JS29" s="25"/>
      <c r="JT29" s="25"/>
      <c r="JU29" s="25"/>
      <c r="JV29" s="25"/>
      <c r="JW29" s="25"/>
      <c r="JX29" s="25"/>
      <c r="JY29" s="25"/>
      <c r="JZ29" s="25"/>
      <c r="KA29" s="25"/>
      <c r="KB29" s="25"/>
      <c r="KD29" s="25"/>
      <c r="KE29" s="25"/>
      <c r="KF29" s="25"/>
      <c r="KG29" s="25"/>
      <c r="KH29" s="25"/>
      <c r="KI29" s="25"/>
      <c r="KJ29" s="25"/>
      <c r="KK29" s="25"/>
      <c r="KL29" s="25"/>
      <c r="KM29" s="25"/>
      <c r="KN29" s="25"/>
      <c r="KO29" s="25"/>
      <c r="KP29" s="25"/>
      <c r="KQ29" s="25"/>
      <c r="KR29" s="25"/>
      <c r="KS29" s="25"/>
      <c r="KT29" s="25"/>
      <c r="KU29" s="25"/>
      <c r="KV29" s="25"/>
      <c r="KW29" s="25"/>
      <c r="KX29" s="25"/>
      <c r="KY29" s="25"/>
      <c r="KZ29" s="25"/>
      <c r="LA29" s="25"/>
      <c r="LB29" s="25"/>
      <c r="LC29" s="25"/>
      <c r="LD29" s="25"/>
      <c r="LE29" s="25"/>
      <c r="LF29" s="25"/>
      <c r="LG29" s="25"/>
      <c r="LH29" s="25"/>
      <c r="LJ29" s="25"/>
      <c r="LK29" s="25"/>
      <c r="LL29" s="25"/>
      <c r="LM29" s="25"/>
      <c r="LN29" s="25"/>
      <c r="LO29" s="25"/>
      <c r="LP29" s="25"/>
      <c r="LQ29" s="25"/>
      <c r="LR29" s="25"/>
      <c r="LS29" s="25"/>
      <c r="LT29" s="25"/>
      <c r="LU29" s="25"/>
      <c r="LV29" s="25"/>
      <c r="LW29" s="25"/>
      <c r="LX29" s="25"/>
      <c r="LY29" s="25"/>
      <c r="LZ29" s="25"/>
      <c r="MA29" s="25"/>
      <c r="MB29" s="25"/>
      <c r="MC29" s="25"/>
      <c r="MD29" s="25"/>
      <c r="ME29" s="25"/>
      <c r="MF29" s="25"/>
      <c r="MG29" s="25"/>
      <c r="MH29" s="25"/>
      <c r="MI29" s="25"/>
      <c r="MJ29" s="25"/>
      <c r="MK29" s="25"/>
      <c r="ML29" s="25"/>
      <c r="MM29" s="25"/>
      <c r="MN29" s="25"/>
      <c r="MP29" s="25"/>
      <c r="MQ29" s="25"/>
      <c r="MR29" s="25"/>
      <c r="MS29" s="25"/>
      <c r="MT29" s="25"/>
      <c r="MU29" s="25"/>
      <c r="MV29" s="25"/>
      <c r="MW29" s="25"/>
      <c r="MX29" s="25"/>
      <c r="MY29" s="25"/>
      <c r="MZ29" s="25"/>
      <c r="NA29" s="25"/>
      <c r="NB29" s="25"/>
      <c r="NC29" s="25"/>
      <c r="ND29" s="25"/>
      <c r="NE29" s="25"/>
      <c r="NF29" s="25"/>
      <c r="NG29" s="25"/>
      <c r="NH29" s="25"/>
      <c r="NI29" s="25"/>
      <c r="NJ29" s="25"/>
      <c r="NK29" s="25"/>
      <c r="NL29" s="25"/>
      <c r="NM29" s="25"/>
      <c r="NN29" s="25"/>
      <c r="NO29" s="25"/>
      <c r="NP29" s="25"/>
      <c r="NQ29" s="25"/>
      <c r="NR29" s="25"/>
      <c r="NS29" s="25"/>
      <c r="NT29" s="25"/>
      <c r="NV29" s="25"/>
      <c r="NW29" s="25"/>
      <c r="NX29" s="25"/>
      <c r="NY29" s="25"/>
      <c r="NZ29" s="25"/>
      <c r="OA29" s="25"/>
      <c r="OB29" s="25"/>
      <c r="OC29" s="25"/>
      <c r="OD29" s="25"/>
      <c r="OE29" s="25"/>
      <c r="OF29" s="25"/>
      <c r="OG29" s="25"/>
      <c r="OH29" s="25"/>
      <c r="OI29" s="25"/>
      <c r="OJ29" s="25"/>
      <c r="OK29" s="25"/>
      <c r="OL29" s="25"/>
      <c r="OM29" s="25"/>
      <c r="ON29" s="25"/>
      <c r="OO29" s="25"/>
      <c r="OP29" s="25"/>
      <c r="OQ29" s="25"/>
      <c r="OR29" s="25"/>
      <c r="OS29" s="25"/>
      <c r="OT29" s="25"/>
      <c r="OU29" s="25"/>
      <c r="OV29" s="25"/>
      <c r="OW29" s="25"/>
      <c r="OX29" s="25"/>
      <c r="OY29" s="25"/>
      <c r="OZ29" s="25"/>
      <c r="PB29" s="29"/>
      <c r="PC29" s="29"/>
      <c r="PD29" s="29"/>
      <c r="PE29" s="29"/>
      <c r="PF29" s="29"/>
      <c r="PH29" s="29"/>
      <c r="PI29" s="29"/>
      <c r="PJ29" s="29"/>
      <c r="PK29" s="29"/>
      <c r="PM29" s="29"/>
      <c r="PN29" s="3"/>
      <c r="PO29" s="29"/>
      <c r="PP29" s="93"/>
      <c r="PQ29" s="29"/>
      <c r="PR29" s="3"/>
      <c r="PT29" s="29"/>
      <c r="PU29" s="3"/>
      <c r="PV29" s="29"/>
      <c r="PW29" s="3"/>
      <c r="PZ29" s="35"/>
      <c r="QA29" s="81"/>
      <c r="QB29" s="81"/>
    </row>
    <row r="30" spans="2:444">
      <c r="B30" s="3"/>
      <c r="D30" s="39" t="str">
        <f t="shared" si="12"/>
        <v>-/-</v>
      </c>
      <c r="F30" s="3"/>
      <c r="H30" s="118"/>
      <c r="J30" s="118"/>
      <c r="L30" s="118"/>
      <c r="N30" s="118"/>
      <c r="O30" s="118"/>
      <c r="P30" s="118"/>
      <c r="Q30" s="118"/>
      <c r="R30" s="118"/>
      <c r="S30" s="118"/>
      <c r="U30" s="118"/>
      <c r="V30" s="118"/>
      <c r="W30" s="118"/>
      <c r="X30" s="118"/>
      <c r="Z30" s="118"/>
      <c r="AB30" s="19"/>
      <c r="AC30" s="19"/>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Q30" s="25"/>
      <c r="CR30" s="25"/>
      <c r="CS30" s="25"/>
      <c r="CT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c r="DR30" s="25"/>
      <c r="DS30" s="25"/>
      <c r="DT30" s="25"/>
      <c r="DU30" s="25"/>
      <c r="DW30" s="25"/>
      <c r="DX30" s="25"/>
      <c r="DY30" s="25"/>
      <c r="DZ30" s="25"/>
      <c r="EA30" s="25"/>
      <c r="EB30" s="25"/>
      <c r="EC30" s="25"/>
      <c r="ED30" s="25"/>
      <c r="EE30" s="25"/>
      <c r="EF30" s="25"/>
      <c r="EG30" s="25"/>
      <c r="EH30" s="25"/>
      <c r="EI30" s="25"/>
      <c r="EJ30" s="25"/>
      <c r="EK30" s="25"/>
      <c r="EL30" s="25"/>
      <c r="EM30" s="25"/>
      <c r="EN30" s="25"/>
      <c r="EO30" s="25"/>
      <c r="EP30" s="25"/>
      <c r="EQ30" s="25"/>
      <c r="ER30" s="25"/>
      <c r="ES30" s="25"/>
      <c r="ET30" s="25"/>
      <c r="EU30" s="25"/>
      <c r="EV30" s="25"/>
      <c r="EW30" s="25"/>
      <c r="EX30" s="25"/>
      <c r="EY30" s="25"/>
      <c r="EZ30" s="25"/>
      <c r="FA30" s="25"/>
      <c r="FC30" s="25"/>
      <c r="FD30" s="25"/>
      <c r="FE30" s="25"/>
      <c r="FF30" s="25"/>
      <c r="FG30" s="25"/>
      <c r="FH30" s="25"/>
      <c r="FI30" s="25"/>
      <c r="FJ30" s="25"/>
      <c r="FK30" s="25"/>
      <c r="FL30" s="25"/>
      <c r="FM30" s="25"/>
      <c r="FN30" s="25"/>
      <c r="FO30" s="25"/>
      <c r="FP30" s="25"/>
      <c r="FQ30" s="25"/>
      <c r="FR30" s="25"/>
      <c r="FS30" s="25"/>
      <c r="FT30" s="25"/>
      <c r="FU30" s="25"/>
      <c r="FV30" s="25"/>
      <c r="FW30" s="25"/>
      <c r="FX30" s="25"/>
      <c r="FY30" s="25"/>
      <c r="FZ30" s="25"/>
      <c r="GA30" s="25"/>
      <c r="GB30" s="25"/>
      <c r="GC30" s="25"/>
      <c r="GD30" s="25"/>
      <c r="GE30" s="25"/>
      <c r="GF30" s="25"/>
      <c r="GG30" s="25"/>
      <c r="GI30" s="25"/>
      <c r="GJ30" s="25"/>
      <c r="GK30" s="25"/>
      <c r="GL30" s="25"/>
      <c r="GM30" s="25"/>
      <c r="GN30" s="25"/>
      <c r="GO30" s="25"/>
      <c r="GP30" s="25"/>
      <c r="GQ30" s="25"/>
      <c r="GR30" s="25"/>
      <c r="GS30" s="25"/>
      <c r="GT30" s="25"/>
      <c r="GU30" s="25"/>
      <c r="GV30" s="25"/>
      <c r="GW30" s="25"/>
      <c r="GX30" s="25"/>
      <c r="GY30" s="25"/>
      <c r="GZ30" s="25"/>
      <c r="HA30" s="25"/>
      <c r="HB30" s="25"/>
      <c r="HC30" s="25"/>
      <c r="HD30" s="25"/>
      <c r="HE30" s="25"/>
      <c r="HF30" s="25"/>
      <c r="HG30" s="25"/>
      <c r="HH30" s="25"/>
      <c r="HI30" s="25"/>
      <c r="HJ30" s="25"/>
      <c r="HK30" s="25"/>
      <c r="HL30" s="25"/>
      <c r="HM30" s="25"/>
      <c r="HO30" s="23"/>
      <c r="HP30" s="23"/>
      <c r="HR30" s="25"/>
      <c r="HS30" s="25"/>
      <c r="HT30" s="25"/>
      <c r="HU30" s="25"/>
      <c r="HV30" s="25"/>
      <c r="HW30" s="25"/>
      <c r="HX30" s="25"/>
      <c r="HY30" s="25"/>
      <c r="HZ30" s="25"/>
      <c r="IA30" s="25"/>
      <c r="IB30" s="25"/>
      <c r="IC30" s="25"/>
      <c r="ID30" s="25"/>
      <c r="IE30" s="25"/>
      <c r="IF30" s="25"/>
      <c r="IG30" s="25"/>
      <c r="IH30" s="25"/>
      <c r="II30" s="25"/>
      <c r="IJ30" s="25"/>
      <c r="IK30" s="25"/>
      <c r="IL30" s="25"/>
      <c r="IM30" s="25"/>
      <c r="IN30" s="25"/>
      <c r="IO30" s="25"/>
      <c r="IP30" s="25"/>
      <c r="IQ30" s="25"/>
      <c r="IR30" s="25"/>
      <c r="IS30" s="25"/>
      <c r="IT30" s="25"/>
      <c r="IU30" s="25"/>
      <c r="IV30" s="25"/>
      <c r="IX30" s="25"/>
      <c r="IY30" s="25"/>
      <c r="IZ30" s="25"/>
      <c r="JA30" s="25"/>
      <c r="JB30" s="25"/>
      <c r="JC30" s="25"/>
      <c r="JD30" s="25"/>
      <c r="JE30" s="25"/>
      <c r="JF30" s="25"/>
      <c r="JG30" s="25"/>
      <c r="JH30" s="25"/>
      <c r="JI30" s="25"/>
      <c r="JJ30" s="25"/>
      <c r="JK30" s="25"/>
      <c r="JL30" s="25"/>
      <c r="JM30" s="25"/>
      <c r="JN30" s="25"/>
      <c r="JO30" s="25"/>
      <c r="JP30" s="25"/>
      <c r="JQ30" s="25"/>
      <c r="JR30" s="25"/>
      <c r="JS30" s="25"/>
      <c r="JT30" s="25"/>
      <c r="JU30" s="25"/>
      <c r="JV30" s="25"/>
      <c r="JW30" s="25"/>
      <c r="JX30" s="25"/>
      <c r="JY30" s="25"/>
      <c r="JZ30" s="25"/>
      <c r="KA30" s="25"/>
      <c r="KB30" s="25"/>
      <c r="KD30" s="25"/>
      <c r="KE30" s="25"/>
      <c r="KF30" s="25"/>
      <c r="KG30" s="25"/>
      <c r="KH30" s="25"/>
      <c r="KI30" s="25"/>
      <c r="KJ30" s="25"/>
      <c r="KK30" s="25"/>
      <c r="KL30" s="25"/>
      <c r="KM30" s="25"/>
      <c r="KN30" s="25"/>
      <c r="KO30" s="25"/>
      <c r="KP30" s="25"/>
      <c r="KQ30" s="25"/>
      <c r="KR30" s="25"/>
      <c r="KS30" s="25"/>
      <c r="KT30" s="25"/>
      <c r="KU30" s="25"/>
      <c r="KV30" s="25"/>
      <c r="KW30" s="25"/>
      <c r="KX30" s="25"/>
      <c r="KY30" s="25"/>
      <c r="KZ30" s="25"/>
      <c r="LA30" s="25"/>
      <c r="LB30" s="25"/>
      <c r="LC30" s="25"/>
      <c r="LD30" s="25"/>
      <c r="LE30" s="25"/>
      <c r="LF30" s="25"/>
      <c r="LG30" s="25"/>
      <c r="LH30" s="25"/>
      <c r="LJ30" s="25"/>
      <c r="LK30" s="25"/>
      <c r="LL30" s="25"/>
      <c r="LM30" s="25"/>
      <c r="LN30" s="25"/>
      <c r="LO30" s="25"/>
      <c r="LP30" s="25"/>
      <c r="LQ30" s="25"/>
      <c r="LR30" s="25"/>
      <c r="LS30" s="25"/>
      <c r="LT30" s="25"/>
      <c r="LU30" s="25"/>
      <c r="LV30" s="25"/>
      <c r="LW30" s="25"/>
      <c r="LX30" s="25"/>
      <c r="LY30" s="25"/>
      <c r="LZ30" s="25"/>
      <c r="MA30" s="25"/>
      <c r="MB30" s="25"/>
      <c r="MC30" s="25"/>
      <c r="MD30" s="25"/>
      <c r="ME30" s="25"/>
      <c r="MF30" s="25"/>
      <c r="MG30" s="25"/>
      <c r="MH30" s="25"/>
      <c r="MI30" s="25"/>
      <c r="MJ30" s="25"/>
      <c r="MK30" s="25"/>
      <c r="ML30" s="25"/>
      <c r="MM30" s="25"/>
      <c r="MN30" s="25"/>
      <c r="MP30" s="25"/>
      <c r="MQ30" s="25"/>
      <c r="MR30" s="25"/>
      <c r="MS30" s="25"/>
      <c r="MT30" s="25"/>
      <c r="MU30" s="25"/>
      <c r="MV30" s="25"/>
      <c r="MW30" s="25"/>
      <c r="MX30" s="25"/>
      <c r="MY30" s="25"/>
      <c r="MZ30" s="25"/>
      <c r="NA30" s="25"/>
      <c r="NB30" s="25"/>
      <c r="NC30" s="25"/>
      <c r="ND30" s="25"/>
      <c r="NE30" s="25"/>
      <c r="NF30" s="25"/>
      <c r="NG30" s="25"/>
      <c r="NH30" s="25"/>
      <c r="NI30" s="25"/>
      <c r="NJ30" s="25"/>
      <c r="NK30" s="25"/>
      <c r="NL30" s="25"/>
      <c r="NM30" s="25"/>
      <c r="NN30" s="25"/>
      <c r="NO30" s="25"/>
      <c r="NP30" s="25"/>
      <c r="NQ30" s="25"/>
      <c r="NR30" s="25"/>
      <c r="NS30" s="25"/>
      <c r="NT30" s="25"/>
      <c r="NV30" s="25"/>
      <c r="NW30" s="25"/>
      <c r="NX30" s="25"/>
      <c r="NY30" s="25"/>
      <c r="NZ30" s="25"/>
      <c r="OA30" s="25"/>
      <c r="OB30" s="25"/>
      <c r="OC30" s="25"/>
      <c r="OD30" s="25"/>
      <c r="OE30" s="25"/>
      <c r="OF30" s="25"/>
      <c r="OG30" s="25"/>
      <c r="OH30" s="25"/>
      <c r="OI30" s="25"/>
      <c r="OJ30" s="25"/>
      <c r="OK30" s="25"/>
      <c r="OL30" s="25"/>
      <c r="OM30" s="25"/>
      <c r="ON30" s="25"/>
      <c r="OO30" s="25"/>
      <c r="OP30" s="25"/>
      <c r="OQ30" s="25"/>
      <c r="OR30" s="25"/>
      <c r="OS30" s="25"/>
      <c r="OT30" s="25"/>
      <c r="OU30" s="25"/>
      <c r="OV30" s="25"/>
      <c r="OW30" s="25"/>
      <c r="OX30" s="25"/>
      <c r="OY30" s="25"/>
      <c r="OZ30" s="25"/>
      <c r="PB30" s="29"/>
      <c r="PC30" s="29"/>
      <c r="PD30" s="29"/>
      <c r="PE30" s="29"/>
      <c r="PF30" s="29"/>
      <c r="PH30" s="29"/>
      <c r="PI30" s="29"/>
      <c r="PJ30" s="29"/>
      <c r="PK30" s="29"/>
      <c r="PM30" s="29"/>
      <c r="PN30" s="3"/>
      <c r="PO30" s="29"/>
      <c r="PP30" s="93"/>
      <c r="PQ30" s="29"/>
      <c r="PR30" s="3"/>
      <c r="PT30" s="29"/>
      <c r="PU30" s="3"/>
      <c r="PV30" s="29"/>
      <c r="PW30" s="3"/>
      <c r="PZ30" s="35"/>
      <c r="QA30" s="81"/>
      <c r="QB30" s="81"/>
    </row>
    <row r="31" spans="2:444">
      <c r="B31" s="3"/>
      <c r="D31" s="39" t="str">
        <f t="shared" si="12"/>
        <v>-/-</v>
      </c>
      <c r="F31" s="3"/>
      <c r="H31" s="118"/>
      <c r="J31" s="118"/>
      <c r="L31" s="118"/>
      <c r="N31" s="118"/>
      <c r="O31" s="118"/>
      <c r="P31" s="118"/>
      <c r="Q31" s="118"/>
      <c r="R31" s="118"/>
      <c r="S31" s="118"/>
      <c r="U31" s="118"/>
      <c r="V31" s="118"/>
      <c r="W31" s="118"/>
      <c r="X31" s="118"/>
      <c r="Z31" s="118"/>
      <c r="AB31" s="19"/>
      <c r="AC31" s="19"/>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Q31" s="25"/>
      <c r="CR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c r="DR31" s="25"/>
      <c r="DS31" s="25"/>
      <c r="DT31" s="25"/>
      <c r="DU31" s="25"/>
      <c r="DW31" s="25"/>
      <c r="DX31" s="25"/>
      <c r="DY31" s="25"/>
      <c r="DZ31" s="2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C31" s="25"/>
      <c r="FD31" s="25"/>
      <c r="FE31" s="25"/>
      <c r="FF31" s="25"/>
      <c r="FG31" s="25"/>
      <c r="FH31" s="25"/>
      <c r="FI31" s="25"/>
      <c r="FJ31" s="25"/>
      <c r="FK31" s="25"/>
      <c r="FL31" s="25"/>
      <c r="FM31" s="25"/>
      <c r="FN31" s="25"/>
      <c r="FO31" s="25"/>
      <c r="FP31" s="25"/>
      <c r="FQ31" s="25"/>
      <c r="FR31" s="25"/>
      <c r="FS31" s="25"/>
      <c r="FT31" s="25"/>
      <c r="FU31" s="25"/>
      <c r="FV31" s="25"/>
      <c r="FW31" s="25"/>
      <c r="FX31" s="25"/>
      <c r="FY31" s="25"/>
      <c r="FZ31" s="25"/>
      <c r="GA31" s="25"/>
      <c r="GB31" s="25"/>
      <c r="GC31" s="25"/>
      <c r="GD31" s="25"/>
      <c r="GE31" s="25"/>
      <c r="GF31" s="25"/>
      <c r="GG31" s="25"/>
      <c r="GI31" s="25"/>
      <c r="GJ31" s="25"/>
      <c r="GK31" s="25"/>
      <c r="GL31" s="25"/>
      <c r="GM31" s="25"/>
      <c r="GN31" s="25"/>
      <c r="GO31" s="25"/>
      <c r="GP31" s="25"/>
      <c r="GQ31" s="25"/>
      <c r="GR31" s="25"/>
      <c r="GS31" s="25"/>
      <c r="GT31" s="25"/>
      <c r="GU31" s="25"/>
      <c r="GV31" s="25"/>
      <c r="GW31" s="25"/>
      <c r="GX31" s="25"/>
      <c r="GY31" s="25"/>
      <c r="GZ31" s="25"/>
      <c r="HA31" s="25"/>
      <c r="HB31" s="25"/>
      <c r="HC31" s="25"/>
      <c r="HD31" s="25"/>
      <c r="HE31" s="25"/>
      <c r="HF31" s="25"/>
      <c r="HG31" s="25"/>
      <c r="HH31" s="25"/>
      <c r="HI31" s="25"/>
      <c r="HJ31" s="25"/>
      <c r="HK31" s="25"/>
      <c r="HL31" s="25"/>
      <c r="HM31" s="25"/>
      <c r="HO31" s="23"/>
      <c r="HP31" s="23"/>
      <c r="HR31" s="25"/>
      <c r="HS31" s="25"/>
      <c r="HT31" s="25"/>
      <c r="HU31" s="25"/>
      <c r="HV31" s="25"/>
      <c r="HW31" s="25"/>
      <c r="HX31" s="25"/>
      <c r="HY31" s="25"/>
      <c r="HZ31" s="25"/>
      <c r="IA31" s="25"/>
      <c r="IB31" s="25"/>
      <c r="IC31" s="25"/>
      <c r="ID31" s="25"/>
      <c r="IE31" s="25"/>
      <c r="IF31" s="25"/>
      <c r="IG31" s="25"/>
      <c r="IH31" s="25"/>
      <c r="II31" s="25"/>
      <c r="IJ31" s="25"/>
      <c r="IK31" s="25"/>
      <c r="IL31" s="25"/>
      <c r="IM31" s="25"/>
      <c r="IN31" s="25"/>
      <c r="IO31" s="25"/>
      <c r="IP31" s="25"/>
      <c r="IQ31" s="25"/>
      <c r="IR31" s="25"/>
      <c r="IS31" s="25"/>
      <c r="IT31" s="25"/>
      <c r="IU31" s="25"/>
      <c r="IV31" s="25"/>
      <c r="IX31" s="25"/>
      <c r="IY31" s="25"/>
      <c r="IZ31" s="25"/>
      <c r="JA31" s="25"/>
      <c r="JB31" s="25"/>
      <c r="JC31" s="25"/>
      <c r="JD31" s="25"/>
      <c r="JE31" s="25"/>
      <c r="JF31" s="25"/>
      <c r="JG31" s="25"/>
      <c r="JH31" s="25"/>
      <c r="JI31" s="25"/>
      <c r="JJ31" s="25"/>
      <c r="JK31" s="25"/>
      <c r="JL31" s="25"/>
      <c r="JM31" s="25"/>
      <c r="JN31" s="25"/>
      <c r="JO31" s="25"/>
      <c r="JP31" s="25"/>
      <c r="JQ31" s="25"/>
      <c r="JR31" s="25"/>
      <c r="JS31" s="25"/>
      <c r="JT31" s="25"/>
      <c r="JU31" s="25"/>
      <c r="JV31" s="25"/>
      <c r="JW31" s="25"/>
      <c r="JX31" s="25"/>
      <c r="JY31" s="25"/>
      <c r="JZ31" s="25"/>
      <c r="KA31" s="25"/>
      <c r="KB31" s="25"/>
      <c r="KD31" s="25"/>
      <c r="KE31" s="25"/>
      <c r="KF31" s="25"/>
      <c r="KG31" s="25"/>
      <c r="KH31" s="25"/>
      <c r="KI31" s="25"/>
      <c r="KJ31" s="25"/>
      <c r="KK31" s="25"/>
      <c r="KL31" s="25"/>
      <c r="KM31" s="25"/>
      <c r="KN31" s="25"/>
      <c r="KO31" s="25"/>
      <c r="KP31" s="25"/>
      <c r="KQ31" s="25"/>
      <c r="KR31" s="25"/>
      <c r="KS31" s="25"/>
      <c r="KT31" s="25"/>
      <c r="KU31" s="25"/>
      <c r="KV31" s="25"/>
      <c r="KW31" s="25"/>
      <c r="KX31" s="25"/>
      <c r="KY31" s="25"/>
      <c r="KZ31" s="25"/>
      <c r="LA31" s="25"/>
      <c r="LB31" s="25"/>
      <c r="LC31" s="25"/>
      <c r="LD31" s="25"/>
      <c r="LE31" s="25"/>
      <c r="LF31" s="25"/>
      <c r="LG31" s="25"/>
      <c r="LH31" s="25"/>
      <c r="LJ31" s="25"/>
      <c r="LK31" s="25"/>
      <c r="LL31" s="25"/>
      <c r="LM31" s="25"/>
      <c r="LN31" s="25"/>
      <c r="LO31" s="25"/>
      <c r="LP31" s="25"/>
      <c r="LQ31" s="25"/>
      <c r="LR31" s="25"/>
      <c r="LS31" s="25"/>
      <c r="LT31" s="25"/>
      <c r="LU31" s="25"/>
      <c r="LV31" s="25"/>
      <c r="LW31" s="25"/>
      <c r="LX31" s="25"/>
      <c r="LY31" s="25"/>
      <c r="LZ31" s="25"/>
      <c r="MA31" s="25"/>
      <c r="MB31" s="25"/>
      <c r="MC31" s="25"/>
      <c r="MD31" s="25"/>
      <c r="ME31" s="25"/>
      <c r="MF31" s="25"/>
      <c r="MG31" s="25"/>
      <c r="MH31" s="25"/>
      <c r="MI31" s="25"/>
      <c r="MJ31" s="25"/>
      <c r="MK31" s="25"/>
      <c r="ML31" s="25"/>
      <c r="MM31" s="25"/>
      <c r="MN31" s="25"/>
      <c r="MP31" s="25"/>
      <c r="MQ31" s="25"/>
      <c r="MR31" s="25"/>
      <c r="MS31" s="25"/>
      <c r="MT31" s="25"/>
      <c r="MU31" s="25"/>
      <c r="MV31" s="25"/>
      <c r="MW31" s="25"/>
      <c r="MX31" s="25"/>
      <c r="MY31" s="25"/>
      <c r="MZ31" s="25"/>
      <c r="NA31" s="25"/>
      <c r="NB31" s="25"/>
      <c r="NC31" s="25"/>
      <c r="ND31" s="25"/>
      <c r="NE31" s="25"/>
      <c r="NF31" s="25"/>
      <c r="NG31" s="25"/>
      <c r="NH31" s="25"/>
      <c r="NI31" s="25"/>
      <c r="NJ31" s="25"/>
      <c r="NK31" s="25"/>
      <c r="NL31" s="25"/>
      <c r="NM31" s="25"/>
      <c r="NN31" s="25"/>
      <c r="NO31" s="25"/>
      <c r="NP31" s="25"/>
      <c r="NQ31" s="25"/>
      <c r="NR31" s="25"/>
      <c r="NS31" s="25"/>
      <c r="NT31" s="25"/>
      <c r="NV31" s="25"/>
      <c r="NW31" s="25"/>
      <c r="NX31" s="25"/>
      <c r="NY31" s="25"/>
      <c r="NZ31" s="25"/>
      <c r="OA31" s="25"/>
      <c r="OB31" s="25"/>
      <c r="OC31" s="25"/>
      <c r="OD31" s="25"/>
      <c r="OE31" s="25"/>
      <c r="OF31" s="25"/>
      <c r="OG31" s="25"/>
      <c r="OH31" s="25"/>
      <c r="OI31" s="25"/>
      <c r="OJ31" s="25"/>
      <c r="OK31" s="25"/>
      <c r="OL31" s="25"/>
      <c r="OM31" s="25"/>
      <c r="ON31" s="25"/>
      <c r="OO31" s="25"/>
      <c r="OP31" s="25"/>
      <c r="OQ31" s="25"/>
      <c r="OR31" s="25"/>
      <c r="OS31" s="25"/>
      <c r="OT31" s="25"/>
      <c r="OU31" s="25"/>
      <c r="OV31" s="25"/>
      <c r="OW31" s="25"/>
      <c r="OX31" s="25"/>
      <c r="OY31" s="25"/>
      <c r="OZ31" s="25"/>
      <c r="PB31" s="29"/>
      <c r="PC31" s="29"/>
      <c r="PD31" s="29"/>
      <c r="PE31" s="29"/>
      <c r="PF31" s="29"/>
      <c r="PH31" s="29"/>
      <c r="PI31" s="29"/>
      <c r="PJ31" s="29"/>
      <c r="PK31" s="29"/>
      <c r="PM31" s="29"/>
      <c r="PN31" s="3"/>
      <c r="PO31" s="29"/>
      <c r="PP31" s="93"/>
      <c r="PQ31" s="29"/>
      <c r="PR31" s="3"/>
      <c r="PT31" s="29"/>
      <c r="PU31" s="3"/>
      <c r="PV31" s="29"/>
      <c r="PW31" s="3"/>
      <c r="PZ31" s="35"/>
      <c r="QA31" s="81"/>
      <c r="QB31" s="81"/>
    </row>
    <row r="32" spans="2:444">
      <c r="B32" s="3"/>
      <c r="D32" s="39" t="str">
        <f t="shared" si="12"/>
        <v>-/-</v>
      </c>
      <c r="F32" s="3"/>
      <c r="H32" s="118"/>
      <c r="J32" s="118"/>
      <c r="L32" s="118"/>
      <c r="N32" s="118"/>
      <c r="O32" s="118"/>
      <c r="P32" s="118"/>
      <c r="Q32" s="118"/>
      <c r="R32" s="118"/>
      <c r="S32" s="118"/>
      <c r="U32" s="118"/>
      <c r="V32" s="118"/>
      <c r="W32" s="118"/>
      <c r="X32" s="118"/>
      <c r="Z32" s="118"/>
      <c r="AB32" s="19"/>
      <c r="AC32" s="19"/>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W32" s="25"/>
      <c r="DX32" s="25"/>
      <c r="DY32" s="25"/>
      <c r="DZ32" s="2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C32" s="25"/>
      <c r="FD32" s="25"/>
      <c r="FE32" s="25"/>
      <c r="FF32" s="25"/>
      <c r="FG32" s="25"/>
      <c r="FH32" s="25"/>
      <c r="FI32" s="25"/>
      <c r="FJ32" s="25"/>
      <c r="FK32" s="25"/>
      <c r="FL32" s="25"/>
      <c r="FM32" s="25"/>
      <c r="FN32" s="25"/>
      <c r="FO32" s="25"/>
      <c r="FP32" s="25"/>
      <c r="FQ32" s="25"/>
      <c r="FR32" s="25"/>
      <c r="FS32" s="25"/>
      <c r="FT32" s="25"/>
      <c r="FU32" s="25"/>
      <c r="FV32" s="25"/>
      <c r="FW32" s="25"/>
      <c r="FX32" s="25"/>
      <c r="FY32" s="25"/>
      <c r="FZ32" s="25"/>
      <c r="GA32" s="25"/>
      <c r="GB32" s="25"/>
      <c r="GC32" s="25"/>
      <c r="GD32" s="25"/>
      <c r="GE32" s="25"/>
      <c r="GF32" s="25"/>
      <c r="GG32" s="25"/>
      <c r="GI32" s="25"/>
      <c r="GJ32" s="25"/>
      <c r="GK32" s="25"/>
      <c r="GL32" s="25"/>
      <c r="GM32" s="25"/>
      <c r="GN32" s="25"/>
      <c r="GO32" s="25"/>
      <c r="GP32" s="25"/>
      <c r="GQ32" s="25"/>
      <c r="GR32" s="25"/>
      <c r="GS32" s="25"/>
      <c r="GT32" s="25"/>
      <c r="GU32" s="25"/>
      <c r="GV32" s="25"/>
      <c r="GW32" s="25"/>
      <c r="GX32" s="25"/>
      <c r="GY32" s="25"/>
      <c r="GZ32" s="25"/>
      <c r="HA32" s="25"/>
      <c r="HB32" s="25"/>
      <c r="HC32" s="25"/>
      <c r="HD32" s="25"/>
      <c r="HE32" s="25"/>
      <c r="HF32" s="25"/>
      <c r="HG32" s="25"/>
      <c r="HH32" s="25"/>
      <c r="HI32" s="25"/>
      <c r="HJ32" s="25"/>
      <c r="HK32" s="25"/>
      <c r="HL32" s="25"/>
      <c r="HM32" s="25"/>
      <c r="HO32" s="23"/>
      <c r="HP32" s="23"/>
      <c r="HR32" s="25"/>
      <c r="HS32" s="25"/>
      <c r="HT32" s="25"/>
      <c r="HU32" s="25"/>
      <c r="HV32" s="25"/>
      <c r="HW32" s="25"/>
      <c r="HX32" s="25"/>
      <c r="HY32" s="25"/>
      <c r="HZ32" s="25"/>
      <c r="IA32" s="25"/>
      <c r="IB32" s="25"/>
      <c r="IC32" s="25"/>
      <c r="ID32" s="25"/>
      <c r="IE32" s="25"/>
      <c r="IF32" s="25"/>
      <c r="IG32" s="25"/>
      <c r="IH32" s="25"/>
      <c r="II32" s="25"/>
      <c r="IJ32" s="25"/>
      <c r="IK32" s="25"/>
      <c r="IL32" s="25"/>
      <c r="IM32" s="25"/>
      <c r="IN32" s="25"/>
      <c r="IO32" s="25"/>
      <c r="IP32" s="25"/>
      <c r="IQ32" s="25"/>
      <c r="IR32" s="25"/>
      <c r="IS32" s="25"/>
      <c r="IT32" s="25"/>
      <c r="IU32" s="25"/>
      <c r="IV32" s="25"/>
      <c r="IX32" s="25"/>
      <c r="IY32" s="25"/>
      <c r="IZ32" s="25"/>
      <c r="JA32" s="25"/>
      <c r="JB32" s="25"/>
      <c r="JC32" s="25"/>
      <c r="JD32" s="25"/>
      <c r="JE32" s="25"/>
      <c r="JF32" s="25"/>
      <c r="JG32" s="25"/>
      <c r="JH32" s="25"/>
      <c r="JI32" s="25"/>
      <c r="JJ32" s="25"/>
      <c r="JK32" s="25"/>
      <c r="JL32" s="25"/>
      <c r="JM32" s="25"/>
      <c r="JN32" s="25"/>
      <c r="JO32" s="25"/>
      <c r="JP32" s="25"/>
      <c r="JQ32" s="25"/>
      <c r="JR32" s="25"/>
      <c r="JS32" s="25"/>
      <c r="JT32" s="25"/>
      <c r="JU32" s="25"/>
      <c r="JV32" s="25"/>
      <c r="JW32" s="25"/>
      <c r="JX32" s="25"/>
      <c r="JY32" s="25"/>
      <c r="JZ32" s="25"/>
      <c r="KA32" s="25"/>
      <c r="KB32" s="25"/>
      <c r="KD32" s="25"/>
      <c r="KE32" s="25"/>
      <c r="KF32" s="25"/>
      <c r="KG32" s="25"/>
      <c r="KH32" s="25"/>
      <c r="KI32" s="25"/>
      <c r="KJ32" s="25"/>
      <c r="KK32" s="25"/>
      <c r="KL32" s="25"/>
      <c r="KM32" s="25"/>
      <c r="KN32" s="25"/>
      <c r="KO32" s="25"/>
      <c r="KP32" s="25"/>
      <c r="KQ32" s="25"/>
      <c r="KR32" s="25"/>
      <c r="KS32" s="25"/>
      <c r="KT32" s="25"/>
      <c r="KU32" s="25"/>
      <c r="KV32" s="25"/>
      <c r="KW32" s="25"/>
      <c r="KX32" s="25"/>
      <c r="KY32" s="25"/>
      <c r="KZ32" s="25"/>
      <c r="LA32" s="25"/>
      <c r="LB32" s="25"/>
      <c r="LC32" s="25"/>
      <c r="LD32" s="25"/>
      <c r="LE32" s="25"/>
      <c r="LF32" s="25"/>
      <c r="LG32" s="25"/>
      <c r="LH32" s="25"/>
      <c r="LJ32" s="25"/>
      <c r="LK32" s="25"/>
      <c r="LL32" s="25"/>
      <c r="LM32" s="25"/>
      <c r="LN32" s="25"/>
      <c r="LO32" s="25"/>
      <c r="LP32" s="25"/>
      <c r="LQ32" s="25"/>
      <c r="LR32" s="25"/>
      <c r="LS32" s="25"/>
      <c r="LT32" s="25"/>
      <c r="LU32" s="25"/>
      <c r="LV32" s="25"/>
      <c r="LW32" s="25"/>
      <c r="LX32" s="25"/>
      <c r="LY32" s="25"/>
      <c r="LZ32" s="25"/>
      <c r="MA32" s="25"/>
      <c r="MB32" s="25"/>
      <c r="MC32" s="25"/>
      <c r="MD32" s="25"/>
      <c r="ME32" s="25"/>
      <c r="MF32" s="25"/>
      <c r="MG32" s="25"/>
      <c r="MH32" s="25"/>
      <c r="MI32" s="25"/>
      <c r="MJ32" s="25"/>
      <c r="MK32" s="25"/>
      <c r="ML32" s="25"/>
      <c r="MM32" s="25"/>
      <c r="MN32" s="25"/>
      <c r="MP32" s="25"/>
      <c r="MQ32" s="25"/>
      <c r="MR32" s="25"/>
      <c r="MS32" s="25"/>
      <c r="MT32" s="25"/>
      <c r="MU32" s="25"/>
      <c r="MV32" s="25"/>
      <c r="MW32" s="25"/>
      <c r="MX32" s="25"/>
      <c r="MY32" s="25"/>
      <c r="MZ32" s="25"/>
      <c r="NA32" s="25"/>
      <c r="NB32" s="25"/>
      <c r="NC32" s="25"/>
      <c r="ND32" s="25"/>
      <c r="NE32" s="25"/>
      <c r="NF32" s="25"/>
      <c r="NG32" s="25"/>
      <c r="NH32" s="25"/>
      <c r="NI32" s="25"/>
      <c r="NJ32" s="25"/>
      <c r="NK32" s="25"/>
      <c r="NL32" s="25"/>
      <c r="NM32" s="25"/>
      <c r="NN32" s="25"/>
      <c r="NO32" s="25"/>
      <c r="NP32" s="25"/>
      <c r="NQ32" s="25"/>
      <c r="NR32" s="25"/>
      <c r="NS32" s="25"/>
      <c r="NT32" s="25"/>
      <c r="NV32" s="25"/>
      <c r="NW32" s="25"/>
      <c r="NX32" s="25"/>
      <c r="NY32" s="25"/>
      <c r="NZ32" s="25"/>
      <c r="OA32" s="25"/>
      <c r="OB32" s="25"/>
      <c r="OC32" s="25"/>
      <c r="OD32" s="25"/>
      <c r="OE32" s="25"/>
      <c r="OF32" s="25"/>
      <c r="OG32" s="25"/>
      <c r="OH32" s="25"/>
      <c r="OI32" s="25"/>
      <c r="OJ32" s="25"/>
      <c r="OK32" s="25"/>
      <c r="OL32" s="25"/>
      <c r="OM32" s="25"/>
      <c r="ON32" s="25"/>
      <c r="OO32" s="25"/>
      <c r="OP32" s="25"/>
      <c r="OQ32" s="25"/>
      <c r="OR32" s="25"/>
      <c r="OS32" s="25"/>
      <c r="OT32" s="25"/>
      <c r="OU32" s="25"/>
      <c r="OV32" s="25"/>
      <c r="OW32" s="25"/>
      <c r="OX32" s="25"/>
      <c r="OY32" s="25"/>
      <c r="OZ32" s="25"/>
      <c r="PB32" s="29"/>
      <c r="PC32" s="29"/>
      <c r="PD32" s="29"/>
      <c r="PE32" s="29"/>
      <c r="PF32" s="29"/>
      <c r="PH32" s="29"/>
      <c r="PI32" s="29"/>
      <c r="PJ32" s="29"/>
      <c r="PK32" s="29"/>
      <c r="PM32" s="29"/>
      <c r="PN32" s="3"/>
      <c r="PO32" s="29"/>
      <c r="PP32" s="93"/>
      <c r="PQ32" s="29"/>
      <c r="PR32" s="3"/>
      <c r="PT32" s="29"/>
      <c r="PU32" s="3"/>
      <c r="PV32" s="29"/>
      <c r="PW32" s="3"/>
      <c r="PZ32" s="35"/>
      <c r="QA32" s="81"/>
      <c r="QB32" s="81"/>
    </row>
    <row r="33" spans="2:444">
      <c r="B33" s="3"/>
      <c r="D33" s="39" t="str">
        <f t="shared" si="12"/>
        <v>-/-</v>
      </c>
      <c r="F33" s="3"/>
      <c r="H33" s="118"/>
      <c r="J33" s="118"/>
      <c r="L33" s="118"/>
      <c r="N33" s="118"/>
      <c r="O33" s="118"/>
      <c r="P33" s="118"/>
      <c r="Q33" s="118"/>
      <c r="R33" s="118"/>
      <c r="S33" s="118"/>
      <c r="U33" s="118"/>
      <c r="V33" s="118"/>
      <c r="W33" s="118"/>
      <c r="X33" s="118"/>
      <c r="Z33" s="118"/>
      <c r="AB33" s="19"/>
      <c r="AC33" s="19"/>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Q33" s="25"/>
      <c r="CR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W33" s="25"/>
      <c r="DX33" s="25"/>
      <c r="DY33" s="25"/>
      <c r="DZ33" s="2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C33" s="25"/>
      <c r="FD33" s="25"/>
      <c r="FE33" s="25"/>
      <c r="FF33" s="25"/>
      <c r="FG33" s="25"/>
      <c r="FH33" s="25"/>
      <c r="FI33" s="25"/>
      <c r="FJ33" s="25"/>
      <c r="FK33" s="25"/>
      <c r="FL33" s="25"/>
      <c r="FM33" s="25"/>
      <c r="FN33" s="25"/>
      <c r="FO33" s="25"/>
      <c r="FP33" s="25"/>
      <c r="FQ33" s="25"/>
      <c r="FR33" s="25"/>
      <c r="FS33" s="25"/>
      <c r="FT33" s="25"/>
      <c r="FU33" s="25"/>
      <c r="FV33" s="25"/>
      <c r="FW33" s="25"/>
      <c r="FX33" s="25"/>
      <c r="FY33" s="25"/>
      <c r="FZ33" s="25"/>
      <c r="GA33" s="25"/>
      <c r="GB33" s="25"/>
      <c r="GC33" s="25"/>
      <c r="GD33" s="25"/>
      <c r="GE33" s="25"/>
      <c r="GF33" s="25"/>
      <c r="GG33" s="25"/>
      <c r="GI33" s="25"/>
      <c r="GJ33" s="25"/>
      <c r="GK33" s="25"/>
      <c r="GL33" s="25"/>
      <c r="GM33" s="25"/>
      <c r="GN33" s="25"/>
      <c r="GO33" s="25"/>
      <c r="GP33" s="25"/>
      <c r="GQ33" s="25"/>
      <c r="GR33" s="25"/>
      <c r="GS33" s="25"/>
      <c r="GT33" s="25"/>
      <c r="GU33" s="25"/>
      <c r="GV33" s="25"/>
      <c r="GW33" s="25"/>
      <c r="GX33" s="25"/>
      <c r="GY33" s="25"/>
      <c r="GZ33" s="25"/>
      <c r="HA33" s="25"/>
      <c r="HB33" s="25"/>
      <c r="HC33" s="25"/>
      <c r="HD33" s="25"/>
      <c r="HE33" s="25"/>
      <c r="HF33" s="25"/>
      <c r="HG33" s="25"/>
      <c r="HH33" s="25"/>
      <c r="HI33" s="25"/>
      <c r="HJ33" s="25"/>
      <c r="HK33" s="25"/>
      <c r="HL33" s="25"/>
      <c r="HM33" s="25"/>
      <c r="HO33" s="23"/>
      <c r="HP33" s="23"/>
      <c r="HR33" s="25"/>
      <c r="HS33" s="25"/>
      <c r="HT33" s="25"/>
      <c r="HU33" s="25"/>
      <c r="HV33" s="25"/>
      <c r="HW33" s="25"/>
      <c r="HX33" s="25"/>
      <c r="HY33" s="25"/>
      <c r="HZ33" s="25"/>
      <c r="IA33" s="25"/>
      <c r="IB33" s="25"/>
      <c r="IC33" s="25"/>
      <c r="ID33" s="25"/>
      <c r="IE33" s="25"/>
      <c r="IF33" s="25"/>
      <c r="IG33" s="25"/>
      <c r="IH33" s="25"/>
      <c r="II33" s="25"/>
      <c r="IJ33" s="25"/>
      <c r="IK33" s="25"/>
      <c r="IL33" s="25"/>
      <c r="IM33" s="25"/>
      <c r="IN33" s="25"/>
      <c r="IO33" s="25"/>
      <c r="IP33" s="25"/>
      <c r="IQ33" s="25"/>
      <c r="IR33" s="25"/>
      <c r="IS33" s="25"/>
      <c r="IT33" s="25"/>
      <c r="IU33" s="25"/>
      <c r="IV33" s="25"/>
      <c r="IX33" s="25"/>
      <c r="IY33" s="25"/>
      <c r="IZ33" s="25"/>
      <c r="JA33" s="25"/>
      <c r="JB33" s="25"/>
      <c r="JC33" s="25"/>
      <c r="JD33" s="25"/>
      <c r="JE33" s="25"/>
      <c r="JF33" s="25"/>
      <c r="JG33" s="25"/>
      <c r="JH33" s="25"/>
      <c r="JI33" s="25"/>
      <c r="JJ33" s="25"/>
      <c r="JK33" s="25"/>
      <c r="JL33" s="25"/>
      <c r="JM33" s="25"/>
      <c r="JN33" s="25"/>
      <c r="JO33" s="25"/>
      <c r="JP33" s="25"/>
      <c r="JQ33" s="25"/>
      <c r="JR33" s="25"/>
      <c r="JS33" s="25"/>
      <c r="JT33" s="25"/>
      <c r="JU33" s="25"/>
      <c r="JV33" s="25"/>
      <c r="JW33" s="25"/>
      <c r="JX33" s="25"/>
      <c r="JY33" s="25"/>
      <c r="JZ33" s="25"/>
      <c r="KA33" s="25"/>
      <c r="KB33" s="25"/>
      <c r="KD33" s="25"/>
      <c r="KE33" s="25"/>
      <c r="KF33" s="25"/>
      <c r="KG33" s="25"/>
      <c r="KH33" s="25"/>
      <c r="KI33" s="25"/>
      <c r="KJ33" s="25"/>
      <c r="KK33" s="25"/>
      <c r="KL33" s="25"/>
      <c r="KM33" s="25"/>
      <c r="KN33" s="25"/>
      <c r="KO33" s="25"/>
      <c r="KP33" s="25"/>
      <c r="KQ33" s="25"/>
      <c r="KR33" s="25"/>
      <c r="KS33" s="25"/>
      <c r="KT33" s="25"/>
      <c r="KU33" s="25"/>
      <c r="KV33" s="25"/>
      <c r="KW33" s="25"/>
      <c r="KX33" s="25"/>
      <c r="KY33" s="25"/>
      <c r="KZ33" s="25"/>
      <c r="LA33" s="25"/>
      <c r="LB33" s="25"/>
      <c r="LC33" s="25"/>
      <c r="LD33" s="25"/>
      <c r="LE33" s="25"/>
      <c r="LF33" s="25"/>
      <c r="LG33" s="25"/>
      <c r="LH33" s="25"/>
      <c r="LJ33" s="25"/>
      <c r="LK33" s="25"/>
      <c r="LL33" s="25"/>
      <c r="LM33" s="25"/>
      <c r="LN33" s="25"/>
      <c r="LO33" s="25"/>
      <c r="LP33" s="25"/>
      <c r="LQ33" s="25"/>
      <c r="LR33" s="25"/>
      <c r="LS33" s="25"/>
      <c r="LT33" s="25"/>
      <c r="LU33" s="25"/>
      <c r="LV33" s="25"/>
      <c r="LW33" s="25"/>
      <c r="LX33" s="25"/>
      <c r="LY33" s="25"/>
      <c r="LZ33" s="25"/>
      <c r="MA33" s="25"/>
      <c r="MB33" s="25"/>
      <c r="MC33" s="25"/>
      <c r="MD33" s="25"/>
      <c r="ME33" s="25"/>
      <c r="MF33" s="25"/>
      <c r="MG33" s="25"/>
      <c r="MH33" s="25"/>
      <c r="MI33" s="25"/>
      <c r="MJ33" s="25"/>
      <c r="MK33" s="25"/>
      <c r="ML33" s="25"/>
      <c r="MM33" s="25"/>
      <c r="MN33" s="25"/>
      <c r="MP33" s="25"/>
      <c r="MQ33" s="25"/>
      <c r="MR33" s="25"/>
      <c r="MS33" s="25"/>
      <c r="MT33" s="25"/>
      <c r="MU33" s="25"/>
      <c r="MV33" s="25"/>
      <c r="MW33" s="25"/>
      <c r="MX33" s="25"/>
      <c r="MY33" s="25"/>
      <c r="MZ33" s="25"/>
      <c r="NA33" s="25"/>
      <c r="NB33" s="25"/>
      <c r="NC33" s="25"/>
      <c r="ND33" s="25"/>
      <c r="NE33" s="25"/>
      <c r="NF33" s="25"/>
      <c r="NG33" s="25"/>
      <c r="NH33" s="25"/>
      <c r="NI33" s="25"/>
      <c r="NJ33" s="25"/>
      <c r="NK33" s="25"/>
      <c r="NL33" s="25"/>
      <c r="NM33" s="25"/>
      <c r="NN33" s="25"/>
      <c r="NO33" s="25"/>
      <c r="NP33" s="25"/>
      <c r="NQ33" s="25"/>
      <c r="NR33" s="25"/>
      <c r="NS33" s="25"/>
      <c r="NT33" s="25"/>
      <c r="NV33" s="25"/>
      <c r="NW33" s="25"/>
      <c r="NX33" s="25"/>
      <c r="NY33" s="25"/>
      <c r="NZ33" s="25"/>
      <c r="OA33" s="25"/>
      <c r="OB33" s="25"/>
      <c r="OC33" s="25"/>
      <c r="OD33" s="25"/>
      <c r="OE33" s="25"/>
      <c r="OF33" s="25"/>
      <c r="OG33" s="25"/>
      <c r="OH33" s="25"/>
      <c r="OI33" s="25"/>
      <c r="OJ33" s="25"/>
      <c r="OK33" s="25"/>
      <c r="OL33" s="25"/>
      <c r="OM33" s="25"/>
      <c r="ON33" s="25"/>
      <c r="OO33" s="25"/>
      <c r="OP33" s="25"/>
      <c r="OQ33" s="25"/>
      <c r="OR33" s="25"/>
      <c r="OS33" s="25"/>
      <c r="OT33" s="25"/>
      <c r="OU33" s="25"/>
      <c r="OV33" s="25"/>
      <c r="OW33" s="25"/>
      <c r="OX33" s="25"/>
      <c r="OY33" s="25"/>
      <c r="OZ33" s="25"/>
      <c r="PB33" s="29"/>
      <c r="PC33" s="29"/>
      <c r="PD33" s="29"/>
      <c r="PE33" s="29"/>
      <c r="PF33" s="29"/>
      <c r="PH33" s="29"/>
      <c r="PI33" s="29"/>
      <c r="PJ33" s="29"/>
      <c r="PK33" s="29"/>
      <c r="PM33" s="29"/>
      <c r="PN33" s="3"/>
      <c r="PO33" s="29"/>
      <c r="PP33" s="93"/>
      <c r="PQ33" s="29"/>
      <c r="PR33" s="3"/>
      <c r="PT33" s="29"/>
      <c r="PU33" s="3"/>
      <c r="PV33" s="29"/>
      <c r="PW33" s="3"/>
      <c r="PZ33" s="35"/>
      <c r="QA33" s="81"/>
      <c r="QB33" s="81"/>
    </row>
    <row r="34" spans="2:444">
      <c r="B34" s="3"/>
      <c r="D34" s="39" t="str">
        <f t="shared" si="12"/>
        <v>-/-</v>
      </c>
      <c r="F34" s="3"/>
      <c r="H34" s="118"/>
      <c r="J34" s="118"/>
      <c r="L34" s="118"/>
      <c r="N34" s="118"/>
      <c r="O34" s="118"/>
      <c r="P34" s="118"/>
      <c r="Q34" s="118"/>
      <c r="R34" s="118"/>
      <c r="S34" s="118"/>
      <c r="U34" s="118"/>
      <c r="V34" s="118"/>
      <c r="W34" s="118"/>
      <c r="X34" s="118"/>
      <c r="Z34" s="118"/>
      <c r="AB34" s="19"/>
      <c r="AC34" s="19"/>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W34" s="25"/>
      <c r="DX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I34" s="25"/>
      <c r="GJ34" s="25"/>
      <c r="GK34" s="25"/>
      <c r="GL34" s="25"/>
      <c r="GM34" s="25"/>
      <c r="GN34" s="25"/>
      <c r="GO34" s="25"/>
      <c r="GP34" s="25"/>
      <c r="GQ34" s="25"/>
      <c r="GR34" s="25"/>
      <c r="GS34" s="25"/>
      <c r="GT34" s="25"/>
      <c r="GU34" s="25"/>
      <c r="GV34" s="25"/>
      <c r="GW34" s="25"/>
      <c r="GX34" s="25"/>
      <c r="GY34" s="25"/>
      <c r="GZ34" s="25"/>
      <c r="HA34" s="25"/>
      <c r="HB34" s="25"/>
      <c r="HC34" s="25"/>
      <c r="HD34" s="25"/>
      <c r="HE34" s="25"/>
      <c r="HF34" s="25"/>
      <c r="HG34" s="25"/>
      <c r="HH34" s="25"/>
      <c r="HI34" s="25"/>
      <c r="HJ34" s="25"/>
      <c r="HK34" s="25"/>
      <c r="HL34" s="25"/>
      <c r="HM34" s="25"/>
      <c r="HO34" s="23"/>
      <c r="HP34" s="23"/>
      <c r="HR34" s="25"/>
      <c r="HS34" s="25"/>
      <c r="HT34" s="25"/>
      <c r="HU34" s="25"/>
      <c r="HV34" s="25"/>
      <c r="HW34" s="25"/>
      <c r="HX34" s="25"/>
      <c r="HY34" s="25"/>
      <c r="HZ34" s="25"/>
      <c r="IA34" s="25"/>
      <c r="IB34" s="25"/>
      <c r="IC34" s="25"/>
      <c r="ID34" s="25"/>
      <c r="IE34" s="25"/>
      <c r="IF34" s="25"/>
      <c r="IG34" s="25"/>
      <c r="IH34" s="25"/>
      <c r="II34" s="25"/>
      <c r="IJ34" s="25"/>
      <c r="IK34" s="25"/>
      <c r="IL34" s="25"/>
      <c r="IM34" s="25"/>
      <c r="IN34" s="25"/>
      <c r="IO34" s="25"/>
      <c r="IP34" s="25"/>
      <c r="IQ34" s="25"/>
      <c r="IR34" s="25"/>
      <c r="IS34" s="25"/>
      <c r="IT34" s="25"/>
      <c r="IU34" s="25"/>
      <c r="IV34" s="25"/>
      <c r="IX34" s="25"/>
      <c r="IY34" s="25"/>
      <c r="IZ34" s="25"/>
      <c r="JA34" s="25"/>
      <c r="JB34" s="25"/>
      <c r="JC34" s="25"/>
      <c r="JD34" s="25"/>
      <c r="JE34" s="25"/>
      <c r="JF34" s="25"/>
      <c r="JG34" s="25"/>
      <c r="JH34" s="25"/>
      <c r="JI34" s="25"/>
      <c r="JJ34" s="25"/>
      <c r="JK34" s="25"/>
      <c r="JL34" s="25"/>
      <c r="JM34" s="25"/>
      <c r="JN34" s="25"/>
      <c r="JO34" s="25"/>
      <c r="JP34" s="25"/>
      <c r="JQ34" s="25"/>
      <c r="JR34" s="25"/>
      <c r="JS34" s="25"/>
      <c r="JT34" s="25"/>
      <c r="JU34" s="25"/>
      <c r="JV34" s="25"/>
      <c r="JW34" s="25"/>
      <c r="JX34" s="25"/>
      <c r="JY34" s="25"/>
      <c r="JZ34" s="25"/>
      <c r="KA34" s="25"/>
      <c r="KB34" s="25"/>
      <c r="KD34" s="25"/>
      <c r="KE34" s="25"/>
      <c r="KF34" s="25"/>
      <c r="KG34" s="25"/>
      <c r="KH34" s="25"/>
      <c r="KI34" s="25"/>
      <c r="KJ34" s="25"/>
      <c r="KK34" s="25"/>
      <c r="KL34" s="25"/>
      <c r="KM34" s="25"/>
      <c r="KN34" s="25"/>
      <c r="KO34" s="25"/>
      <c r="KP34" s="25"/>
      <c r="KQ34" s="25"/>
      <c r="KR34" s="25"/>
      <c r="KS34" s="25"/>
      <c r="KT34" s="25"/>
      <c r="KU34" s="25"/>
      <c r="KV34" s="25"/>
      <c r="KW34" s="25"/>
      <c r="KX34" s="25"/>
      <c r="KY34" s="25"/>
      <c r="KZ34" s="25"/>
      <c r="LA34" s="25"/>
      <c r="LB34" s="25"/>
      <c r="LC34" s="25"/>
      <c r="LD34" s="25"/>
      <c r="LE34" s="25"/>
      <c r="LF34" s="25"/>
      <c r="LG34" s="25"/>
      <c r="LH34" s="25"/>
      <c r="LJ34" s="25"/>
      <c r="LK34" s="25"/>
      <c r="LL34" s="25"/>
      <c r="LM34" s="25"/>
      <c r="LN34" s="25"/>
      <c r="LO34" s="25"/>
      <c r="LP34" s="25"/>
      <c r="LQ34" s="25"/>
      <c r="LR34" s="25"/>
      <c r="LS34" s="25"/>
      <c r="LT34" s="25"/>
      <c r="LU34" s="25"/>
      <c r="LV34" s="25"/>
      <c r="LW34" s="25"/>
      <c r="LX34" s="25"/>
      <c r="LY34" s="25"/>
      <c r="LZ34" s="25"/>
      <c r="MA34" s="25"/>
      <c r="MB34" s="25"/>
      <c r="MC34" s="25"/>
      <c r="MD34" s="25"/>
      <c r="ME34" s="25"/>
      <c r="MF34" s="25"/>
      <c r="MG34" s="25"/>
      <c r="MH34" s="25"/>
      <c r="MI34" s="25"/>
      <c r="MJ34" s="25"/>
      <c r="MK34" s="25"/>
      <c r="ML34" s="25"/>
      <c r="MM34" s="25"/>
      <c r="MN34" s="25"/>
      <c r="MP34" s="25"/>
      <c r="MQ34" s="25"/>
      <c r="MR34" s="25"/>
      <c r="MS34" s="25"/>
      <c r="MT34" s="25"/>
      <c r="MU34" s="25"/>
      <c r="MV34" s="25"/>
      <c r="MW34" s="25"/>
      <c r="MX34" s="25"/>
      <c r="MY34" s="25"/>
      <c r="MZ34" s="25"/>
      <c r="NA34" s="25"/>
      <c r="NB34" s="25"/>
      <c r="NC34" s="25"/>
      <c r="ND34" s="25"/>
      <c r="NE34" s="25"/>
      <c r="NF34" s="25"/>
      <c r="NG34" s="25"/>
      <c r="NH34" s="25"/>
      <c r="NI34" s="25"/>
      <c r="NJ34" s="25"/>
      <c r="NK34" s="25"/>
      <c r="NL34" s="25"/>
      <c r="NM34" s="25"/>
      <c r="NN34" s="25"/>
      <c r="NO34" s="25"/>
      <c r="NP34" s="25"/>
      <c r="NQ34" s="25"/>
      <c r="NR34" s="25"/>
      <c r="NS34" s="25"/>
      <c r="NT34" s="25"/>
      <c r="NV34" s="25"/>
      <c r="NW34" s="25"/>
      <c r="NX34" s="25"/>
      <c r="NY34" s="25"/>
      <c r="NZ34" s="25"/>
      <c r="OA34" s="25"/>
      <c r="OB34" s="25"/>
      <c r="OC34" s="25"/>
      <c r="OD34" s="25"/>
      <c r="OE34" s="25"/>
      <c r="OF34" s="25"/>
      <c r="OG34" s="25"/>
      <c r="OH34" s="25"/>
      <c r="OI34" s="25"/>
      <c r="OJ34" s="25"/>
      <c r="OK34" s="25"/>
      <c r="OL34" s="25"/>
      <c r="OM34" s="25"/>
      <c r="ON34" s="25"/>
      <c r="OO34" s="25"/>
      <c r="OP34" s="25"/>
      <c r="OQ34" s="25"/>
      <c r="OR34" s="25"/>
      <c r="OS34" s="25"/>
      <c r="OT34" s="25"/>
      <c r="OU34" s="25"/>
      <c r="OV34" s="25"/>
      <c r="OW34" s="25"/>
      <c r="OX34" s="25"/>
      <c r="OY34" s="25"/>
      <c r="OZ34" s="25"/>
      <c r="PB34" s="29"/>
      <c r="PC34" s="29"/>
      <c r="PD34" s="29"/>
      <c r="PE34" s="29"/>
      <c r="PF34" s="29"/>
      <c r="PH34" s="29"/>
      <c r="PI34" s="29"/>
      <c r="PJ34" s="29"/>
      <c r="PK34" s="29"/>
      <c r="PM34" s="29"/>
      <c r="PN34" s="3"/>
      <c r="PO34" s="29"/>
      <c r="PP34" s="93"/>
      <c r="PQ34" s="29"/>
      <c r="PR34" s="3"/>
      <c r="PT34" s="29"/>
      <c r="PU34" s="3"/>
      <c r="PV34" s="29"/>
      <c r="PW34" s="3"/>
      <c r="PZ34" s="35"/>
      <c r="QA34" s="81"/>
      <c r="QB34" s="81"/>
    </row>
    <row r="35" spans="2:444">
      <c r="B35" s="3"/>
      <c r="D35" s="39" t="str">
        <f t="shared" si="12"/>
        <v>-/-</v>
      </c>
      <c r="F35" s="3"/>
      <c r="H35" s="118"/>
      <c r="J35" s="118"/>
      <c r="L35" s="118"/>
      <c r="N35" s="118"/>
      <c r="O35" s="118"/>
      <c r="P35" s="118"/>
      <c r="Q35" s="118"/>
      <c r="R35" s="118"/>
      <c r="S35" s="118"/>
      <c r="U35" s="118"/>
      <c r="V35" s="118"/>
      <c r="W35" s="118"/>
      <c r="X35" s="118"/>
      <c r="Z35" s="118"/>
      <c r="AB35" s="19"/>
      <c r="AC35" s="19"/>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Q35" s="25"/>
      <c r="CR35" s="25"/>
      <c r="CS35" s="25"/>
      <c r="CT35" s="25"/>
      <c r="CU35" s="25"/>
      <c r="CV35" s="25"/>
      <c r="CW35" s="25"/>
      <c r="CX35" s="25"/>
      <c r="CY35" s="25"/>
      <c r="CZ35" s="25"/>
      <c r="DA35" s="25"/>
      <c r="DB35" s="25"/>
      <c r="DC35" s="25"/>
      <c r="DD35" s="25"/>
      <c r="DE35" s="25"/>
      <c r="DF35" s="25"/>
      <c r="DG35" s="25"/>
      <c r="DH35" s="25"/>
      <c r="DI35" s="25"/>
      <c r="DJ35" s="25"/>
      <c r="DK35" s="25"/>
      <c r="DL35" s="25"/>
      <c r="DM35" s="25"/>
      <c r="DN35" s="25"/>
      <c r="DO35" s="25"/>
      <c r="DP35" s="25"/>
      <c r="DQ35" s="25"/>
      <c r="DR35" s="25"/>
      <c r="DS35" s="25"/>
      <c r="DT35" s="25"/>
      <c r="DU35" s="25"/>
      <c r="DW35" s="25"/>
      <c r="DX35" s="25"/>
      <c r="DY35" s="25"/>
      <c r="DZ35" s="2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C35" s="25"/>
      <c r="FD35" s="25"/>
      <c r="FE35" s="25"/>
      <c r="FF35" s="25"/>
      <c r="FG35" s="25"/>
      <c r="FH35" s="25"/>
      <c r="FI35" s="25"/>
      <c r="FJ35" s="25"/>
      <c r="FK35" s="25"/>
      <c r="FL35" s="25"/>
      <c r="FM35" s="25"/>
      <c r="FN35" s="25"/>
      <c r="FO35" s="25"/>
      <c r="FP35" s="25"/>
      <c r="FQ35" s="25"/>
      <c r="FR35" s="25"/>
      <c r="FS35" s="25"/>
      <c r="FT35" s="25"/>
      <c r="FU35" s="25"/>
      <c r="FV35" s="25"/>
      <c r="FW35" s="25"/>
      <c r="FX35" s="25"/>
      <c r="FY35" s="25"/>
      <c r="FZ35" s="25"/>
      <c r="GA35" s="25"/>
      <c r="GB35" s="25"/>
      <c r="GC35" s="25"/>
      <c r="GD35" s="25"/>
      <c r="GE35" s="25"/>
      <c r="GF35" s="25"/>
      <c r="GG35" s="25"/>
      <c r="GI35" s="25"/>
      <c r="GJ35" s="25"/>
      <c r="GK35" s="25"/>
      <c r="GL35" s="25"/>
      <c r="GM35" s="25"/>
      <c r="GN35" s="25"/>
      <c r="GO35" s="25"/>
      <c r="GP35" s="25"/>
      <c r="GQ35" s="25"/>
      <c r="GR35" s="25"/>
      <c r="GS35" s="25"/>
      <c r="GT35" s="25"/>
      <c r="GU35" s="25"/>
      <c r="GV35" s="25"/>
      <c r="GW35" s="25"/>
      <c r="GX35" s="25"/>
      <c r="GY35" s="25"/>
      <c r="GZ35" s="25"/>
      <c r="HA35" s="25"/>
      <c r="HB35" s="25"/>
      <c r="HC35" s="25"/>
      <c r="HD35" s="25"/>
      <c r="HE35" s="25"/>
      <c r="HF35" s="25"/>
      <c r="HG35" s="25"/>
      <c r="HH35" s="25"/>
      <c r="HI35" s="25"/>
      <c r="HJ35" s="25"/>
      <c r="HK35" s="25"/>
      <c r="HL35" s="25"/>
      <c r="HM35" s="25"/>
      <c r="HO35" s="23"/>
      <c r="HP35" s="23"/>
      <c r="HR35" s="25"/>
      <c r="HS35" s="25"/>
      <c r="HT35" s="25"/>
      <c r="HU35" s="25"/>
      <c r="HV35" s="25"/>
      <c r="HW35" s="25"/>
      <c r="HX35" s="25"/>
      <c r="HY35" s="25"/>
      <c r="HZ35" s="25"/>
      <c r="IA35" s="25"/>
      <c r="IB35" s="25"/>
      <c r="IC35" s="25"/>
      <c r="ID35" s="25"/>
      <c r="IE35" s="25"/>
      <c r="IF35" s="25"/>
      <c r="IG35" s="25"/>
      <c r="IH35" s="25"/>
      <c r="II35" s="25"/>
      <c r="IJ35" s="25"/>
      <c r="IK35" s="25"/>
      <c r="IL35" s="25"/>
      <c r="IM35" s="25"/>
      <c r="IN35" s="25"/>
      <c r="IO35" s="25"/>
      <c r="IP35" s="25"/>
      <c r="IQ35" s="25"/>
      <c r="IR35" s="25"/>
      <c r="IS35" s="25"/>
      <c r="IT35" s="25"/>
      <c r="IU35" s="25"/>
      <c r="IV35" s="25"/>
      <c r="IX35" s="25"/>
      <c r="IY35" s="25"/>
      <c r="IZ35" s="25"/>
      <c r="JA35" s="25"/>
      <c r="JB35" s="25"/>
      <c r="JC35" s="25"/>
      <c r="JD35" s="25"/>
      <c r="JE35" s="25"/>
      <c r="JF35" s="25"/>
      <c r="JG35" s="25"/>
      <c r="JH35" s="25"/>
      <c r="JI35" s="25"/>
      <c r="JJ35" s="25"/>
      <c r="JK35" s="25"/>
      <c r="JL35" s="25"/>
      <c r="JM35" s="25"/>
      <c r="JN35" s="25"/>
      <c r="JO35" s="25"/>
      <c r="JP35" s="25"/>
      <c r="JQ35" s="25"/>
      <c r="JR35" s="25"/>
      <c r="JS35" s="25"/>
      <c r="JT35" s="25"/>
      <c r="JU35" s="25"/>
      <c r="JV35" s="25"/>
      <c r="JW35" s="25"/>
      <c r="JX35" s="25"/>
      <c r="JY35" s="25"/>
      <c r="JZ35" s="25"/>
      <c r="KA35" s="25"/>
      <c r="KB35" s="25"/>
      <c r="KD35" s="25"/>
      <c r="KE35" s="25"/>
      <c r="KF35" s="25"/>
      <c r="KG35" s="25"/>
      <c r="KH35" s="25"/>
      <c r="KI35" s="25"/>
      <c r="KJ35" s="25"/>
      <c r="KK35" s="25"/>
      <c r="KL35" s="25"/>
      <c r="KM35" s="25"/>
      <c r="KN35" s="25"/>
      <c r="KO35" s="25"/>
      <c r="KP35" s="25"/>
      <c r="KQ35" s="25"/>
      <c r="KR35" s="25"/>
      <c r="KS35" s="25"/>
      <c r="KT35" s="25"/>
      <c r="KU35" s="25"/>
      <c r="KV35" s="25"/>
      <c r="KW35" s="25"/>
      <c r="KX35" s="25"/>
      <c r="KY35" s="25"/>
      <c r="KZ35" s="25"/>
      <c r="LA35" s="25"/>
      <c r="LB35" s="25"/>
      <c r="LC35" s="25"/>
      <c r="LD35" s="25"/>
      <c r="LE35" s="25"/>
      <c r="LF35" s="25"/>
      <c r="LG35" s="25"/>
      <c r="LH35" s="25"/>
      <c r="LJ35" s="25"/>
      <c r="LK35" s="25"/>
      <c r="LL35" s="25"/>
      <c r="LM35" s="25"/>
      <c r="LN35" s="25"/>
      <c r="LO35" s="25"/>
      <c r="LP35" s="25"/>
      <c r="LQ35" s="25"/>
      <c r="LR35" s="25"/>
      <c r="LS35" s="25"/>
      <c r="LT35" s="25"/>
      <c r="LU35" s="25"/>
      <c r="LV35" s="25"/>
      <c r="LW35" s="25"/>
      <c r="LX35" s="25"/>
      <c r="LY35" s="25"/>
      <c r="LZ35" s="25"/>
      <c r="MA35" s="25"/>
      <c r="MB35" s="25"/>
      <c r="MC35" s="25"/>
      <c r="MD35" s="25"/>
      <c r="ME35" s="25"/>
      <c r="MF35" s="25"/>
      <c r="MG35" s="25"/>
      <c r="MH35" s="25"/>
      <c r="MI35" s="25"/>
      <c r="MJ35" s="25"/>
      <c r="MK35" s="25"/>
      <c r="ML35" s="25"/>
      <c r="MM35" s="25"/>
      <c r="MN35" s="25"/>
      <c r="MP35" s="25"/>
      <c r="MQ35" s="25"/>
      <c r="MR35" s="25"/>
      <c r="MS35" s="25"/>
      <c r="MT35" s="25"/>
      <c r="MU35" s="25"/>
      <c r="MV35" s="25"/>
      <c r="MW35" s="25"/>
      <c r="MX35" s="25"/>
      <c r="MY35" s="25"/>
      <c r="MZ35" s="25"/>
      <c r="NA35" s="25"/>
      <c r="NB35" s="25"/>
      <c r="NC35" s="25"/>
      <c r="ND35" s="25"/>
      <c r="NE35" s="25"/>
      <c r="NF35" s="25"/>
      <c r="NG35" s="25"/>
      <c r="NH35" s="25"/>
      <c r="NI35" s="25"/>
      <c r="NJ35" s="25"/>
      <c r="NK35" s="25"/>
      <c r="NL35" s="25"/>
      <c r="NM35" s="25"/>
      <c r="NN35" s="25"/>
      <c r="NO35" s="25"/>
      <c r="NP35" s="25"/>
      <c r="NQ35" s="25"/>
      <c r="NR35" s="25"/>
      <c r="NS35" s="25"/>
      <c r="NT35" s="25"/>
      <c r="NV35" s="25"/>
      <c r="NW35" s="25"/>
      <c r="NX35" s="25"/>
      <c r="NY35" s="25"/>
      <c r="NZ35" s="25"/>
      <c r="OA35" s="25"/>
      <c r="OB35" s="25"/>
      <c r="OC35" s="25"/>
      <c r="OD35" s="25"/>
      <c r="OE35" s="25"/>
      <c r="OF35" s="25"/>
      <c r="OG35" s="25"/>
      <c r="OH35" s="25"/>
      <c r="OI35" s="25"/>
      <c r="OJ35" s="25"/>
      <c r="OK35" s="25"/>
      <c r="OL35" s="25"/>
      <c r="OM35" s="25"/>
      <c r="ON35" s="25"/>
      <c r="OO35" s="25"/>
      <c r="OP35" s="25"/>
      <c r="OQ35" s="25"/>
      <c r="OR35" s="25"/>
      <c r="OS35" s="25"/>
      <c r="OT35" s="25"/>
      <c r="OU35" s="25"/>
      <c r="OV35" s="25"/>
      <c r="OW35" s="25"/>
      <c r="OX35" s="25"/>
      <c r="OY35" s="25"/>
      <c r="OZ35" s="25"/>
      <c r="PB35" s="29"/>
      <c r="PC35" s="29"/>
      <c r="PD35" s="29"/>
      <c r="PE35" s="29"/>
      <c r="PF35" s="29"/>
      <c r="PH35" s="29"/>
      <c r="PI35" s="29"/>
      <c r="PJ35" s="29"/>
      <c r="PK35" s="29"/>
      <c r="PM35" s="29"/>
      <c r="PN35" s="3"/>
      <c r="PO35" s="29"/>
      <c r="PP35" s="93"/>
      <c r="PQ35" s="29"/>
      <c r="PR35" s="3"/>
      <c r="PT35" s="29"/>
      <c r="PU35" s="3"/>
      <c r="PV35" s="29"/>
      <c r="PW35" s="3"/>
      <c r="PZ35" s="35"/>
      <c r="QA35" s="81"/>
      <c r="QB35" s="81"/>
    </row>
    <row r="36" spans="2:444">
      <c r="B36" s="3"/>
      <c r="D36" s="39" t="str">
        <f t="shared" si="12"/>
        <v>-/-</v>
      </c>
      <c r="F36" s="3"/>
      <c r="H36" s="118"/>
      <c r="J36" s="118"/>
      <c r="L36" s="118"/>
      <c r="N36" s="118"/>
      <c r="O36" s="118"/>
      <c r="P36" s="118"/>
      <c r="Q36" s="118"/>
      <c r="R36" s="118"/>
      <c r="S36" s="118"/>
      <c r="U36" s="118"/>
      <c r="V36" s="118"/>
      <c r="W36" s="118"/>
      <c r="X36" s="118"/>
      <c r="Z36" s="118"/>
      <c r="AB36" s="19"/>
      <c r="AC36" s="19"/>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Q36" s="25"/>
      <c r="CR36" s="25"/>
      <c r="CS36" s="25"/>
      <c r="CT36" s="25"/>
      <c r="CU36" s="25"/>
      <c r="CV36" s="25"/>
      <c r="CW36" s="25"/>
      <c r="CX36" s="25"/>
      <c r="CY36" s="25"/>
      <c r="CZ36" s="25"/>
      <c r="DA36" s="25"/>
      <c r="DB36" s="25"/>
      <c r="DC36" s="25"/>
      <c r="DD36" s="25"/>
      <c r="DE36" s="25"/>
      <c r="DF36" s="25"/>
      <c r="DG36" s="25"/>
      <c r="DH36" s="25"/>
      <c r="DI36" s="25"/>
      <c r="DJ36" s="25"/>
      <c r="DK36" s="25"/>
      <c r="DL36" s="25"/>
      <c r="DM36" s="25"/>
      <c r="DN36" s="25"/>
      <c r="DO36" s="25"/>
      <c r="DP36" s="25"/>
      <c r="DQ36" s="25"/>
      <c r="DR36" s="25"/>
      <c r="DS36" s="25"/>
      <c r="DT36" s="25"/>
      <c r="DU36" s="25"/>
      <c r="DW36" s="25"/>
      <c r="DX36" s="25"/>
      <c r="DY36" s="25"/>
      <c r="DZ36" s="25"/>
      <c r="EA36" s="25"/>
      <c r="EB36" s="25"/>
      <c r="EC36" s="25"/>
      <c r="ED36" s="25"/>
      <c r="EE36" s="25"/>
      <c r="EF36" s="25"/>
      <c r="EG36" s="25"/>
      <c r="EH36" s="25"/>
      <c r="EI36" s="25"/>
      <c r="EJ36" s="25"/>
      <c r="EK36" s="25"/>
      <c r="EL36" s="25"/>
      <c r="EM36" s="25"/>
      <c r="EN36" s="25"/>
      <c r="EO36" s="25"/>
      <c r="EP36" s="25"/>
      <c r="EQ36" s="25"/>
      <c r="ER36" s="25"/>
      <c r="ES36" s="25"/>
      <c r="ET36" s="25"/>
      <c r="EU36" s="25"/>
      <c r="EV36" s="25"/>
      <c r="EW36" s="25"/>
      <c r="EX36" s="25"/>
      <c r="EY36" s="25"/>
      <c r="EZ36" s="25"/>
      <c r="FA36" s="25"/>
      <c r="FC36" s="25"/>
      <c r="FD36" s="25"/>
      <c r="FE36" s="25"/>
      <c r="FF36" s="25"/>
      <c r="FG36" s="25"/>
      <c r="FH36" s="25"/>
      <c r="FI36" s="25"/>
      <c r="FJ36" s="25"/>
      <c r="FK36" s="25"/>
      <c r="FL36" s="25"/>
      <c r="FM36" s="25"/>
      <c r="FN36" s="25"/>
      <c r="FO36" s="25"/>
      <c r="FP36" s="25"/>
      <c r="FQ36" s="25"/>
      <c r="FR36" s="25"/>
      <c r="FS36" s="25"/>
      <c r="FT36" s="25"/>
      <c r="FU36" s="25"/>
      <c r="FV36" s="25"/>
      <c r="FW36" s="25"/>
      <c r="FX36" s="25"/>
      <c r="FY36" s="25"/>
      <c r="FZ36" s="25"/>
      <c r="GA36" s="25"/>
      <c r="GB36" s="25"/>
      <c r="GC36" s="25"/>
      <c r="GD36" s="25"/>
      <c r="GE36" s="25"/>
      <c r="GF36" s="25"/>
      <c r="GG36" s="25"/>
      <c r="GI36" s="25"/>
      <c r="GJ36" s="25"/>
      <c r="GK36" s="25"/>
      <c r="GL36" s="25"/>
      <c r="GM36" s="25"/>
      <c r="GN36" s="25"/>
      <c r="GO36" s="25"/>
      <c r="GP36" s="25"/>
      <c r="GQ36" s="25"/>
      <c r="GR36" s="25"/>
      <c r="GS36" s="25"/>
      <c r="GT36" s="25"/>
      <c r="GU36" s="25"/>
      <c r="GV36" s="25"/>
      <c r="GW36" s="25"/>
      <c r="GX36" s="25"/>
      <c r="GY36" s="25"/>
      <c r="GZ36" s="25"/>
      <c r="HA36" s="25"/>
      <c r="HB36" s="25"/>
      <c r="HC36" s="25"/>
      <c r="HD36" s="25"/>
      <c r="HE36" s="25"/>
      <c r="HF36" s="25"/>
      <c r="HG36" s="25"/>
      <c r="HH36" s="25"/>
      <c r="HI36" s="25"/>
      <c r="HJ36" s="25"/>
      <c r="HK36" s="25"/>
      <c r="HL36" s="25"/>
      <c r="HM36" s="25"/>
      <c r="HO36" s="23"/>
      <c r="HP36" s="23"/>
      <c r="HR36" s="25"/>
      <c r="HS36" s="25"/>
      <c r="HT36" s="25"/>
      <c r="HU36" s="25"/>
      <c r="HV36" s="25"/>
      <c r="HW36" s="25"/>
      <c r="HX36" s="25"/>
      <c r="HY36" s="25"/>
      <c r="HZ36" s="25"/>
      <c r="IA36" s="25"/>
      <c r="IB36" s="25"/>
      <c r="IC36" s="25"/>
      <c r="ID36" s="25"/>
      <c r="IE36" s="25"/>
      <c r="IF36" s="25"/>
      <c r="IG36" s="25"/>
      <c r="IH36" s="25"/>
      <c r="II36" s="25"/>
      <c r="IJ36" s="25"/>
      <c r="IK36" s="25"/>
      <c r="IL36" s="25"/>
      <c r="IM36" s="25"/>
      <c r="IN36" s="25"/>
      <c r="IO36" s="25"/>
      <c r="IP36" s="25"/>
      <c r="IQ36" s="25"/>
      <c r="IR36" s="25"/>
      <c r="IS36" s="25"/>
      <c r="IT36" s="25"/>
      <c r="IU36" s="25"/>
      <c r="IV36" s="25"/>
      <c r="IX36" s="25"/>
      <c r="IY36" s="25"/>
      <c r="IZ36" s="25"/>
      <c r="JA36" s="25"/>
      <c r="JB36" s="25"/>
      <c r="JC36" s="25"/>
      <c r="JD36" s="25"/>
      <c r="JE36" s="25"/>
      <c r="JF36" s="25"/>
      <c r="JG36" s="25"/>
      <c r="JH36" s="25"/>
      <c r="JI36" s="25"/>
      <c r="JJ36" s="25"/>
      <c r="JK36" s="25"/>
      <c r="JL36" s="25"/>
      <c r="JM36" s="25"/>
      <c r="JN36" s="25"/>
      <c r="JO36" s="25"/>
      <c r="JP36" s="25"/>
      <c r="JQ36" s="25"/>
      <c r="JR36" s="25"/>
      <c r="JS36" s="25"/>
      <c r="JT36" s="25"/>
      <c r="JU36" s="25"/>
      <c r="JV36" s="25"/>
      <c r="JW36" s="25"/>
      <c r="JX36" s="25"/>
      <c r="JY36" s="25"/>
      <c r="JZ36" s="25"/>
      <c r="KA36" s="25"/>
      <c r="KB36" s="25"/>
      <c r="KD36" s="25"/>
      <c r="KE36" s="25"/>
      <c r="KF36" s="25"/>
      <c r="KG36" s="25"/>
      <c r="KH36" s="25"/>
      <c r="KI36" s="25"/>
      <c r="KJ36" s="25"/>
      <c r="KK36" s="25"/>
      <c r="KL36" s="25"/>
      <c r="KM36" s="25"/>
      <c r="KN36" s="25"/>
      <c r="KO36" s="25"/>
      <c r="KP36" s="25"/>
      <c r="KQ36" s="25"/>
      <c r="KR36" s="25"/>
      <c r="KS36" s="25"/>
      <c r="KT36" s="25"/>
      <c r="KU36" s="25"/>
      <c r="KV36" s="25"/>
      <c r="KW36" s="25"/>
      <c r="KX36" s="25"/>
      <c r="KY36" s="25"/>
      <c r="KZ36" s="25"/>
      <c r="LA36" s="25"/>
      <c r="LB36" s="25"/>
      <c r="LC36" s="25"/>
      <c r="LD36" s="25"/>
      <c r="LE36" s="25"/>
      <c r="LF36" s="25"/>
      <c r="LG36" s="25"/>
      <c r="LH36" s="25"/>
      <c r="LJ36" s="25"/>
      <c r="LK36" s="25"/>
      <c r="LL36" s="25"/>
      <c r="LM36" s="25"/>
      <c r="LN36" s="25"/>
      <c r="LO36" s="25"/>
      <c r="LP36" s="25"/>
      <c r="LQ36" s="25"/>
      <c r="LR36" s="25"/>
      <c r="LS36" s="25"/>
      <c r="LT36" s="25"/>
      <c r="LU36" s="25"/>
      <c r="LV36" s="25"/>
      <c r="LW36" s="25"/>
      <c r="LX36" s="25"/>
      <c r="LY36" s="25"/>
      <c r="LZ36" s="25"/>
      <c r="MA36" s="25"/>
      <c r="MB36" s="25"/>
      <c r="MC36" s="25"/>
      <c r="MD36" s="25"/>
      <c r="ME36" s="25"/>
      <c r="MF36" s="25"/>
      <c r="MG36" s="25"/>
      <c r="MH36" s="25"/>
      <c r="MI36" s="25"/>
      <c r="MJ36" s="25"/>
      <c r="MK36" s="25"/>
      <c r="ML36" s="25"/>
      <c r="MM36" s="25"/>
      <c r="MN36" s="25"/>
      <c r="MP36" s="25"/>
      <c r="MQ36" s="25"/>
      <c r="MR36" s="25"/>
      <c r="MS36" s="25"/>
      <c r="MT36" s="25"/>
      <c r="MU36" s="25"/>
      <c r="MV36" s="25"/>
      <c r="MW36" s="25"/>
      <c r="MX36" s="25"/>
      <c r="MY36" s="25"/>
      <c r="MZ36" s="25"/>
      <c r="NA36" s="25"/>
      <c r="NB36" s="25"/>
      <c r="NC36" s="25"/>
      <c r="ND36" s="25"/>
      <c r="NE36" s="25"/>
      <c r="NF36" s="25"/>
      <c r="NG36" s="25"/>
      <c r="NH36" s="25"/>
      <c r="NI36" s="25"/>
      <c r="NJ36" s="25"/>
      <c r="NK36" s="25"/>
      <c r="NL36" s="25"/>
      <c r="NM36" s="25"/>
      <c r="NN36" s="25"/>
      <c r="NO36" s="25"/>
      <c r="NP36" s="25"/>
      <c r="NQ36" s="25"/>
      <c r="NR36" s="25"/>
      <c r="NS36" s="25"/>
      <c r="NT36" s="25"/>
      <c r="NV36" s="25"/>
      <c r="NW36" s="25"/>
      <c r="NX36" s="25"/>
      <c r="NY36" s="25"/>
      <c r="NZ36" s="25"/>
      <c r="OA36" s="25"/>
      <c r="OB36" s="25"/>
      <c r="OC36" s="25"/>
      <c r="OD36" s="25"/>
      <c r="OE36" s="25"/>
      <c r="OF36" s="25"/>
      <c r="OG36" s="25"/>
      <c r="OH36" s="25"/>
      <c r="OI36" s="25"/>
      <c r="OJ36" s="25"/>
      <c r="OK36" s="25"/>
      <c r="OL36" s="25"/>
      <c r="OM36" s="25"/>
      <c r="ON36" s="25"/>
      <c r="OO36" s="25"/>
      <c r="OP36" s="25"/>
      <c r="OQ36" s="25"/>
      <c r="OR36" s="25"/>
      <c r="OS36" s="25"/>
      <c r="OT36" s="25"/>
      <c r="OU36" s="25"/>
      <c r="OV36" s="25"/>
      <c r="OW36" s="25"/>
      <c r="OX36" s="25"/>
      <c r="OY36" s="25"/>
      <c r="OZ36" s="25"/>
      <c r="PB36" s="29"/>
      <c r="PC36" s="29"/>
      <c r="PD36" s="29"/>
      <c r="PE36" s="29"/>
      <c r="PF36" s="29"/>
      <c r="PH36" s="29"/>
      <c r="PI36" s="29"/>
      <c r="PJ36" s="29"/>
      <c r="PK36" s="29"/>
      <c r="PM36" s="29"/>
      <c r="PN36" s="3"/>
      <c r="PO36" s="29"/>
      <c r="PP36" s="93"/>
      <c r="PQ36" s="29"/>
      <c r="PR36" s="3"/>
      <c r="PT36" s="29"/>
      <c r="PU36" s="3"/>
      <c r="PV36" s="29"/>
      <c r="PW36" s="3"/>
      <c r="PZ36" s="35"/>
      <c r="QA36" s="81"/>
      <c r="QB36" s="81"/>
    </row>
    <row r="37" spans="2:444">
      <c r="B37" s="3"/>
      <c r="D37" s="39" t="str">
        <f t="shared" si="12"/>
        <v>-/-</v>
      </c>
      <c r="F37" s="3"/>
      <c r="H37" s="118"/>
      <c r="J37" s="118"/>
      <c r="L37" s="118"/>
      <c r="N37" s="118"/>
      <c r="O37" s="118"/>
      <c r="P37" s="118"/>
      <c r="Q37" s="118"/>
      <c r="R37" s="118"/>
      <c r="S37" s="118"/>
      <c r="U37" s="118"/>
      <c r="V37" s="118"/>
      <c r="W37" s="118"/>
      <c r="X37" s="118"/>
      <c r="Z37" s="118"/>
      <c r="AB37" s="19"/>
      <c r="AC37" s="19"/>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Q37" s="25"/>
      <c r="CR37" s="25"/>
      <c r="CS37" s="25"/>
      <c r="CT37" s="25"/>
      <c r="CU37" s="25"/>
      <c r="CV37" s="25"/>
      <c r="CW37" s="25"/>
      <c r="CX37" s="25"/>
      <c r="CY37" s="25"/>
      <c r="CZ37" s="25"/>
      <c r="DA37" s="25"/>
      <c r="DB37" s="25"/>
      <c r="DC37" s="25"/>
      <c r="DD37" s="25"/>
      <c r="DE37" s="25"/>
      <c r="DF37" s="25"/>
      <c r="DG37" s="25"/>
      <c r="DH37" s="25"/>
      <c r="DI37" s="25"/>
      <c r="DJ37" s="25"/>
      <c r="DK37" s="25"/>
      <c r="DL37" s="25"/>
      <c r="DM37" s="25"/>
      <c r="DN37" s="25"/>
      <c r="DO37" s="25"/>
      <c r="DP37" s="25"/>
      <c r="DQ37" s="25"/>
      <c r="DR37" s="25"/>
      <c r="DS37" s="25"/>
      <c r="DT37" s="25"/>
      <c r="DU37" s="25"/>
      <c r="DW37" s="25"/>
      <c r="DX37" s="25"/>
      <c r="DY37" s="25"/>
      <c r="DZ37" s="25"/>
      <c r="EA37" s="25"/>
      <c r="EB37" s="25"/>
      <c r="EC37" s="25"/>
      <c r="ED37" s="25"/>
      <c r="EE37" s="25"/>
      <c r="EF37" s="25"/>
      <c r="EG37" s="25"/>
      <c r="EH37" s="25"/>
      <c r="EI37" s="25"/>
      <c r="EJ37" s="25"/>
      <c r="EK37" s="25"/>
      <c r="EL37" s="25"/>
      <c r="EM37" s="25"/>
      <c r="EN37" s="25"/>
      <c r="EO37" s="25"/>
      <c r="EP37" s="25"/>
      <c r="EQ37" s="25"/>
      <c r="ER37" s="25"/>
      <c r="ES37" s="25"/>
      <c r="ET37" s="25"/>
      <c r="EU37" s="25"/>
      <c r="EV37" s="25"/>
      <c r="EW37" s="25"/>
      <c r="EX37" s="25"/>
      <c r="EY37" s="25"/>
      <c r="EZ37" s="25"/>
      <c r="FA37" s="25"/>
      <c r="FC37" s="25"/>
      <c r="FD37" s="25"/>
      <c r="FE37" s="25"/>
      <c r="FF37" s="25"/>
      <c r="FG37" s="25"/>
      <c r="FH37" s="25"/>
      <c r="FI37" s="25"/>
      <c r="FJ37" s="25"/>
      <c r="FK37" s="25"/>
      <c r="FL37" s="25"/>
      <c r="FM37" s="25"/>
      <c r="FN37" s="25"/>
      <c r="FO37" s="25"/>
      <c r="FP37" s="25"/>
      <c r="FQ37" s="25"/>
      <c r="FR37" s="25"/>
      <c r="FS37" s="25"/>
      <c r="FT37" s="25"/>
      <c r="FU37" s="25"/>
      <c r="FV37" s="25"/>
      <c r="FW37" s="25"/>
      <c r="FX37" s="25"/>
      <c r="FY37" s="25"/>
      <c r="FZ37" s="25"/>
      <c r="GA37" s="25"/>
      <c r="GB37" s="25"/>
      <c r="GC37" s="25"/>
      <c r="GD37" s="25"/>
      <c r="GE37" s="25"/>
      <c r="GF37" s="25"/>
      <c r="GG37" s="25"/>
      <c r="GI37" s="25"/>
      <c r="GJ37" s="25"/>
      <c r="GK37" s="25"/>
      <c r="GL37" s="25"/>
      <c r="GM37" s="25"/>
      <c r="GN37" s="25"/>
      <c r="GO37" s="25"/>
      <c r="GP37" s="25"/>
      <c r="GQ37" s="25"/>
      <c r="GR37" s="25"/>
      <c r="GS37" s="25"/>
      <c r="GT37" s="25"/>
      <c r="GU37" s="25"/>
      <c r="GV37" s="25"/>
      <c r="GW37" s="25"/>
      <c r="GX37" s="25"/>
      <c r="GY37" s="25"/>
      <c r="GZ37" s="25"/>
      <c r="HA37" s="25"/>
      <c r="HB37" s="25"/>
      <c r="HC37" s="25"/>
      <c r="HD37" s="25"/>
      <c r="HE37" s="25"/>
      <c r="HF37" s="25"/>
      <c r="HG37" s="25"/>
      <c r="HH37" s="25"/>
      <c r="HI37" s="25"/>
      <c r="HJ37" s="25"/>
      <c r="HK37" s="25"/>
      <c r="HL37" s="25"/>
      <c r="HM37" s="25"/>
      <c r="HO37" s="23"/>
      <c r="HP37" s="23"/>
      <c r="HR37" s="25"/>
      <c r="HS37" s="25"/>
      <c r="HT37" s="25"/>
      <c r="HU37" s="25"/>
      <c r="HV37" s="25"/>
      <c r="HW37" s="25"/>
      <c r="HX37" s="25"/>
      <c r="HY37" s="25"/>
      <c r="HZ37" s="25"/>
      <c r="IA37" s="25"/>
      <c r="IB37" s="25"/>
      <c r="IC37" s="25"/>
      <c r="ID37" s="25"/>
      <c r="IE37" s="25"/>
      <c r="IF37" s="25"/>
      <c r="IG37" s="25"/>
      <c r="IH37" s="25"/>
      <c r="II37" s="25"/>
      <c r="IJ37" s="25"/>
      <c r="IK37" s="25"/>
      <c r="IL37" s="25"/>
      <c r="IM37" s="25"/>
      <c r="IN37" s="25"/>
      <c r="IO37" s="25"/>
      <c r="IP37" s="25"/>
      <c r="IQ37" s="25"/>
      <c r="IR37" s="25"/>
      <c r="IS37" s="25"/>
      <c r="IT37" s="25"/>
      <c r="IU37" s="25"/>
      <c r="IV37" s="25"/>
      <c r="IX37" s="25"/>
      <c r="IY37" s="25"/>
      <c r="IZ37" s="25"/>
      <c r="JA37" s="25"/>
      <c r="JB37" s="25"/>
      <c r="JC37" s="25"/>
      <c r="JD37" s="25"/>
      <c r="JE37" s="25"/>
      <c r="JF37" s="25"/>
      <c r="JG37" s="25"/>
      <c r="JH37" s="25"/>
      <c r="JI37" s="25"/>
      <c r="JJ37" s="25"/>
      <c r="JK37" s="25"/>
      <c r="JL37" s="25"/>
      <c r="JM37" s="25"/>
      <c r="JN37" s="25"/>
      <c r="JO37" s="25"/>
      <c r="JP37" s="25"/>
      <c r="JQ37" s="25"/>
      <c r="JR37" s="25"/>
      <c r="JS37" s="25"/>
      <c r="JT37" s="25"/>
      <c r="JU37" s="25"/>
      <c r="JV37" s="25"/>
      <c r="JW37" s="25"/>
      <c r="JX37" s="25"/>
      <c r="JY37" s="25"/>
      <c r="JZ37" s="25"/>
      <c r="KA37" s="25"/>
      <c r="KB37" s="25"/>
      <c r="KD37" s="25"/>
      <c r="KE37" s="25"/>
      <c r="KF37" s="25"/>
      <c r="KG37" s="25"/>
      <c r="KH37" s="25"/>
      <c r="KI37" s="25"/>
      <c r="KJ37" s="25"/>
      <c r="KK37" s="25"/>
      <c r="KL37" s="25"/>
      <c r="KM37" s="25"/>
      <c r="KN37" s="25"/>
      <c r="KO37" s="25"/>
      <c r="KP37" s="25"/>
      <c r="KQ37" s="25"/>
      <c r="KR37" s="25"/>
      <c r="KS37" s="25"/>
      <c r="KT37" s="25"/>
      <c r="KU37" s="25"/>
      <c r="KV37" s="25"/>
      <c r="KW37" s="25"/>
      <c r="KX37" s="25"/>
      <c r="KY37" s="25"/>
      <c r="KZ37" s="25"/>
      <c r="LA37" s="25"/>
      <c r="LB37" s="25"/>
      <c r="LC37" s="25"/>
      <c r="LD37" s="25"/>
      <c r="LE37" s="25"/>
      <c r="LF37" s="25"/>
      <c r="LG37" s="25"/>
      <c r="LH37" s="25"/>
      <c r="LJ37" s="25"/>
      <c r="LK37" s="25"/>
      <c r="LL37" s="25"/>
      <c r="LM37" s="25"/>
      <c r="LN37" s="25"/>
      <c r="LO37" s="25"/>
      <c r="LP37" s="25"/>
      <c r="LQ37" s="25"/>
      <c r="LR37" s="25"/>
      <c r="LS37" s="25"/>
      <c r="LT37" s="25"/>
      <c r="LU37" s="25"/>
      <c r="LV37" s="25"/>
      <c r="LW37" s="25"/>
      <c r="LX37" s="25"/>
      <c r="LY37" s="25"/>
      <c r="LZ37" s="25"/>
      <c r="MA37" s="25"/>
      <c r="MB37" s="25"/>
      <c r="MC37" s="25"/>
      <c r="MD37" s="25"/>
      <c r="ME37" s="25"/>
      <c r="MF37" s="25"/>
      <c r="MG37" s="25"/>
      <c r="MH37" s="25"/>
      <c r="MI37" s="25"/>
      <c r="MJ37" s="25"/>
      <c r="MK37" s="25"/>
      <c r="ML37" s="25"/>
      <c r="MM37" s="25"/>
      <c r="MN37" s="25"/>
      <c r="MP37" s="25"/>
      <c r="MQ37" s="25"/>
      <c r="MR37" s="25"/>
      <c r="MS37" s="25"/>
      <c r="MT37" s="25"/>
      <c r="MU37" s="25"/>
      <c r="MV37" s="25"/>
      <c r="MW37" s="25"/>
      <c r="MX37" s="25"/>
      <c r="MY37" s="25"/>
      <c r="MZ37" s="25"/>
      <c r="NA37" s="25"/>
      <c r="NB37" s="25"/>
      <c r="NC37" s="25"/>
      <c r="ND37" s="25"/>
      <c r="NE37" s="25"/>
      <c r="NF37" s="25"/>
      <c r="NG37" s="25"/>
      <c r="NH37" s="25"/>
      <c r="NI37" s="25"/>
      <c r="NJ37" s="25"/>
      <c r="NK37" s="25"/>
      <c r="NL37" s="25"/>
      <c r="NM37" s="25"/>
      <c r="NN37" s="25"/>
      <c r="NO37" s="25"/>
      <c r="NP37" s="25"/>
      <c r="NQ37" s="25"/>
      <c r="NR37" s="25"/>
      <c r="NS37" s="25"/>
      <c r="NT37" s="25"/>
      <c r="NV37" s="25"/>
      <c r="NW37" s="25"/>
      <c r="NX37" s="25"/>
      <c r="NY37" s="25"/>
      <c r="NZ37" s="25"/>
      <c r="OA37" s="25"/>
      <c r="OB37" s="25"/>
      <c r="OC37" s="25"/>
      <c r="OD37" s="25"/>
      <c r="OE37" s="25"/>
      <c r="OF37" s="25"/>
      <c r="OG37" s="25"/>
      <c r="OH37" s="25"/>
      <c r="OI37" s="25"/>
      <c r="OJ37" s="25"/>
      <c r="OK37" s="25"/>
      <c r="OL37" s="25"/>
      <c r="OM37" s="25"/>
      <c r="ON37" s="25"/>
      <c r="OO37" s="25"/>
      <c r="OP37" s="25"/>
      <c r="OQ37" s="25"/>
      <c r="OR37" s="25"/>
      <c r="OS37" s="25"/>
      <c r="OT37" s="25"/>
      <c r="OU37" s="25"/>
      <c r="OV37" s="25"/>
      <c r="OW37" s="25"/>
      <c r="OX37" s="25"/>
      <c r="OY37" s="25"/>
      <c r="OZ37" s="25"/>
      <c r="PB37" s="29"/>
      <c r="PC37" s="29"/>
      <c r="PD37" s="29"/>
      <c r="PE37" s="29"/>
      <c r="PF37" s="29"/>
      <c r="PH37" s="29"/>
      <c r="PI37" s="29"/>
      <c r="PJ37" s="29"/>
      <c r="PK37" s="29"/>
      <c r="PM37" s="29"/>
      <c r="PN37" s="3"/>
      <c r="PO37" s="29"/>
      <c r="PP37" s="93"/>
      <c r="PQ37" s="29"/>
      <c r="PR37" s="3"/>
      <c r="PT37" s="29"/>
      <c r="PU37" s="3"/>
      <c r="PV37" s="29"/>
      <c r="PW37" s="3"/>
      <c r="PZ37" s="35"/>
      <c r="QA37" s="81"/>
      <c r="QB37" s="81"/>
    </row>
    <row r="38" spans="2:444">
      <c r="B38" s="3"/>
      <c r="D38" s="39" t="str">
        <f t="shared" si="12"/>
        <v>-/-</v>
      </c>
      <c r="F38" s="3"/>
      <c r="H38" s="118"/>
      <c r="J38" s="118"/>
      <c r="L38" s="118"/>
      <c r="N38" s="118"/>
      <c r="O38" s="118"/>
      <c r="P38" s="118"/>
      <c r="Q38" s="118"/>
      <c r="R38" s="118"/>
      <c r="S38" s="118"/>
      <c r="U38" s="118"/>
      <c r="V38" s="118"/>
      <c r="W38" s="118"/>
      <c r="X38" s="118"/>
      <c r="Z38" s="118"/>
      <c r="AB38" s="19"/>
      <c r="AC38" s="19"/>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Q38" s="25"/>
      <c r="CR38" s="25"/>
      <c r="CS38" s="25"/>
      <c r="CT38" s="25"/>
      <c r="CU38" s="25"/>
      <c r="CV38" s="25"/>
      <c r="CW38" s="25"/>
      <c r="CX38" s="25"/>
      <c r="CY38" s="25"/>
      <c r="CZ38" s="25"/>
      <c r="DA38" s="25"/>
      <c r="DB38" s="25"/>
      <c r="DC38" s="25"/>
      <c r="DD38" s="25"/>
      <c r="DE38" s="25"/>
      <c r="DF38" s="25"/>
      <c r="DG38" s="25"/>
      <c r="DH38" s="25"/>
      <c r="DI38" s="25"/>
      <c r="DJ38" s="25"/>
      <c r="DK38" s="25"/>
      <c r="DL38" s="25"/>
      <c r="DM38" s="25"/>
      <c r="DN38" s="25"/>
      <c r="DO38" s="25"/>
      <c r="DP38" s="25"/>
      <c r="DQ38" s="25"/>
      <c r="DR38" s="25"/>
      <c r="DS38" s="25"/>
      <c r="DT38" s="25"/>
      <c r="DU38" s="25"/>
      <c r="DW38" s="25"/>
      <c r="DX38" s="25"/>
      <c r="DY38" s="25"/>
      <c r="DZ38" s="25"/>
      <c r="EA38" s="25"/>
      <c r="EB38" s="25"/>
      <c r="EC38" s="25"/>
      <c r="ED38" s="25"/>
      <c r="EE38" s="25"/>
      <c r="EF38" s="25"/>
      <c r="EG38" s="25"/>
      <c r="EH38" s="25"/>
      <c r="EI38" s="25"/>
      <c r="EJ38" s="25"/>
      <c r="EK38" s="25"/>
      <c r="EL38" s="25"/>
      <c r="EM38" s="25"/>
      <c r="EN38" s="25"/>
      <c r="EO38" s="25"/>
      <c r="EP38" s="25"/>
      <c r="EQ38" s="25"/>
      <c r="ER38" s="25"/>
      <c r="ES38" s="25"/>
      <c r="ET38" s="25"/>
      <c r="EU38" s="25"/>
      <c r="EV38" s="25"/>
      <c r="EW38" s="25"/>
      <c r="EX38" s="25"/>
      <c r="EY38" s="25"/>
      <c r="EZ38" s="25"/>
      <c r="FA38" s="25"/>
      <c r="FC38" s="25"/>
      <c r="FD38" s="25"/>
      <c r="FE38" s="25"/>
      <c r="FF38" s="25"/>
      <c r="FG38" s="25"/>
      <c r="FH38" s="25"/>
      <c r="FI38" s="25"/>
      <c r="FJ38" s="25"/>
      <c r="FK38" s="25"/>
      <c r="FL38" s="25"/>
      <c r="FM38" s="25"/>
      <c r="FN38" s="25"/>
      <c r="FO38" s="25"/>
      <c r="FP38" s="25"/>
      <c r="FQ38" s="25"/>
      <c r="FR38" s="25"/>
      <c r="FS38" s="25"/>
      <c r="FT38" s="25"/>
      <c r="FU38" s="25"/>
      <c r="FV38" s="25"/>
      <c r="FW38" s="25"/>
      <c r="FX38" s="25"/>
      <c r="FY38" s="25"/>
      <c r="FZ38" s="25"/>
      <c r="GA38" s="25"/>
      <c r="GB38" s="25"/>
      <c r="GC38" s="25"/>
      <c r="GD38" s="25"/>
      <c r="GE38" s="25"/>
      <c r="GF38" s="25"/>
      <c r="GG38" s="25"/>
      <c r="GI38" s="25"/>
      <c r="GJ38" s="25"/>
      <c r="GK38" s="25"/>
      <c r="GL38" s="25"/>
      <c r="GM38" s="25"/>
      <c r="GN38" s="25"/>
      <c r="GO38" s="25"/>
      <c r="GP38" s="25"/>
      <c r="GQ38" s="25"/>
      <c r="GR38" s="25"/>
      <c r="GS38" s="25"/>
      <c r="GT38" s="25"/>
      <c r="GU38" s="25"/>
      <c r="GV38" s="25"/>
      <c r="GW38" s="25"/>
      <c r="GX38" s="25"/>
      <c r="GY38" s="25"/>
      <c r="GZ38" s="25"/>
      <c r="HA38" s="25"/>
      <c r="HB38" s="25"/>
      <c r="HC38" s="25"/>
      <c r="HD38" s="25"/>
      <c r="HE38" s="25"/>
      <c r="HF38" s="25"/>
      <c r="HG38" s="25"/>
      <c r="HH38" s="25"/>
      <c r="HI38" s="25"/>
      <c r="HJ38" s="25"/>
      <c r="HK38" s="25"/>
      <c r="HL38" s="25"/>
      <c r="HM38" s="25"/>
      <c r="HO38" s="23"/>
      <c r="HP38" s="23"/>
      <c r="HR38" s="25"/>
      <c r="HS38" s="25"/>
      <c r="HT38" s="25"/>
      <c r="HU38" s="25"/>
      <c r="HV38" s="25"/>
      <c r="HW38" s="25"/>
      <c r="HX38" s="25"/>
      <c r="HY38" s="25"/>
      <c r="HZ38" s="25"/>
      <c r="IA38" s="25"/>
      <c r="IB38" s="25"/>
      <c r="IC38" s="25"/>
      <c r="ID38" s="25"/>
      <c r="IE38" s="25"/>
      <c r="IF38" s="25"/>
      <c r="IG38" s="25"/>
      <c r="IH38" s="25"/>
      <c r="II38" s="25"/>
      <c r="IJ38" s="25"/>
      <c r="IK38" s="25"/>
      <c r="IL38" s="25"/>
      <c r="IM38" s="25"/>
      <c r="IN38" s="25"/>
      <c r="IO38" s="25"/>
      <c r="IP38" s="25"/>
      <c r="IQ38" s="25"/>
      <c r="IR38" s="25"/>
      <c r="IS38" s="25"/>
      <c r="IT38" s="25"/>
      <c r="IU38" s="25"/>
      <c r="IV38" s="25"/>
      <c r="IX38" s="25"/>
      <c r="IY38" s="25"/>
      <c r="IZ38" s="25"/>
      <c r="JA38" s="25"/>
      <c r="JB38" s="25"/>
      <c r="JC38" s="25"/>
      <c r="JD38" s="25"/>
      <c r="JE38" s="25"/>
      <c r="JF38" s="25"/>
      <c r="JG38" s="25"/>
      <c r="JH38" s="25"/>
      <c r="JI38" s="25"/>
      <c r="JJ38" s="25"/>
      <c r="JK38" s="25"/>
      <c r="JL38" s="25"/>
      <c r="JM38" s="25"/>
      <c r="JN38" s="25"/>
      <c r="JO38" s="25"/>
      <c r="JP38" s="25"/>
      <c r="JQ38" s="25"/>
      <c r="JR38" s="25"/>
      <c r="JS38" s="25"/>
      <c r="JT38" s="25"/>
      <c r="JU38" s="25"/>
      <c r="JV38" s="25"/>
      <c r="JW38" s="25"/>
      <c r="JX38" s="25"/>
      <c r="JY38" s="25"/>
      <c r="JZ38" s="25"/>
      <c r="KA38" s="25"/>
      <c r="KB38" s="25"/>
      <c r="KD38" s="25"/>
      <c r="KE38" s="25"/>
      <c r="KF38" s="25"/>
      <c r="KG38" s="25"/>
      <c r="KH38" s="25"/>
      <c r="KI38" s="25"/>
      <c r="KJ38" s="25"/>
      <c r="KK38" s="25"/>
      <c r="KL38" s="25"/>
      <c r="KM38" s="25"/>
      <c r="KN38" s="25"/>
      <c r="KO38" s="25"/>
      <c r="KP38" s="25"/>
      <c r="KQ38" s="25"/>
      <c r="KR38" s="25"/>
      <c r="KS38" s="25"/>
      <c r="KT38" s="25"/>
      <c r="KU38" s="25"/>
      <c r="KV38" s="25"/>
      <c r="KW38" s="25"/>
      <c r="KX38" s="25"/>
      <c r="KY38" s="25"/>
      <c r="KZ38" s="25"/>
      <c r="LA38" s="25"/>
      <c r="LB38" s="25"/>
      <c r="LC38" s="25"/>
      <c r="LD38" s="25"/>
      <c r="LE38" s="25"/>
      <c r="LF38" s="25"/>
      <c r="LG38" s="25"/>
      <c r="LH38" s="25"/>
      <c r="LJ38" s="25"/>
      <c r="LK38" s="25"/>
      <c r="LL38" s="25"/>
      <c r="LM38" s="25"/>
      <c r="LN38" s="25"/>
      <c r="LO38" s="25"/>
      <c r="LP38" s="25"/>
      <c r="LQ38" s="25"/>
      <c r="LR38" s="25"/>
      <c r="LS38" s="25"/>
      <c r="LT38" s="25"/>
      <c r="LU38" s="25"/>
      <c r="LV38" s="25"/>
      <c r="LW38" s="25"/>
      <c r="LX38" s="25"/>
      <c r="LY38" s="25"/>
      <c r="LZ38" s="25"/>
      <c r="MA38" s="25"/>
      <c r="MB38" s="25"/>
      <c r="MC38" s="25"/>
      <c r="MD38" s="25"/>
      <c r="ME38" s="25"/>
      <c r="MF38" s="25"/>
      <c r="MG38" s="25"/>
      <c r="MH38" s="25"/>
      <c r="MI38" s="25"/>
      <c r="MJ38" s="25"/>
      <c r="MK38" s="25"/>
      <c r="ML38" s="25"/>
      <c r="MM38" s="25"/>
      <c r="MN38" s="25"/>
      <c r="MP38" s="25"/>
      <c r="MQ38" s="25"/>
      <c r="MR38" s="25"/>
      <c r="MS38" s="25"/>
      <c r="MT38" s="25"/>
      <c r="MU38" s="25"/>
      <c r="MV38" s="25"/>
      <c r="MW38" s="25"/>
      <c r="MX38" s="25"/>
      <c r="MY38" s="25"/>
      <c r="MZ38" s="25"/>
      <c r="NA38" s="25"/>
      <c r="NB38" s="25"/>
      <c r="NC38" s="25"/>
      <c r="ND38" s="25"/>
      <c r="NE38" s="25"/>
      <c r="NF38" s="25"/>
      <c r="NG38" s="25"/>
      <c r="NH38" s="25"/>
      <c r="NI38" s="25"/>
      <c r="NJ38" s="25"/>
      <c r="NK38" s="25"/>
      <c r="NL38" s="25"/>
      <c r="NM38" s="25"/>
      <c r="NN38" s="25"/>
      <c r="NO38" s="25"/>
      <c r="NP38" s="25"/>
      <c r="NQ38" s="25"/>
      <c r="NR38" s="25"/>
      <c r="NS38" s="25"/>
      <c r="NT38" s="25"/>
      <c r="NV38" s="25"/>
      <c r="NW38" s="25"/>
      <c r="NX38" s="25"/>
      <c r="NY38" s="25"/>
      <c r="NZ38" s="25"/>
      <c r="OA38" s="25"/>
      <c r="OB38" s="25"/>
      <c r="OC38" s="25"/>
      <c r="OD38" s="25"/>
      <c r="OE38" s="25"/>
      <c r="OF38" s="25"/>
      <c r="OG38" s="25"/>
      <c r="OH38" s="25"/>
      <c r="OI38" s="25"/>
      <c r="OJ38" s="25"/>
      <c r="OK38" s="25"/>
      <c r="OL38" s="25"/>
      <c r="OM38" s="25"/>
      <c r="ON38" s="25"/>
      <c r="OO38" s="25"/>
      <c r="OP38" s="25"/>
      <c r="OQ38" s="25"/>
      <c r="OR38" s="25"/>
      <c r="OS38" s="25"/>
      <c r="OT38" s="25"/>
      <c r="OU38" s="25"/>
      <c r="OV38" s="25"/>
      <c r="OW38" s="25"/>
      <c r="OX38" s="25"/>
      <c r="OY38" s="25"/>
      <c r="OZ38" s="25"/>
      <c r="PB38" s="29"/>
      <c r="PC38" s="29"/>
      <c r="PD38" s="29"/>
      <c r="PE38" s="29"/>
      <c r="PF38" s="29"/>
      <c r="PH38" s="29"/>
      <c r="PI38" s="29"/>
      <c r="PJ38" s="29"/>
      <c r="PK38" s="29"/>
      <c r="PM38" s="29"/>
      <c r="PN38" s="3"/>
      <c r="PO38" s="29"/>
      <c r="PP38" s="93"/>
      <c r="PQ38" s="29"/>
      <c r="PR38" s="3"/>
      <c r="PT38" s="29"/>
      <c r="PU38" s="3"/>
      <c r="PV38" s="29"/>
      <c r="PW38" s="3"/>
      <c r="PZ38" s="35"/>
      <c r="QA38" s="81"/>
      <c r="QB38" s="81"/>
    </row>
    <row r="40" spans="2:444">
      <c r="HR40" s="87"/>
      <c r="HS40" s="87"/>
      <c r="HT40" s="87"/>
      <c r="HU40" s="87"/>
      <c r="HV40" s="87"/>
      <c r="HW40" s="87"/>
      <c r="HX40" s="87"/>
      <c r="HY40" s="87"/>
      <c r="HZ40" s="87"/>
      <c r="IA40" s="87"/>
      <c r="IB40" s="87"/>
      <c r="IC40" s="87"/>
      <c r="ID40" s="87"/>
      <c r="IE40" s="87"/>
      <c r="IF40" s="87"/>
      <c r="IG40" s="87"/>
      <c r="IH40" s="87"/>
      <c r="II40" s="87"/>
      <c r="IJ40" s="87"/>
      <c r="IK40" s="87"/>
      <c r="IL40" s="87"/>
      <c r="IM40" s="87"/>
      <c r="IN40" s="87"/>
      <c r="IO40" s="87"/>
      <c r="IP40" s="87"/>
      <c r="IQ40" s="87"/>
      <c r="IR40" s="87"/>
      <c r="IS40" s="87"/>
      <c r="IT40" s="87"/>
      <c r="IU40" s="87"/>
      <c r="IV40" s="87"/>
    </row>
    <row r="41" spans="2:444">
      <c r="HR41" s="87"/>
      <c r="HS41" s="87"/>
      <c r="HT41" s="87"/>
      <c r="HU41" s="87"/>
      <c r="HV41" s="87"/>
      <c r="HW41" s="87"/>
      <c r="HX41" s="87"/>
      <c r="HY41" s="87"/>
      <c r="HZ41" s="87"/>
      <c r="IA41" s="87"/>
      <c r="IB41" s="87"/>
      <c r="IC41" s="87"/>
      <c r="ID41" s="87"/>
      <c r="IE41" s="87"/>
      <c r="IF41" s="87"/>
      <c r="IG41" s="87"/>
      <c r="IH41" s="87"/>
      <c r="II41" s="87"/>
      <c r="IJ41" s="87"/>
      <c r="IK41" s="87"/>
      <c r="IL41" s="87"/>
      <c r="IM41" s="87"/>
      <c r="IN41" s="87"/>
      <c r="IO41" s="87"/>
      <c r="IP41" s="87"/>
      <c r="IQ41" s="87"/>
      <c r="IR41" s="87"/>
      <c r="IS41" s="87"/>
      <c r="IT41" s="87"/>
      <c r="IU41" s="87"/>
      <c r="IV41" s="87"/>
    </row>
  </sheetData>
  <conditionalFormatting sqref="PR11:PR38 PW11:PW38 PU11:PU38 PP11:PP38 PN11:PN38">
    <cfRule type="expression" dxfId="29" priority="5">
      <formula>NOT(ISBLANK(PM11))</formula>
    </cfRule>
  </conditionalFormatting>
  <conditionalFormatting sqref="PM11:PM38 PV11:PV38 PT11:PT38 PO11:PO38 PQ11:PQ38">
    <cfRule type="expression" dxfId="28" priority="6">
      <formula>NOT(ISBLANK(PN11))</formula>
    </cfRule>
  </conditionalFormatting>
  <conditionalFormatting sqref="A11:A38">
    <cfRule type="duplicateValues" dxfId="27" priority="1385"/>
  </conditionalFormatting>
  <conditionalFormatting sqref="D11:D38">
    <cfRule type="cellIs" dxfId="26" priority="1" operator="equal">
      <formula>FALSE</formula>
    </cfRule>
  </conditionalFormatting>
  <dataValidations count="5">
    <dataValidation type="list" allowBlank="1" showInputMessage="1" showErrorMessage="1" sqref="AB11:AC38 U11:X38 N11:S38" xr:uid="{17A4A7EC-B9C7-9147-973A-0C5B597E1B74}">
      <formula1>"TRUE,FALSE"</formula1>
    </dataValidation>
    <dataValidation type="list" allowBlank="1" showInputMessage="1" showErrorMessage="1" sqref="H11:H38" xr:uid="{337D88BF-CEC0-A646-81BD-6EFB3EB25455}">
      <formula1>OFFSET(lists_zones,,,COUNTA(lists_zones))</formula1>
    </dataValidation>
    <dataValidation type="list" allowBlank="1" showInputMessage="1" showErrorMessage="1" sqref="Z11:Z38" xr:uid="{83BA5B09-5698-F242-AF30-C6DEF374536B}">
      <formula1>OFFSET(lists_elcc_surfaces,,,COUNTA(lists_elcc_surfaces))</formula1>
    </dataValidation>
    <dataValidation type="list" allowBlank="1" showInputMessage="1" showErrorMessage="1" sqref="L11:L38" xr:uid="{D19C54B7-5B99-4314-891D-CE56B202FEFE}">
      <formula1>OFFSET(lists_outage_distributions,,,COUNTA(lists_outage_distributions))</formula1>
    </dataValidation>
    <dataValidation type="list" allowBlank="1" showInputMessage="1" showErrorMessage="1" sqref="J11:L38" xr:uid="{3734FF26-75A0-4F2F-BDC3-35B36630CFC2}">
      <formula1>ResourceGroup</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14" id="{0E680984-C6D1-C349-9BC5-E49308D8B8BB}">
            <xm:f>ISNUMBER(MATCH(F11,'RESOLVE Case Settings'!$C$19:$C$42,0))</xm:f>
            <x14:dxf>
              <font>
                <color rgb="FF006100"/>
              </font>
              <fill>
                <patternFill>
                  <bgColor rgb="FFC6EFCE"/>
                </patternFill>
              </fill>
            </x14:dxf>
          </x14:cfRule>
          <xm:sqref>F11:F38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24DBB-A5B7-492A-B2AC-2040D18BFDF3}">
  <sheetPr codeName="Sheet34">
    <tabColor theme="7" tint="0.79998168889431442"/>
  </sheetPr>
  <dimension ref="A1:JM25"/>
  <sheetViews>
    <sheetView showGridLines="0" zoomScale="70" zoomScaleNormal="70" workbookViewId="0">
      <pane xSplit="7" ySplit="10" topLeftCell="H11" activePane="bottomRight" state="frozen"/>
      <selection pane="topRight" activeCell="N35" sqref="N35"/>
      <selection pane="bottomLeft" activeCell="N35" sqref="N35"/>
      <selection pane="bottomRight" activeCell="F25" sqref="F25"/>
    </sheetView>
  </sheetViews>
  <sheetFormatPr baseColWidth="10" defaultColWidth="11" defaultRowHeight="12" outlineLevelRow="1" outlineLevelCol="1"/>
  <cols>
    <col min="2" max="2" width="43.59765625" customWidth="1"/>
    <col min="3" max="3" width="3" customWidth="1" outlineLevel="1"/>
    <col min="4" max="4" width="25" customWidth="1" outlineLevel="1"/>
    <col min="5" max="5" width="3" customWidth="1" outlineLevel="1"/>
    <col min="6" max="6" width="30.3984375" customWidth="1" outlineLevel="1"/>
    <col min="7" max="7" width="3" customWidth="1"/>
    <col min="8" max="8" width="18.3984375" customWidth="1" outlineLevel="1"/>
    <col min="9" max="9" width="3" customWidth="1" outlineLevel="1"/>
    <col min="10" max="10" width="17" customWidth="1" outlineLevel="1"/>
    <col min="11" max="11" width="4.59765625" customWidth="1"/>
    <col min="12" max="12" width="18.3984375" customWidth="1"/>
    <col min="13" max="13" width="3" customWidth="1" outlineLevel="1"/>
    <col min="14" max="19" width="16" customWidth="1" outlineLevel="1"/>
    <col min="20" max="20" width="3" customWidth="1" outlineLevel="1"/>
    <col min="21" max="26" width="16" customWidth="1" outlineLevel="1"/>
    <col min="27" max="27" width="3" customWidth="1" outlineLevel="1"/>
    <col min="28" max="28" width="20" customWidth="1" outlineLevel="1"/>
    <col min="29" max="29" width="3" customWidth="1"/>
    <col min="30" max="30" width="16" customWidth="1"/>
    <col min="31" max="31" width="3" customWidth="1"/>
    <col min="32" max="33" width="16" customWidth="1"/>
    <col min="34" max="34" width="3" customWidth="1"/>
    <col min="35" max="35" width="16" customWidth="1"/>
    <col min="36" max="36" width="16" hidden="1" customWidth="1" outlineLevel="1"/>
    <col min="37" max="37" width="24.59765625" hidden="1" customWidth="1" outlineLevel="1"/>
    <col min="38" max="39" width="16" hidden="1" customWidth="1" outlineLevel="1"/>
    <col min="40" max="40" width="16" customWidth="1" collapsed="1"/>
    <col min="41" max="42" width="24.59765625" hidden="1" customWidth="1" outlineLevel="1"/>
    <col min="43" max="43" width="24.59765625" hidden="1" customWidth="1" outlineLevel="1" collapsed="1"/>
    <col min="44" max="44" width="24.59765625" hidden="1" customWidth="1" outlineLevel="1"/>
    <col min="45" max="45" width="16" customWidth="1" collapsed="1"/>
    <col min="46" max="46" width="16" hidden="1" customWidth="1" outlineLevel="1"/>
    <col min="47" max="47" width="16" hidden="1" customWidth="1" outlineLevel="1" collapsed="1"/>
    <col min="48" max="49" width="16" hidden="1" customWidth="1" outlineLevel="1"/>
    <col min="50" max="50" width="16" customWidth="1" collapsed="1"/>
    <col min="51" max="53" width="16" hidden="1" customWidth="1" outlineLevel="1"/>
    <col min="54" max="54" width="16" hidden="1" customWidth="1" outlineLevel="1" collapsed="1"/>
    <col min="55" max="55" width="16" customWidth="1" collapsed="1"/>
    <col min="56" max="59" width="16" hidden="1" customWidth="1" outlineLevel="1"/>
    <col min="60" max="60" width="16" customWidth="1" collapsed="1"/>
    <col min="61" max="64" width="16" hidden="1" customWidth="1" outlineLevel="1"/>
    <col min="65" max="65" width="16" customWidth="1" collapsed="1"/>
    <col min="66" max="66" width="3" customWidth="1"/>
    <col min="67" max="67" width="16" customWidth="1"/>
    <col min="68" max="69" width="16" hidden="1" customWidth="1" outlineLevel="1"/>
    <col min="70" max="70" width="16" hidden="1" customWidth="1" outlineLevel="1" collapsed="1"/>
    <col min="71" max="71" width="16" hidden="1" customWidth="1" outlineLevel="1"/>
    <col min="72" max="72" width="16" customWidth="1" collapsed="1"/>
    <col min="73" max="74" width="16" hidden="1" customWidth="1" outlineLevel="1"/>
    <col min="75" max="75" width="16" hidden="1" customWidth="1" outlineLevel="1" collapsed="1"/>
    <col min="76" max="76" width="16" hidden="1" customWidth="1" outlineLevel="1"/>
    <col min="77" max="77" width="16" customWidth="1" collapsed="1"/>
    <col min="78" max="78" width="16" hidden="1" customWidth="1" outlineLevel="1"/>
    <col min="79" max="79" width="16" hidden="1" customWidth="1" outlineLevel="1" collapsed="1"/>
    <col min="80" max="81" width="16" hidden="1" customWidth="1" outlineLevel="1"/>
    <col min="82" max="82" width="16" customWidth="1" collapsed="1"/>
    <col min="83" max="85" width="16" hidden="1" customWidth="1" outlineLevel="1"/>
    <col min="86" max="86" width="16" hidden="1" customWidth="1" outlineLevel="1" collapsed="1"/>
    <col min="87" max="87" width="16" customWidth="1" collapsed="1"/>
    <col min="88" max="91" width="16" hidden="1" customWidth="1" outlineLevel="1"/>
    <col min="92" max="92" width="16" customWidth="1" collapsed="1"/>
    <col min="93" max="96" width="16" hidden="1" customWidth="1" outlineLevel="1"/>
    <col min="97" max="97" width="16" customWidth="1" collapsed="1"/>
    <col min="98" max="98" width="3" customWidth="1"/>
    <col min="99" max="99" width="16" customWidth="1"/>
    <col min="100" max="101" width="16" hidden="1" customWidth="1" outlineLevel="1"/>
    <col min="102" max="102" width="16" hidden="1" customWidth="1" outlineLevel="1" collapsed="1"/>
    <col min="103" max="103" width="16" hidden="1" customWidth="1" outlineLevel="1"/>
    <col min="104" max="104" width="16" customWidth="1" collapsed="1"/>
    <col min="105" max="106" width="16" hidden="1" customWidth="1" outlineLevel="1"/>
    <col min="107" max="107" width="16" hidden="1" customWidth="1" outlineLevel="1" collapsed="1"/>
    <col min="108" max="108" width="16" hidden="1" customWidth="1" outlineLevel="1"/>
    <col min="109" max="109" width="16" customWidth="1" collapsed="1"/>
    <col min="110" max="110" width="16" hidden="1" customWidth="1" outlineLevel="1"/>
    <col min="111" max="111" width="16" hidden="1" customWidth="1" outlineLevel="1" collapsed="1"/>
    <col min="112" max="113" width="16" hidden="1" customWidth="1" outlineLevel="1"/>
    <col min="114" max="114" width="16" customWidth="1" collapsed="1"/>
    <col min="115" max="117" width="16" hidden="1" customWidth="1" outlineLevel="1"/>
    <col min="118" max="118" width="16" hidden="1" customWidth="1" outlineLevel="1" collapsed="1"/>
    <col min="119" max="119" width="16" customWidth="1" collapsed="1"/>
    <col min="120" max="123" width="16" hidden="1" customWidth="1" outlineLevel="1"/>
    <col min="124" max="124" width="16" customWidth="1" collapsed="1"/>
    <col min="125" max="128" width="16" hidden="1" customWidth="1" outlineLevel="1"/>
    <col min="129" max="129" width="16" customWidth="1" collapsed="1"/>
    <col min="130" max="130" width="3" customWidth="1"/>
    <col min="131" max="131" width="16" customWidth="1"/>
    <col min="132" max="133" width="16" hidden="1" customWidth="1" outlineLevel="1"/>
    <col min="134" max="134" width="16" hidden="1" customWidth="1" outlineLevel="1" collapsed="1"/>
    <col min="135" max="135" width="16" hidden="1" customWidth="1" outlineLevel="1"/>
    <col min="136" max="136" width="16" customWidth="1" collapsed="1"/>
    <col min="137" max="138" width="16" hidden="1" customWidth="1" outlineLevel="1"/>
    <col min="139" max="139" width="16" hidden="1" customWidth="1" outlineLevel="1" collapsed="1"/>
    <col min="140" max="140" width="16.59765625" hidden="1" customWidth="1" outlineLevel="1"/>
    <col min="141" max="141" width="16" customWidth="1" collapsed="1"/>
    <col min="142" max="142" width="16" hidden="1" customWidth="1" outlineLevel="1"/>
    <col min="143" max="143" width="16" hidden="1" customWidth="1" outlineLevel="1" collapsed="1"/>
    <col min="144" max="145" width="16" hidden="1" customWidth="1" outlineLevel="1"/>
    <col min="146" max="146" width="16" customWidth="1" collapsed="1"/>
    <col min="147" max="149" width="16" hidden="1" customWidth="1" outlineLevel="1"/>
    <col min="150" max="150" width="16" hidden="1" customWidth="1" outlineLevel="1" collapsed="1"/>
    <col min="151" max="151" width="16" customWidth="1" collapsed="1"/>
    <col min="152" max="155" width="16" hidden="1" customWidth="1" outlineLevel="1"/>
    <col min="156" max="156" width="16" customWidth="1" collapsed="1"/>
    <col min="157" max="160" width="16" hidden="1" customWidth="1" outlineLevel="1"/>
    <col min="161" max="161" width="16" customWidth="1" collapsed="1"/>
    <col min="162" max="162" width="3" customWidth="1"/>
    <col min="163" max="164" width="16" customWidth="1"/>
    <col min="165" max="165" width="3" customWidth="1"/>
    <col min="166" max="166" width="16" customWidth="1"/>
    <col min="167" max="168" width="16" hidden="1" customWidth="1" outlineLevel="1"/>
    <col min="169" max="169" width="16" hidden="1" customWidth="1" outlineLevel="1" collapsed="1"/>
    <col min="170" max="170" width="16" hidden="1" customWidth="1" outlineLevel="1"/>
    <col min="171" max="171" width="16" customWidth="1" collapsed="1"/>
    <col min="172" max="173" width="16" hidden="1" customWidth="1" outlineLevel="1"/>
    <col min="174" max="174" width="16" hidden="1" customWidth="1" outlineLevel="1" collapsed="1"/>
    <col min="175" max="175" width="16" hidden="1" customWidth="1" outlineLevel="1"/>
    <col min="176" max="176" width="16" customWidth="1" collapsed="1"/>
    <col min="177" max="177" width="16" hidden="1" customWidth="1" outlineLevel="1"/>
    <col min="178" max="178" width="16" hidden="1" customWidth="1" outlineLevel="1" collapsed="1"/>
    <col min="179" max="180" width="16" hidden="1" customWidth="1" outlineLevel="1"/>
    <col min="181" max="181" width="16" customWidth="1" collapsed="1"/>
    <col min="182" max="184" width="16" hidden="1" customWidth="1" outlineLevel="1"/>
    <col min="185" max="185" width="16" hidden="1" customWidth="1" outlineLevel="1" collapsed="1"/>
    <col min="186" max="186" width="16" customWidth="1" collapsed="1"/>
    <col min="187" max="190" width="16" hidden="1" customWidth="1" outlineLevel="1"/>
    <col min="191" max="191" width="16" customWidth="1" collapsed="1"/>
    <col min="192" max="195" width="16" hidden="1" customWidth="1" outlineLevel="1"/>
    <col min="196" max="196" width="16" customWidth="1" collapsed="1"/>
    <col min="197" max="197" width="3" customWidth="1"/>
    <col min="198" max="198" width="16" customWidth="1"/>
    <col min="199" max="200" width="16" hidden="1" customWidth="1" outlineLevel="1"/>
    <col min="201" max="201" width="16" hidden="1" customWidth="1" outlineLevel="1" collapsed="1"/>
    <col min="202" max="202" width="16" hidden="1" customWidth="1" outlineLevel="1"/>
    <col min="203" max="203" width="16" customWidth="1" collapsed="1"/>
    <col min="204" max="205" width="16" hidden="1" customWidth="1" outlineLevel="1"/>
    <col min="206" max="206" width="16" hidden="1" customWidth="1" outlineLevel="1" collapsed="1"/>
    <col min="207" max="207" width="16" hidden="1" customWidth="1" outlineLevel="1"/>
    <col min="208" max="208" width="16" customWidth="1" collapsed="1"/>
    <col min="209" max="209" width="16" hidden="1" customWidth="1" outlineLevel="1"/>
    <col min="210" max="210" width="16" hidden="1" customWidth="1" outlineLevel="1" collapsed="1"/>
    <col min="211" max="212" width="16" hidden="1" customWidth="1" outlineLevel="1"/>
    <col min="213" max="213" width="16" customWidth="1" collapsed="1"/>
    <col min="214" max="216" width="16" hidden="1" customWidth="1" outlineLevel="1"/>
    <col min="217" max="217" width="16" hidden="1" customWidth="1" outlineLevel="1" collapsed="1"/>
    <col min="218" max="218" width="16" customWidth="1" collapsed="1"/>
    <col min="219" max="222" width="16" hidden="1" customWidth="1" outlineLevel="1"/>
    <col min="223" max="223" width="16" customWidth="1" collapsed="1"/>
    <col min="224" max="227" width="16" hidden="1" customWidth="1" outlineLevel="1"/>
    <col min="228" max="228" width="16" customWidth="1" collapsed="1"/>
    <col min="229" max="229" width="3" customWidth="1"/>
    <col min="230" max="230" width="16" customWidth="1"/>
    <col min="231" max="232" width="16" hidden="1" customWidth="1" outlineLevel="1"/>
    <col min="233" max="233" width="16" hidden="1" customWidth="1" outlineLevel="1" collapsed="1"/>
    <col min="234" max="234" width="16" hidden="1" customWidth="1" outlineLevel="1"/>
    <col min="235" max="235" width="16" customWidth="1" collapsed="1"/>
    <col min="236" max="237" width="16" hidden="1" customWidth="1" outlineLevel="1"/>
    <col min="238" max="238" width="16" hidden="1" customWidth="1" outlineLevel="1" collapsed="1"/>
    <col min="239" max="239" width="16" hidden="1" customWidth="1" outlineLevel="1"/>
    <col min="240" max="240" width="16" customWidth="1" collapsed="1"/>
    <col min="241" max="241" width="16" hidden="1" customWidth="1" outlineLevel="1"/>
    <col min="242" max="242" width="16" hidden="1" customWidth="1" outlineLevel="1" collapsed="1"/>
    <col min="243" max="244" width="16" hidden="1" customWidth="1" outlineLevel="1"/>
    <col min="245" max="245" width="16" customWidth="1" collapsed="1"/>
    <col min="246" max="248" width="16" hidden="1" customWidth="1" outlineLevel="1"/>
    <col min="249" max="249" width="16" hidden="1" customWidth="1" outlineLevel="1" collapsed="1"/>
    <col min="250" max="250" width="16" customWidth="1" collapsed="1"/>
    <col min="251" max="254" width="16" hidden="1" customWidth="1" outlineLevel="1"/>
    <col min="255" max="255" width="16" customWidth="1" collapsed="1"/>
    <col min="256" max="259" width="16" hidden="1" customWidth="1" outlineLevel="1"/>
    <col min="260" max="260" width="16" customWidth="1" collapsed="1"/>
    <col min="261" max="261" width="3" customWidth="1"/>
    <col min="262" max="262" width="16" customWidth="1"/>
    <col min="263" max="263" width="3" customWidth="1"/>
    <col min="264" max="264" width="54" bestFit="1" customWidth="1"/>
    <col min="265" max="265" width="3" customWidth="1"/>
    <col min="266" max="267" width="14.796875" bestFit="1" customWidth="1"/>
    <col min="268" max="269" width="16.59765625" bestFit="1" customWidth="1"/>
    <col min="270" max="270" width="7.59765625" customWidth="1"/>
  </cols>
  <sheetData>
    <row r="1" spans="1:273" s="5" customFormat="1" ht="29" thickBot="1">
      <c r="A1" s="5" t="s">
        <v>473</v>
      </c>
    </row>
    <row r="4" spans="1:273" ht="19" thickBot="1">
      <c r="H4" s="9" t="s">
        <v>474</v>
      </c>
      <c r="I4" s="9"/>
      <c r="J4" s="9"/>
      <c r="K4" s="9"/>
      <c r="L4" s="9"/>
      <c r="M4" s="9"/>
      <c r="N4" s="9"/>
      <c r="O4" s="9"/>
      <c r="P4" s="9"/>
      <c r="Q4" s="9"/>
      <c r="R4" s="9"/>
      <c r="S4" s="9"/>
      <c r="T4" s="9"/>
      <c r="U4" s="9"/>
      <c r="V4" s="9"/>
      <c r="W4" s="9"/>
      <c r="X4" s="9"/>
      <c r="Y4" s="9"/>
      <c r="Z4" s="9"/>
      <c r="AA4" s="9"/>
      <c r="AB4" s="9"/>
      <c r="AD4" s="9" t="s">
        <v>398</v>
      </c>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G4" s="9" t="s">
        <v>399</v>
      </c>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W4" s="9"/>
      <c r="IX4" s="9"/>
      <c r="IY4" s="9"/>
      <c r="IZ4" s="9"/>
      <c r="JB4" s="9" t="s">
        <v>414</v>
      </c>
      <c r="JC4" s="9"/>
      <c r="JD4" s="9"/>
      <c r="JE4" s="9"/>
      <c r="JF4" s="9"/>
      <c r="JG4" s="9"/>
      <c r="JH4" s="9"/>
      <c r="JI4" s="9"/>
      <c r="JK4" s="9" t="s">
        <v>415</v>
      </c>
      <c r="JL4" s="9"/>
      <c r="JM4" s="9"/>
    </row>
    <row r="6" spans="1:273" ht="15" thickBot="1">
      <c r="N6" s="83" t="s">
        <v>279</v>
      </c>
      <c r="O6" s="83"/>
      <c r="P6" s="83"/>
      <c r="Q6" s="83"/>
      <c r="R6" s="83"/>
      <c r="S6" s="83"/>
      <c r="U6" s="83" t="s">
        <v>302</v>
      </c>
      <c r="V6" s="83"/>
      <c r="W6" s="83"/>
      <c r="X6" s="83"/>
      <c r="Y6" s="83"/>
      <c r="Z6" s="83"/>
      <c r="AA6" s="83"/>
      <c r="AB6" s="83"/>
    </row>
    <row r="8" spans="1:273" ht="56">
      <c r="H8" s="11" t="s">
        <v>203</v>
      </c>
      <c r="J8" s="11" t="s">
        <v>392</v>
      </c>
      <c r="L8" s="11" t="s">
        <v>443</v>
      </c>
      <c r="N8" s="11" t="str" cm="1">
        <f t="array" aca="1" ref="N8" ca="1">TRANSPOSE(OFFSET(lists_reserves,,,COUNTA(lists_reserves)))</f>
        <v>regulating_up</v>
      </c>
      <c r="O8" s="11"/>
      <c r="P8" s="11"/>
      <c r="Q8" s="11"/>
      <c r="R8" s="11"/>
      <c r="S8" s="11"/>
      <c r="U8" s="11" t="e" cm="1" vm="1">
        <f t="array" aca="1" ref="U8" ca="1">TRANSPOSE(OFFSET(lists_non_emissions_policies,,,COUNTA(lists_non_emissions_policies)))</f>
        <v>#VALUE!</v>
      </c>
      <c r="V8" s="11"/>
      <c r="W8" s="11"/>
      <c r="X8" s="11"/>
      <c r="Y8" s="11"/>
      <c r="Z8" s="11"/>
      <c r="AB8" s="11" t="s">
        <v>349</v>
      </c>
      <c r="AD8" s="6" t="s">
        <v>386</v>
      </c>
      <c r="AF8" s="6" t="s">
        <v>417</v>
      </c>
      <c r="AG8" s="6" t="s">
        <v>418</v>
      </c>
      <c r="AI8" s="6" t="s">
        <v>400</v>
      </c>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O8" s="6" t="s">
        <v>419</v>
      </c>
      <c r="BP8" s="6"/>
      <c r="BQ8" s="6"/>
      <c r="BR8" s="6"/>
      <c r="BS8" s="6"/>
      <c r="BT8" s="6"/>
      <c r="BU8" s="6"/>
      <c r="BV8" s="6"/>
      <c r="BW8" s="6"/>
      <c r="BX8" s="6"/>
      <c r="BY8" s="6"/>
      <c r="BZ8" s="6"/>
      <c r="CA8" s="6"/>
      <c r="CB8" s="6"/>
      <c r="CC8" s="6"/>
      <c r="CD8" s="6"/>
      <c r="CE8" s="6"/>
      <c r="CF8" s="6"/>
      <c r="CG8" s="6"/>
      <c r="CH8" s="6"/>
      <c r="CI8" s="6"/>
      <c r="CJ8" s="6"/>
      <c r="CK8" s="6"/>
      <c r="CL8" s="6"/>
      <c r="CM8" s="6"/>
      <c r="CN8" s="6"/>
      <c r="CO8" s="6"/>
      <c r="CP8" s="6"/>
      <c r="CQ8" s="6"/>
      <c r="CR8" s="6"/>
      <c r="CS8" s="6"/>
      <c r="CU8" s="6" t="s">
        <v>401</v>
      </c>
      <c r="CV8" s="6"/>
      <c r="CW8" s="6"/>
      <c r="CX8" s="6"/>
      <c r="CY8" s="6"/>
      <c r="CZ8" s="6"/>
      <c r="DA8" s="6"/>
      <c r="DB8" s="6"/>
      <c r="DC8" s="6"/>
      <c r="DD8" s="6"/>
      <c r="DE8" s="6"/>
      <c r="DF8" s="6"/>
      <c r="DG8" s="6"/>
      <c r="DH8" s="6"/>
      <c r="DI8" s="6"/>
      <c r="DJ8" s="6"/>
      <c r="DK8" s="6"/>
      <c r="DL8" s="6"/>
      <c r="DM8" s="6"/>
      <c r="DN8" s="6"/>
      <c r="DO8" s="6"/>
      <c r="DP8" s="6"/>
      <c r="DQ8" s="6"/>
      <c r="DR8" s="6"/>
      <c r="DS8" s="6"/>
      <c r="DT8" s="6"/>
      <c r="DU8" s="6"/>
      <c r="DV8" s="6"/>
      <c r="DW8" s="6"/>
      <c r="DX8" s="6"/>
      <c r="DY8" s="6"/>
      <c r="EA8" s="6" t="s">
        <v>475</v>
      </c>
      <c r="EB8" s="6"/>
      <c r="EC8" s="6"/>
      <c r="ED8" s="6"/>
      <c r="EE8" s="6"/>
      <c r="EF8" s="6"/>
      <c r="EG8" s="6"/>
      <c r="EH8" s="6"/>
      <c r="EI8" s="6"/>
      <c r="EJ8" s="6"/>
      <c r="EK8" s="6"/>
      <c r="EL8" s="6"/>
      <c r="EM8" s="6"/>
      <c r="EN8" s="6"/>
      <c r="EO8" s="6"/>
      <c r="EP8" s="6"/>
      <c r="EQ8" s="6"/>
      <c r="ER8" s="6"/>
      <c r="ES8" s="6"/>
      <c r="ET8" s="6"/>
      <c r="EU8" s="6"/>
      <c r="EV8" s="6"/>
      <c r="EW8" s="6"/>
      <c r="EX8" s="6"/>
      <c r="EY8" s="6"/>
      <c r="EZ8" s="6"/>
      <c r="FA8" s="6"/>
      <c r="FB8" s="6"/>
      <c r="FC8" s="6"/>
      <c r="FD8" s="6"/>
      <c r="FE8" s="6"/>
      <c r="FG8" s="11" t="s">
        <v>420</v>
      </c>
      <c r="FH8" s="11" t="s">
        <v>476</v>
      </c>
      <c r="FJ8" s="6" t="s">
        <v>404</v>
      </c>
      <c r="FK8" s="6"/>
      <c r="FL8" s="6"/>
      <c r="FM8" s="6"/>
      <c r="FN8" s="6"/>
      <c r="FO8" s="6"/>
      <c r="FP8" s="6"/>
      <c r="FQ8" s="6"/>
      <c r="FR8" s="6"/>
      <c r="FS8" s="6"/>
      <c r="FT8" s="6"/>
      <c r="FU8" s="6"/>
      <c r="FV8" s="6"/>
      <c r="FW8" s="6"/>
      <c r="FX8" s="6"/>
      <c r="FY8" s="6"/>
      <c r="FZ8" s="6"/>
      <c r="GA8" s="6"/>
      <c r="GB8" s="6"/>
      <c r="GC8" s="6"/>
      <c r="GD8" s="6"/>
      <c r="GE8" s="6"/>
      <c r="GF8" s="6"/>
      <c r="GG8" s="6"/>
      <c r="GH8" s="6"/>
      <c r="GI8" s="6"/>
      <c r="GJ8" s="6"/>
      <c r="GK8" s="6"/>
      <c r="GL8" s="6"/>
      <c r="GM8" s="6"/>
      <c r="GN8" s="6"/>
      <c r="GP8" s="6" t="s">
        <v>421</v>
      </c>
      <c r="GQ8" s="6"/>
      <c r="GR8" s="6"/>
      <c r="GS8" s="6"/>
      <c r="GT8" s="6"/>
      <c r="GU8" s="6"/>
      <c r="GV8" s="6"/>
      <c r="GW8" s="6"/>
      <c r="GX8" s="6"/>
      <c r="GY8" s="6"/>
      <c r="GZ8" s="6"/>
      <c r="HA8" s="6"/>
      <c r="HB8" s="6"/>
      <c r="HC8" s="6"/>
      <c r="HD8" s="6"/>
      <c r="HE8" s="6"/>
      <c r="HF8" s="6"/>
      <c r="HG8" s="6"/>
      <c r="HH8" s="6"/>
      <c r="HI8" s="6"/>
      <c r="HJ8" s="6"/>
      <c r="HK8" s="6"/>
      <c r="HL8" s="6"/>
      <c r="HM8" s="6"/>
      <c r="HN8" s="6"/>
      <c r="HO8" s="6"/>
      <c r="HP8" s="6"/>
      <c r="HQ8" s="6"/>
      <c r="HR8" s="6"/>
      <c r="HS8" s="6"/>
      <c r="HT8" s="6"/>
      <c r="HV8" s="6" t="s">
        <v>422</v>
      </c>
      <c r="HW8" s="6"/>
      <c r="HX8" s="6"/>
      <c r="HY8" s="6"/>
      <c r="HZ8" s="6"/>
      <c r="IA8" s="6"/>
      <c r="IB8" s="6"/>
      <c r="IC8" s="6"/>
      <c r="ID8" s="6"/>
      <c r="IE8" s="6"/>
      <c r="IF8" s="6"/>
      <c r="IG8" s="6"/>
      <c r="IH8" s="6"/>
      <c r="II8" s="6"/>
      <c r="IJ8" s="6"/>
      <c r="IK8" s="6"/>
      <c r="IL8" s="6"/>
      <c r="IM8" s="6"/>
      <c r="IN8" s="6"/>
      <c r="IO8" s="6"/>
      <c r="IP8" s="6"/>
      <c r="IQ8" s="6"/>
      <c r="IR8" s="6"/>
      <c r="IS8" s="6"/>
      <c r="IT8" s="6"/>
      <c r="IU8" s="6"/>
      <c r="IV8" s="6"/>
      <c r="IW8" s="6"/>
      <c r="IX8" s="6"/>
      <c r="IY8" s="6"/>
      <c r="IZ8" s="6"/>
      <c r="JB8" s="11" t="s">
        <v>477</v>
      </c>
      <c r="JD8" s="11" t="s">
        <v>440</v>
      </c>
      <c r="JF8" s="11" t="s">
        <v>478</v>
      </c>
      <c r="JG8" s="11" t="s">
        <v>479</v>
      </c>
      <c r="JH8" s="11" t="s">
        <v>480</v>
      </c>
      <c r="JI8" s="11" t="s">
        <v>481</v>
      </c>
      <c r="JK8" s="11" t="s">
        <v>441</v>
      </c>
      <c r="JL8" s="11" t="s">
        <v>442</v>
      </c>
      <c r="JM8" s="11" t="s">
        <v>388</v>
      </c>
    </row>
    <row r="9" spans="1:273" s="30" customFormat="1" outlineLevel="1">
      <c r="B9" s="30" t="s">
        <v>239</v>
      </c>
      <c r="F9"/>
      <c r="H9" s="30" t="s">
        <v>444</v>
      </c>
      <c r="J9" s="30" t="s">
        <v>445</v>
      </c>
      <c r="L9" s="30" t="s">
        <v>471</v>
      </c>
      <c r="N9" s="30" t="s">
        <v>447</v>
      </c>
      <c r="O9" s="30" t="s">
        <v>447</v>
      </c>
      <c r="P9" s="30" t="s">
        <v>447</v>
      </c>
      <c r="Q9" s="30" t="s">
        <v>447</v>
      </c>
      <c r="R9" s="30" t="s">
        <v>447</v>
      </c>
      <c r="S9" s="30" t="s">
        <v>447</v>
      </c>
      <c r="U9" s="30" t="s">
        <v>406</v>
      </c>
      <c r="V9" s="30" t="s">
        <v>406</v>
      </c>
      <c r="W9" s="30" t="s">
        <v>406</v>
      </c>
      <c r="X9" s="30" t="s">
        <v>406</v>
      </c>
      <c r="Y9" s="30" t="s">
        <v>406</v>
      </c>
      <c r="Z9" s="30" t="s">
        <v>406</v>
      </c>
      <c r="AB9" s="30" t="s">
        <v>407</v>
      </c>
      <c r="AD9" s="30" t="s">
        <v>389</v>
      </c>
      <c r="AE9"/>
      <c r="AF9" s="30" t="s">
        <v>410</v>
      </c>
      <c r="AG9" s="30" t="s">
        <v>448</v>
      </c>
      <c r="AH9"/>
      <c r="AI9" s="30" t="s">
        <v>408</v>
      </c>
      <c r="AJ9" s="30" t="s">
        <v>408</v>
      </c>
      <c r="AK9" s="30" t="s">
        <v>408</v>
      </c>
      <c r="AL9" s="30" t="s">
        <v>408</v>
      </c>
      <c r="AM9" s="30" t="s">
        <v>408</v>
      </c>
      <c r="AN9" s="30" t="s">
        <v>408</v>
      </c>
      <c r="AO9" s="30" t="s">
        <v>408</v>
      </c>
      <c r="AP9" s="30" t="s">
        <v>408</v>
      </c>
      <c r="AQ9" s="30" t="s">
        <v>408</v>
      </c>
      <c r="AR9" s="30" t="s">
        <v>408</v>
      </c>
      <c r="AS9" s="30" t="s">
        <v>408</v>
      </c>
      <c r="AT9" s="30" t="s">
        <v>408</v>
      </c>
      <c r="AU9" s="30" t="s">
        <v>408</v>
      </c>
      <c r="AV9" s="30" t="s">
        <v>408</v>
      </c>
      <c r="AW9" s="30" t="s">
        <v>408</v>
      </c>
      <c r="AX9" s="30" t="s">
        <v>408</v>
      </c>
      <c r="AY9" s="30" t="s">
        <v>408</v>
      </c>
      <c r="AZ9" s="30" t="s">
        <v>408</v>
      </c>
      <c r="BA9" s="30" t="s">
        <v>408</v>
      </c>
      <c r="BB9" s="30" t="s">
        <v>408</v>
      </c>
      <c r="BC9" s="30" t="s">
        <v>408</v>
      </c>
      <c r="BD9" s="30" t="s">
        <v>408</v>
      </c>
      <c r="BE9" s="30" t="s">
        <v>408</v>
      </c>
      <c r="BF9" s="30" t="s">
        <v>408</v>
      </c>
      <c r="BG9" s="30" t="s">
        <v>408</v>
      </c>
      <c r="BH9" s="30" t="s">
        <v>408</v>
      </c>
      <c r="BI9" s="30" t="s">
        <v>408</v>
      </c>
      <c r="BJ9" s="30" t="s">
        <v>408</v>
      </c>
      <c r="BK9" s="30" t="s">
        <v>408</v>
      </c>
      <c r="BL9" s="30" t="s">
        <v>408</v>
      </c>
      <c r="BM9" s="30" t="s">
        <v>408</v>
      </c>
      <c r="BO9" s="30" t="s">
        <v>449</v>
      </c>
      <c r="BP9" s="30" t="s">
        <v>449</v>
      </c>
      <c r="BQ9" s="30" t="s">
        <v>449</v>
      </c>
      <c r="BR9" s="30" t="s">
        <v>449</v>
      </c>
      <c r="BS9" s="30" t="s">
        <v>449</v>
      </c>
      <c r="BT9" s="30" t="s">
        <v>449</v>
      </c>
      <c r="BU9" s="30" t="s">
        <v>449</v>
      </c>
      <c r="BV9" s="30" t="s">
        <v>449</v>
      </c>
      <c r="BW9" s="30" t="s">
        <v>449</v>
      </c>
      <c r="BX9" s="30" t="s">
        <v>449</v>
      </c>
      <c r="BY9" s="30" t="s">
        <v>449</v>
      </c>
      <c r="BZ9" s="30" t="s">
        <v>449</v>
      </c>
      <c r="CA9" s="30" t="s">
        <v>449</v>
      </c>
      <c r="CB9" s="30" t="s">
        <v>449</v>
      </c>
      <c r="CC9" s="30" t="s">
        <v>449</v>
      </c>
      <c r="CD9" s="30" t="s">
        <v>449</v>
      </c>
      <c r="CE9" s="30" t="s">
        <v>449</v>
      </c>
      <c r="CF9" s="30" t="s">
        <v>449</v>
      </c>
      <c r="CG9" s="30" t="s">
        <v>449</v>
      </c>
      <c r="CH9" s="30" t="s">
        <v>449</v>
      </c>
      <c r="CI9" s="30" t="s">
        <v>449</v>
      </c>
      <c r="CJ9" s="30" t="s">
        <v>449</v>
      </c>
      <c r="CK9" s="30" t="s">
        <v>449</v>
      </c>
      <c r="CL9" s="30" t="s">
        <v>449</v>
      </c>
      <c r="CM9" s="30" t="s">
        <v>449</v>
      </c>
      <c r="CN9" s="30" t="s">
        <v>449</v>
      </c>
      <c r="CO9" s="30" t="s">
        <v>449</v>
      </c>
      <c r="CP9" s="30" t="s">
        <v>449</v>
      </c>
      <c r="CQ9" s="30" t="s">
        <v>449</v>
      </c>
      <c r="CR9" s="30" t="s">
        <v>449</v>
      </c>
      <c r="CS9" s="30" t="s">
        <v>449</v>
      </c>
      <c r="CU9" s="30" t="s">
        <v>409</v>
      </c>
      <c r="CV9" s="30" t="s">
        <v>409</v>
      </c>
      <c r="CW9" s="30" t="s">
        <v>409</v>
      </c>
      <c r="CX9" s="30" t="s">
        <v>409</v>
      </c>
      <c r="CY9" s="30" t="s">
        <v>409</v>
      </c>
      <c r="CZ9" s="30" t="s">
        <v>409</v>
      </c>
      <c r="DA9" s="30" t="s">
        <v>409</v>
      </c>
      <c r="DB9" s="30" t="s">
        <v>409</v>
      </c>
      <c r="DC9" s="30" t="s">
        <v>409</v>
      </c>
      <c r="DD9" s="30" t="s">
        <v>409</v>
      </c>
      <c r="DE9" s="30" t="s">
        <v>409</v>
      </c>
      <c r="DF9" s="30" t="s">
        <v>409</v>
      </c>
      <c r="DG9" s="30" t="s">
        <v>409</v>
      </c>
      <c r="DH9" s="30" t="s">
        <v>409</v>
      </c>
      <c r="DI9" s="30" t="s">
        <v>409</v>
      </c>
      <c r="DJ9" s="30" t="s">
        <v>409</v>
      </c>
      <c r="DK9" s="30" t="s">
        <v>409</v>
      </c>
      <c r="DL9" s="30" t="s">
        <v>409</v>
      </c>
      <c r="DM9" s="30" t="s">
        <v>409</v>
      </c>
      <c r="DN9" s="30" t="s">
        <v>409</v>
      </c>
      <c r="DO9" s="30" t="s">
        <v>409</v>
      </c>
      <c r="DP9" s="30" t="s">
        <v>409</v>
      </c>
      <c r="DQ9" s="30" t="s">
        <v>409</v>
      </c>
      <c r="DR9" s="30" t="s">
        <v>409</v>
      </c>
      <c r="DS9" s="30" t="s">
        <v>409</v>
      </c>
      <c r="DT9" s="30" t="s">
        <v>409</v>
      </c>
      <c r="DU9" s="30" t="s">
        <v>409</v>
      </c>
      <c r="DV9" s="30" t="s">
        <v>409</v>
      </c>
      <c r="DW9" s="30" t="s">
        <v>409</v>
      </c>
      <c r="DX9" s="30" t="s">
        <v>409</v>
      </c>
      <c r="DY9" s="30" t="s">
        <v>409</v>
      </c>
      <c r="EA9" s="30" t="s">
        <v>411</v>
      </c>
      <c r="EB9" s="30" t="s">
        <v>411</v>
      </c>
      <c r="EC9" s="30" t="s">
        <v>411</v>
      </c>
      <c r="ED9" s="30" t="s">
        <v>411</v>
      </c>
      <c r="EE9" s="30" t="s">
        <v>411</v>
      </c>
      <c r="EF9" s="30" t="s">
        <v>411</v>
      </c>
      <c r="EG9" s="30" t="s">
        <v>411</v>
      </c>
      <c r="EH9" s="30" t="s">
        <v>411</v>
      </c>
      <c r="EI9" s="30" t="s">
        <v>411</v>
      </c>
      <c r="EJ9" s="30" t="s">
        <v>411</v>
      </c>
      <c r="EK9" s="30" t="s">
        <v>411</v>
      </c>
      <c r="EL9" s="30" t="s">
        <v>411</v>
      </c>
      <c r="EM9" s="30" t="s">
        <v>411</v>
      </c>
      <c r="EN9" s="30" t="s">
        <v>411</v>
      </c>
      <c r="EO9" s="30" t="s">
        <v>411</v>
      </c>
      <c r="EP9" s="30" t="s">
        <v>411</v>
      </c>
      <c r="EQ9" s="30" t="s">
        <v>411</v>
      </c>
      <c r="ER9" s="30" t="s">
        <v>411</v>
      </c>
      <c r="ES9" s="30" t="s">
        <v>411</v>
      </c>
      <c r="ET9" s="30" t="s">
        <v>411</v>
      </c>
      <c r="EU9" s="30" t="s">
        <v>411</v>
      </c>
      <c r="EV9" s="30" t="s">
        <v>411</v>
      </c>
      <c r="EW9" s="30" t="s">
        <v>411</v>
      </c>
      <c r="EX9" s="30" t="s">
        <v>411</v>
      </c>
      <c r="EY9" s="30" t="s">
        <v>411</v>
      </c>
      <c r="EZ9" s="30" t="s">
        <v>411</v>
      </c>
      <c r="FA9" s="30" t="s">
        <v>411</v>
      </c>
      <c r="FB9" s="30" t="s">
        <v>411</v>
      </c>
      <c r="FC9" s="30" t="s">
        <v>411</v>
      </c>
      <c r="FD9" s="30" t="s">
        <v>411</v>
      </c>
      <c r="FE9" s="30" t="s">
        <v>411</v>
      </c>
      <c r="FG9" s="30" t="s">
        <v>450</v>
      </c>
      <c r="FH9" s="30" t="s">
        <v>482</v>
      </c>
      <c r="FJ9" s="30" t="s">
        <v>412</v>
      </c>
      <c r="FK9" s="30" t="s">
        <v>412</v>
      </c>
      <c r="FL9" s="30" t="s">
        <v>412</v>
      </c>
      <c r="FM9" s="30" t="s">
        <v>412</v>
      </c>
      <c r="FN9" s="30" t="s">
        <v>412</v>
      </c>
      <c r="FO9" s="30" t="s">
        <v>412</v>
      </c>
      <c r="FP9" s="30" t="s">
        <v>412</v>
      </c>
      <c r="FQ9" s="30" t="s">
        <v>412</v>
      </c>
      <c r="FR9" s="30" t="s">
        <v>412</v>
      </c>
      <c r="FS9" s="30" t="s">
        <v>412</v>
      </c>
      <c r="FT9" s="30" t="s">
        <v>412</v>
      </c>
      <c r="FU9" s="30" t="s">
        <v>412</v>
      </c>
      <c r="FV9" s="30" t="s">
        <v>412</v>
      </c>
      <c r="FW9" s="30" t="s">
        <v>412</v>
      </c>
      <c r="FX9" s="30" t="s">
        <v>412</v>
      </c>
      <c r="FY9" s="30" t="s">
        <v>412</v>
      </c>
      <c r="FZ9" s="30" t="s">
        <v>412</v>
      </c>
      <c r="GA9" s="30" t="s">
        <v>412</v>
      </c>
      <c r="GB9" s="30" t="s">
        <v>412</v>
      </c>
      <c r="GC9" s="30" t="s">
        <v>412</v>
      </c>
      <c r="GD9" s="30" t="s">
        <v>412</v>
      </c>
      <c r="GE9" s="30" t="s">
        <v>412</v>
      </c>
      <c r="GF9" s="30" t="s">
        <v>412</v>
      </c>
      <c r="GG9" s="30" t="s">
        <v>412</v>
      </c>
      <c r="GH9" s="30" t="s">
        <v>412</v>
      </c>
      <c r="GI9" s="30" t="s">
        <v>412</v>
      </c>
      <c r="GJ9" s="30" t="s">
        <v>412</v>
      </c>
      <c r="GK9" s="30" t="s">
        <v>412</v>
      </c>
      <c r="GL9" s="30" t="s">
        <v>412</v>
      </c>
      <c r="GM9" s="30" t="s">
        <v>412</v>
      </c>
      <c r="GN9" s="30" t="s">
        <v>412</v>
      </c>
      <c r="GP9" s="30" t="s">
        <v>451</v>
      </c>
      <c r="GQ9" s="30" t="s">
        <v>451</v>
      </c>
      <c r="GR9" s="30" t="s">
        <v>451</v>
      </c>
      <c r="GS9" s="30" t="s">
        <v>451</v>
      </c>
      <c r="GT9" s="30" t="s">
        <v>451</v>
      </c>
      <c r="GU9" s="30" t="s">
        <v>451</v>
      </c>
      <c r="GV9" s="30" t="s">
        <v>451</v>
      </c>
      <c r="GW9" s="30" t="s">
        <v>451</v>
      </c>
      <c r="GX9" s="30" t="s">
        <v>451</v>
      </c>
      <c r="GY9" s="30" t="s">
        <v>451</v>
      </c>
      <c r="GZ9" s="30" t="s">
        <v>451</v>
      </c>
      <c r="HA9" s="30" t="s">
        <v>451</v>
      </c>
      <c r="HB9" s="30" t="s">
        <v>451</v>
      </c>
      <c r="HC9" s="30" t="s">
        <v>451</v>
      </c>
      <c r="HD9" s="30" t="s">
        <v>451</v>
      </c>
      <c r="HE9" s="30" t="s">
        <v>451</v>
      </c>
      <c r="HF9" s="30" t="s">
        <v>451</v>
      </c>
      <c r="HG9" s="30" t="s">
        <v>451</v>
      </c>
      <c r="HH9" s="30" t="s">
        <v>451</v>
      </c>
      <c r="HI9" s="30" t="s">
        <v>451</v>
      </c>
      <c r="HJ9" s="30" t="s">
        <v>451</v>
      </c>
      <c r="HK9" s="30" t="s">
        <v>451</v>
      </c>
      <c r="HL9" s="30" t="s">
        <v>451</v>
      </c>
      <c r="HM9" s="30" t="s">
        <v>451</v>
      </c>
      <c r="HN9" s="30" t="s">
        <v>451</v>
      </c>
      <c r="HO9" s="30" t="s">
        <v>451</v>
      </c>
      <c r="HP9" s="30" t="s">
        <v>451</v>
      </c>
      <c r="HQ9" s="30" t="s">
        <v>451</v>
      </c>
      <c r="HR9" s="30" t="s">
        <v>451</v>
      </c>
      <c r="HS9" s="30" t="s">
        <v>451</v>
      </c>
      <c r="HT9" s="30" t="s">
        <v>451</v>
      </c>
      <c r="HV9" s="30" t="s">
        <v>452</v>
      </c>
      <c r="HW9" s="30" t="s">
        <v>452</v>
      </c>
      <c r="HX9" s="30" t="s">
        <v>452</v>
      </c>
      <c r="HY9" s="30" t="s">
        <v>452</v>
      </c>
      <c r="HZ9" s="30" t="s">
        <v>452</v>
      </c>
      <c r="IA9" s="30" t="s">
        <v>452</v>
      </c>
      <c r="IB9" s="30" t="s">
        <v>452</v>
      </c>
      <c r="IC9" s="30" t="s">
        <v>452</v>
      </c>
      <c r="ID9" s="30" t="s">
        <v>452</v>
      </c>
      <c r="IE9" s="30" t="s">
        <v>452</v>
      </c>
      <c r="IF9" s="30" t="s">
        <v>452</v>
      </c>
      <c r="IG9" s="30" t="s">
        <v>452</v>
      </c>
      <c r="IH9" s="30" t="s">
        <v>452</v>
      </c>
      <c r="II9" s="30" t="s">
        <v>452</v>
      </c>
      <c r="IJ9" s="30" t="s">
        <v>452</v>
      </c>
      <c r="IK9" s="30" t="s">
        <v>452</v>
      </c>
      <c r="IL9" s="30" t="s">
        <v>452</v>
      </c>
      <c r="IM9" s="30" t="s">
        <v>452</v>
      </c>
      <c r="IN9" s="30" t="s">
        <v>452</v>
      </c>
      <c r="IO9" s="30" t="s">
        <v>452</v>
      </c>
      <c r="IP9" s="30" t="s">
        <v>452</v>
      </c>
      <c r="IQ9" s="30" t="s">
        <v>452</v>
      </c>
      <c r="IR9" s="30" t="s">
        <v>452</v>
      </c>
      <c r="IS9" s="30" t="s">
        <v>452</v>
      </c>
      <c r="IT9" s="30" t="s">
        <v>452</v>
      </c>
      <c r="IU9" s="30" t="s">
        <v>452</v>
      </c>
      <c r="IV9" s="30" t="s">
        <v>452</v>
      </c>
      <c r="IW9" s="30" t="s">
        <v>452</v>
      </c>
      <c r="IX9" s="30" t="s">
        <v>452</v>
      </c>
      <c r="IY9" s="30" t="s">
        <v>452</v>
      </c>
      <c r="IZ9" s="30" t="s">
        <v>452</v>
      </c>
      <c r="JB9" s="30" t="s">
        <v>483</v>
      </c>
      <c r="JD9" s="30" t="s">
        <v>468</v>
      </c>
      <c r="JF9" s="30" t="s">
        <v>484</v>
      </c>
      <c r="JG9" s="30" t="s">
        <v>484</v>
      </c>
      <c r="JH9" s="30" t="s">
        <v>485</v>
      </c>
      <c r="JI9" s="30" t="s">
        <v>485</v>
      </c>
      <c r="JK9" s="30" t="s">
        <v>469</v>
      </c>
      <c r="JL9" s="30" t="s">
        <v>470</v>
      </c>
      <c r="JM9" s="30" t="s">
        <v>391</v>
      </c>
    </row>
    <row r="10" spans="1:273" ht="42">
      <c r="B10" s="6" t="s">
        <v>472</v>
      </c>
      <c r="D10" s="11" t="str">
        <f>"Included in Current System ("&amp;system_name&amp;")"</f>
        <v>Included in Current System (ISONE_toy_system)</v>
      </c>
      <c r="F10" s="11" t="s">
        <v>251</v>
      </c>
      <c r="H10" s="26"/>
      <c r="J10" s="26"/>
      <c r="L10" s="26"/>
      <c r="N10" s="26"/>
      <c r="O10" s="26"/>
      <c r="P10" s="26"/>
      <c r="Q10" s="26"/>
      <c r="R10" s="26"/>
      <c r="S10" s="26"/>
      <c r="U10" s="26"/>
      <c r="V10" s="26"/>
      <c r="W10" s="26"/>
      <c r="X10" s="26"/>
      <c r="Y10" s="26"/>
      <c r="Z10" s="26"/>
      <c r="AB10" s="26"/>
      <c r="AD10" s="26" t="s">
        <v>277</v>
      </c>
      <c r="AF10" s="26" t="s">
        <v>277</v>
      </c>
      <c r="AG10" s="26" t="s">
        <v>277</v>
      </c>
      <c r="AI10" s="59">
        <f>start_year</f>
        <v>43831</v>
      </c>
      <c r="AJ10" s="59">
        <f t="shared" ref="AJ10:BM10" si="0">EDATE(AI10,12)</f>
        <v>44197</v>
      </c>
      <c r="AK10" s="59">
        <f t="shared" si="0"/>
        <v>44562</v>
      </c>
      <c r="AL10" s="59">
        <f t="shared" si="0"/>
        <v>44927</v>
      </c>
      <c r="AM10" s="59">
        <f t="shared" si="0"/>
        <v>45292</v>
      </c>
      <c r="AN10" s="59">
        <f t="shared" si="0"/>
        <v>45658</v>
      </c>
      <c r="AO10" s="59">
        <f t="shared" si="0"/>
        <v>46023</v>
      </c>
      <c r="AP10" s="59">
        <f t="shared" si="0"/>
        <v>46388</v>
      </c>
      <c r="AQ10" s="59">
        <f t="shared" si="0"/>
        <v>46753</v>
      </c>
      <c r="AR10" s="59">
        <f t="shared" si="0"/>
        <v>47119</v>
      </c>
      <c r="AS10" s="59">
        <f t="shared" si="0"/>
        <v>47484</v>
      </c>
      <c r="AT10" s="59">
        <f t="shared" si="0"/>
        <v>47849</v>
      </c>
      <c r="AU10" s="59">
        <f t="shared" si="0"/>
        <v>48214</v>
      </c>
      <c r="AV10" s="59">
        <f t="shared" si="0"/>
        <v>48580</v>
      </c>
      <c r="AW10" s="59">
        <f t="shared" si="0"/>
        <v>48945</v>
      </c>
      <c r="AX10" s="59">
        <f t="shared" si="0"/>
        <v>49310</v>
      </c>
      <c r="AY10" s="59">
        <f t="shared" si="0"/>
        <v>49675</v>
      </c>
      <c r="AZ10" s="59">
        <f t="shared" si="0"/>
        <v>50041</v>
      </c>
      <c r="BA10" s="59">
        <f t="shared" si="0"/>
        <v>50406</v>
      </c>
      <c r="BB10" s="59">
        <f t="shared" si="0"/>
        <v>50771</v>
      </c>
      <c r="BC10" s="59">
        <f t="shared" si="0"/>
        <v>51136</v>
      </c>
      <c r="BD10" s="59">
        <f t="shared" si="0"/>
        <v>51502</v>
      </c>
      <c r="BE10" s="59">
        <f t="shared" si="0"/>
        <v>51867</v>
      </c>
      <c r="BF10" s="59">
        <f t="shared" si="0"/>
        <v>52232</v>
      </c>
      <c r="BG10" s="59">
        <f t="shared" si="0"/>
        <v>52597</v>
      </c>
      <c r="BH10" s="59">
        <f t="shared" si="0"/>
        <v>52963</v>
      </c>
      <c r="BI10" s="59">
        <f t="shared" si="0"/>
        <v>53328</v>
      </c>
      <c r="BJ10" s="59">
        <f t="shared" si="0"/>
        <v>53693</v>
      </c>
      <c r="BK10" s="59">
        <f t="shared" si="0"/>
        <v>54058</v>
      </c>
      <c r="BL10" s="59">
        <f t="shared" si="0"/>
        <v>54424</v>
      </c>
      <c r="BM10" s="59">
        <f t="shared" si="0"/>
        <v>54789</v>
      </c>
      <c r="BO10" s="59">
        <f>start_year</f>
        <v>43831</v>
      </c>
      <c r="BP10" s="59">
        <f t="shared" ref="BP10:CS10" si="1">EDATE(BO10,12)</f>
        <v>44197</v>
      </c>
      <c r="BQ10" s="59">
        <f t="shared" si="1"/>
        <v>44562</v>
      </c>
      <c r="BR10" s="59">
        <f t="shared" si="1"/>
        <v>44927</v>
      </c>
      <c r="BS10" s="59">
        <f t="shared" si="1"/>
        <v>45292</v>
      </c>
      <c r="BT10" s="59">
        <f t="shared" si="1"/>
        <v>45658</v>
      </c>
      <c r="BU10" s="59">
        <f t="shared" si="1"/>
        <v>46023</v>
      </c>
      <c r="BV10" s="59">
        <f t="shared" si="1"/>
        <v>46388</v>
      </c>
      <c r="BW10" s="59">
        <f t="shared" si="1"/>
        <v>46753</v>
      </c>
      <c r="BX10" s="59">
        <f t="shared" si="1"/>
        <v>47119</v>
      </c>
      <c r="BY10" s="59">
        <f t="shared" si="1"/>
        <v>47484</v>
      </c>
      <c r="BZ10" s="59">
        <f t="shared" si="1"/>
        <v>47849</v>
      </c>
      <c r="CA10" s="59">
        <f t="shared" si="1"/>
        <v>48214</v>
      </c>
      <c r="CB10" s="59">
        <f t="shared" si="1"/>
        <v>48580</v>
      </c>
      <c r="CC10" s="59">
        <f t="shared" si="1"/>
        <v>48945</v>
      </c>
      <c r="CD10" s="59">
        <f t="shared" si="1"/>
        <v>49310</v>
      </c>
      <c r="CE10" s="59">
        <f t="shared" si="1"/>
        <v>49675</v>
      </c>
      <c r="CF10" s="59">
        <f t="shared" si="1"/>
        <v>50041</v>
      </c>
      <c r="CG10" s="59">
        <f t="shared" si="1"/>
        <v>50406</v>
      </c>
      <c r="CH10" s="59">
        <f t="shared" si="1"/>
        <v>50771</v>
      </c>
      <c r="CI10" s="59">
        <f t="shared" si="1"/>
        <v>51136</v>
      </c>
      <c r="CJ10" s="59">
        <f t="shared" si="1"/>
        <v>51502</v>
      </c>
      <c r="CK10" s="59">
        <f t="shared" si="1"/>
        <v>51867</v>
      </c>
      <c r="CL10" s="59">
        <f t="shared" si="1"/>
        <v>52232</v>
      </c>
      <c r="CM10" s="59">
        <f t="shared" si="1"/>
        <v>52597</v>
      </c>
      <c r="CN10" s="59">
        <f t="shared" si="1"/>
        <v>52963</v>
      </c>
      <c r="CO10" s="59">
        <f t="shared" si="1"/>
        <v>53328</v>
      </c>
      <c r="CP10" s="59">
        <f t="shared" si="1"/>
        <v>53693</v>
      </c>
      <c r="CQ10" s="59">
        <f t="shared" si="1"/>
        <v>54058</v>
      </c>
      <c r="CR10" s="59">
        <f t="shared" si="1"/>
        <v>54424</v>
      </c>
      <c r="CS10" s="59">
        <f t="shared" si="1"/>
        <v>54789</v>
      </c>
      <c r="CU10" s="59">
        <f>start_year</f>
        <v>43831</v>
      </c>
      <c r="CV10" s="59">
        <f t="shared" ref="CV10:DY10" si="2">EDATE(CU10,12)</f>
        <v>44197</v>
      </c>
      <c r="CW10" s="59">
        <f t="shared" si="2"/>
        <v>44562</v>
      </c>
      <c r="CX10" s="59">
        <f t="shared" si="2"/>
        <v>44927</v>
      </c>
      <c r="CY10" s="59">
        <f t="shared" si="2"/>
        <v>45292</v>
      </c>
      <c r="CZ10" s="59">
        <f t="shared" si="2"/>
        <v>45658</v>
      </c>
      <c r="DA10" s="59">
        <f t="shared" si="2"/>
        <v>46023</v>
      </c>
      <c r="DB10" s="59">
        <f t="shared" si="2"/>
        <v>46388</v>
      </c>
      <c r="DC10" s="59">
        <f t="shared" si="2"/>
        <v>46753</v>
      </c>
      <c r="DD10" s="59">
        <f t="shared" si="2"/>
        <v>47119</v>
      </c>
      <c r="DE10" s="59">
        <f t="shared" si="2"/>
        <v>47484</v>
      </c>
      <c r="DF10" s="59">
        <f t="shared" si="2"/>
        <v>47849</v>
      </c>
      <c r="DG10" s="59">
        <f t="shared" si="2"/>
        <v>48214</v>
      </c>
      <c r="DH10" s="59">
        <f t="shared" si="2"/>
        <v>48580</v>
      </c>
      <c r="DI10" s="59">
        <f t="shared" si="2"/>
        <v>48945</v>
      </c>
      <c r="DJ10" s="59">
        <f t="shared" si="2"/>
        <v>49310</v>
      </c>
      <c r="DK10" s="59">
        <f t="shared" si="2"/>
        <v>49675</v>
      </c>
      <c r="DL10" s="59">
        <f t="shared" si="2"/>
        <v>50041</v>
      </c>
      <c r="DM10" s="59">
        <f t="shared" si="2"/>
        <v>50406</v>
      </c>
      <c r="DN10" s="59">
        <f t="shared" si="2"/>
        <v>50771</v>
      </c>
      <c r="DO10" s="59">
        <f t="shared" si="2"/>
        <v>51136</v>
      </c>
      <c r="DP10" s="59">
        <f t="shared" si="2"/>
        <v>51502</v>
      </c>
      <c r="DQ10" s="59">
        <f t="shared" si="2"/>
        <v>51867</v>
      </c>
      <c r="DR10" s="59">
        <f t="shared" si="2"/>
        <v>52232</v>
      </c>
      <c r="DS10" s="59">
        <f t="shared" si="2"/>
        <v>52597</v>
      </c>
      <c r="DT10" s="59">
        <f t="shared" si="2"/>
        <v>52963</v>
      </c>
      <c r="DU10" s="59">
        <f t="shared" si="2"/>
        <v>53328</v>
      </c>
      <c r="DV10" s="59">
        <f t="shared" si="2"/>
        <v>53693</v>
      </c>
      <c r="DW10" s="59">
        <f t="shared" si="2"/>
        <v>54058</v>
      </c>
      <c r="DX10" s="59">
        <f t="shared" si="2"/>
        <v>54424</v>
      </c>
      <c r="DY10" s="59">
        <f t="shared" si="2"/>
        <v>54789</v>
      </c>
      <c r="EA10" s="59">
        <f>start_year</f>
        <v>43831</v>
      </c>
      <c r="EB10" s="59">
        <f t="shared" ref="EB10:FE10" si="3">EDATE(EA10,12)</f>
        <v>44197</v>
      </c>
      <c r="EC10" s="59">
        <f t="shared" si="3"/>
        <v>44562</v>
      </c>
      <c r="ED10" s="59">
        <f t="shared" si="3"/>
        <v>44927</v>
      </c>
      <c r="EE10" s="59">
        <f t="shared" si="3"/>
        <v>45292</v>
      </c>
      <c r="EF10" s="59">
        <f t="shared" si="3"/>
        <v>45658</v>
      </c>
      <c r="EG10" s="59">
        <f t="shared" si="3"/>
        <v>46023</v>
      </c>
      <c r="EH10" s="59">
        <f t="shared" si="3"/>
        <v>46388</v>
      </c>
      <c r="EI10" s="59">
        <f t="shared" si="3"/>
        <v>46753</v>
      </c>
      <c r="EJ10" s="59">
        <f t="shared" si="3"/>
        <v>47119</v>
      </c>
      <c r="EK10" s="59">
        <f t="shared" si="3"/>
        <v>47484</v>
      </c>
      <c r="EL10" s="59">
        <f t="shared" si="3"/>
        <v>47849</v>
      </c>
      <c r="EM10" s="59">
        <f t="shared" si="3"/>
        <v>48214</v>
      </c>
      <c r="EN10" s="59">
        <f t="shared" si="3"/>
        <v>48580</v>
      </c>
      <c r="EO10" s="59">
        <f t="shared" si="3"/>
        <v>48945</v>
      </c>
      <c r="EP10" s="59">
        <f t="shared" si="3"/>
        <v>49310</v>
      </c>
      <c r="EQ10" s="59">
        <f t="shared" si="3"/>
        <v>49675</v>
      </c>
      <c r="ER10" s="59">
        <f t="shared" si="3"/>
        <v>50041</v>
      </c>
      <c r="ES10" s="59">
        <f t="shared" si="3"/>
        <v>50406</v>
      </c>
      <c r="ET10" s="59">
        <f t="shared" si="3"/>
        <v>50771</v>
      </c>
      <c r="EU10" s="59">
        <f t="shared" si="3"/>
        <v>51136</v>
      </c>
      <c r="EV10" s="59">
        <f t="shared" si="3"/>
        <v>51502</v>
      </c>
      <c r="EW10" s="59">
        <f t="shared" si="3"/>
        <v>51867</v>
      </c>
      <c r="EX10" s="59">
        <f t="shared" si="3"/>
        <v>52232</v>
      </c>
      <c r="EY10" s="59">
        <f t="shared" si="3"/>
        <v>52597</v>
      </c>
      <c r="EZ10" s="59">
        <f t="shared" si="3"/>
        <v>52963</v>
      </c>
      <c r="FA10" s="59">
        <f t="shared" si="3"/>
        <v>53328</v>
      </c>
      <c r="FB10" s="59">
        <f t="shared" si="3"/>
        <v>53693</v>
      </c>
      <c r="FC10" s="59">
        <f t="shared" si="3"/>
        <v>54058</v>
      </c>
      <c r="FD10" s="59">
        <f t="shared" si="3"/>
        <v>54424</v>
      </c>
      <c r="FE10" s="59">
        <f t="shared" si="3"/>
        <v>54789</v>
      </c>
      <c r="FG10" s="59">
        <f>start_year</f>
        <v>43831</v>
      </c>
      <c r="FH10" s="59">
        <f>start_year</f>
        <v>43831</v>
      </c>
      <c r="FJ10" s="59">
        <f>start_year</f>
        <v>43831</v>
      </c>
      <c r="FK10" s="59">
        <f t="shared" ref="FK10:GN10" si="4">EDATE(FJ10,12)</f>
        <v>44197</v>
      </c>
      <c r="FL10" s="59">
        <f t="shared" si="4"/>
        <v>44562</v>
      </c>
      <c r="FM10" s="59">
        <f t="shared" si="4"/>
        <v>44927</v>
      </c>
      <c r="FN10" s="59">
        <f t="shared" si="4"/>
        <v>45292</v>
      </c>
      <c r="FO10" s="59">
        <f t="shared" si="4"/>
        <v>45658</v>
      </c>
      <c r="FP10" s="59">
        <f t="shared" si="4"/>
        <v>46023</v>
      </c>
      <c r="FQ10" s="59">
        <f t="shared" si="4"/>
        <v>46388</v>
      </c>
      <c r="FR10" s="59">
        <f t="shared" si="4"/>
        <v>46753</v>
      </c>
      <c r="FS10" s="59">
        <f t="shared" si="4"/>
        <v>47119</v>
      </c>
      <c r="FT10" s="59">
        <f t="shared" si="4"/>
        <v>47484</v>
      </c>
      <c r="FU10" s="59">
        <f t="shared" si="4"/>
        <v>47849</v>
      </c>
      <c r="FV10" s="59">
        <f t="shared" si="4"/>
        <v>48214</v>
      </c>
      <c r="FW10" s="59">
        <f t="shared" si="4"/>
        <v>48580</v>
      </c>
      <c r="FX10" s="59">
        <f t="shared" si="4"/>
        <v>48945</v>
      </c>
      <c r="FY10" s="59">
        <f t="shared" si="4"/>
        <v>49310</v>
      </c>
      <c r="FZ10" s="59">
        <f t="shared" si="4"/>
        <v>49675</v>
      </c>
      <c r="GA10" s="59">
        <f t="shared" si="4"/>
        <v>50041</v>
      </c>
      <c r="GB10" s="59">
        <f t="shared" si="4"/>
        <v>50406</v>
      </c>
      <c r="GC10" s="59">
        <f t="shared" si="4"/>
        <v>50771</v>
      </c>
      <c r="GD10" s="59">
        <f t="shared" si="4"/>
        <v>51136</v>
      </c>
      <c r="GE10" s="59">
        <f t="shared" si="4"/>
        <v>51502</v>
      </c>
      <c r="GF10" s="59">
        <f t="shared" si="4"/>
        <v>51867</v>
      </c>
      <c r="GG10" s="59">
        <f t="shared" si="4"/>
        <v>52232</v>
      </c>
      <c r="GH10" s="59">
        <f t="shared" si="4"/>
        <v>52597</v>
      </c>
      <c r="GI10" s="59">
        <f t="shared" si="4"/>
        <v>52963</v>
      </c>
      <c r="GJ10" s="59">
        <f t="shared" si="4"/>
        <v>53328</v>
      </c>
      <c r="GK10" s="59">
        <f t="shared" si="4"/>
        <v>53693</v>
      </c>
      <c r="GL10" s="59">
        <f t="shared" si="4"/>
        <v>54058</v>
      </c>
      <c r="GM10" s="59">
        <f t="shared" si="4"/>
        <v>54424</v>
      </c>
      <c r="GN10" s="59">
        <f t="shared" si="4"/>
        <v>54789</v>
      </c>
      <c r="GP10" s="59">
        <f>start_year</f>
        <v>43831</v>
      </c>
      <c r="GQ10" s="59">
        <f t="shared" ref="GQ10:HT10" si="5">EDATE(GP10,12)</f>
        <v>44197</v>
      </c>
      <c r="GR10" s="59">
        <f t="shared" si="5"/>
        <v>44562</v>
      </c>
      <c r="GS10" s="59">
        <f t="shared" si="5"/>
        <v>44927</v>
      </c>
      <c r="GT10" s="59">
        <f t="shared" si="5"/>
        <v>45292</v>
      </c>
      <c r="GU10" s="59">
        <f t="shared" si="5"/>
        <v>45658</v>
      </c>
      <c r="GV10" s="59">
        <f t="shared" si="5"/>
        <v>46023</v>
      </c>
      <c r="GW10" s="59">
        <f t="shared" si="5"/>
        <v>46388</v>
      </c>
      <c r="GX10" s="59">
        <f t="shared" si="5"/>
        <v>46753</v>
      </c>
      <c r="GY10" s="59">
        <f t="shared" si="5"/>
        <v>47119</v>
      </c>
      <c r="GZ10" s="59">
        <f t="shared" si="5"/>
        <v>47484</v>
      </c>
      <c r="HA10" s="59">
        <f t="shared" si="5"/>
        <v>47849</v>
      </c>
      <c r="HB10" s="59">
        <f t="shared" si="5"/>
        <v>48214</v>
      </c>
      <c r="HC10" s="59">
        <f t="shared" si="5"/>
        <v>48580</v>
      </c>
      <c r="HD10" s="59">
        <f t="shared" si="5"/>
        <v>48945</v>
      </c>
      <c r="HE10" s="59">
        <f t="shared" si="5"/>
        <v>49310</v>
      </c>
      <c r="HF10" s="59">
        <f t="shared" si="5"/>
        <v>49675</v>
      </c>
      <c r="HG10" s="59">
        <f t="shared" si="5"/>
        <v>50041</v>
      </c>
      <c r="HH10" s="59">
        <f t="shared" si="5"/>
        <v>50406</v>
      </c>
      <c r="HI10" s="59">
        <f t="shared" si="5"/>
        <v>50771</v>
      </c>
      <c r="HJ10" s="59">
        <f t="shared" si="5"/>
        <v>51136</v>
      </c>
      <c r="HK10" s="59">
        <f t="shared" si="5"/>
        <v>51502</v>
      </c>
      <c r="HL10" s="59">
        <f t="shared" si="5"/>
        <v>51867</v>
      </c>
      <c r="HM10" s="59">
        <f t="shared" si="5"/>
        <v>52232</v>
      </c>
      <c r="HN10" s="59">
        <f t="shared" si="5"/>
        <v>52597</v>
      </c>
      <c r="HO10" s="59">
        <f t="shared" si="5"/>
        <v>52963</v>
      </c>
      <c r="HP10" s="59">
        <f t="shared" si="5"/>
        <v>53328</v>
      </c>
      <c r="HQ10" s="59">
        <f t="shared" si="5"/>
        <v>53693</v>
      </c>
      <c r="HR10" s="59">
        <f t="shared" si="5"/>
        <v>54058</v>
      </c>
      <c r="HS10" s="59">
        <f t="shared" si="5"/>
        <v>54424</v>
      </c>
      <c r="HT10" s="59">
        <f t="shared" si="5"/>
        <v>54789</v>
      </c>
      <c r="HV10" s="59">
        <f>start_year</f>
        <v>43831</v>
      </c>
      <c r="HW10" s="59">
        <f t="shared" ref="HW10:IZ10" si="6">EDATE(HV10,12)</f>
        <v>44197</v>
      </c>
      <c r="HX10" s="59">
        <f t="shared" si="6"/>
        <v>44562</v>
      </c>
      <c r="HY10" s="59">
        <f t="shared" si="6"/>
        <v>44927</v>
      </c>
      <c r="HZ10" s="59">
        <f t="shared" si="6"/>
        <v>45292</v>
      </c>
      <c r="IA10" s="59">
        <f t="shared" si="6"/>
        <v>45658</v>
      </c>
      <c r="IB10" s="59">
        <f t="shared" si="6"/>
        <v>46023</v>
      </c>
      <c r="IC10" s="59">
        <f t="shared" si="6"/>
        <v>46388</v>
      </c>
      <c r="ID10" s="59">
        <f t="shared" si="6"/>
        <v>46753</v>
      </c>
      <c r="IE10" s="59">
        <f t="shared" si="6"/>
        <v>47119</v>
      </c>
      <c r="IF10" s="59">
        <f t="shared" si="6"/>
        <v>47484</v>
      </c>
      <c r="IG10" s="59">
        <f t="shared" si="6"/>
        <v>47849</v>
      </c>
      <c r="IH10" s="59">
        <f t="shared" si="6"/>
        <v>48214</v>
      </c>
      <c r="II10" s="59">
        <f t="shared" si="6"/>
        <v>48580</v>
      </c>
      <c r="IJ10" s="59">
        <f t="shared" si="6"/>
        <v>48945</v>
      </c>
      <c r="IK10" s="59">
        <f t="shared" si="6"/>
        <v>49310</v>
      </c>
      <c r="IL10" s="59">
        <f t="shared" si="6"/>
        <v>49675</v>
      </c>
      <c r="IM10" s="59">
        <f t="shared" si="6"/>
        <v>50041</v>
      </c>
      <c r="IN10" s="59">
        <f t="shared" si="6"/>
        <v>50406</v>
      </c>
      <c r="IO10" s="59">
        <f t="shared" si="6"/>
        <v>50771</v>
      </c>
      <c r="IP10" s="59">
        <f t="shared" si="6"/>
        <v>51136</v>
      </c>
      <c r="IQ10" s="59">
        <f t="shared" si="6"/>
        <v>51502</v>
      </c>
      <c r="IR10" s="59">
        <f t="shared" si="6"/>
        <v>51867</v>
      </c>
      <c r="IS10" s="59">
        <f t="shared" si="6"/>
        <v>52232</v>
      </c>
      <c r="IT10" s="59">
        <f t="shared" si="6"/>
        <v>52597</v>
      </c>
      <c r="IU10" s="59">
        <f t="shared" si="6"/>
        <v>52963</v>
      </c>
      <c r="IV10" s="59">
        <f t="shared" si="6"/>
        <v>53328</v>
      </c>
      <c r="IW10" s="59">
        <f t="shared" si="6"/>
        <v>53693</v>
      </c>
      <c r="IX10" s="59">
        <f t="shared" si="6"/>
        <v>54058</v>
      </c>
      <c r="IY10" s="59">
        <f t="shared" si="6"/>
        <v>54424</v>
      </c>
      <c r="IZ10" s="59">
        <f t="shared" si="6"/>
        <v>54789</v>
      </c>
      <c r="JB10" s="14"/>
      <c r="JD10" s="26"/>
      <c r="JF10" s="59">
        <f>start_year</f>
        <v>43831</v>
      </c>
      <c r="JG10" s="26" t="s">
        <v>277</v>
      </c>
      <c r="JH10" s="59">
        <f>start_year</f>
        <v>43831</v>
      </c>
      <c r="JI10" s="26" t="s">
        <v>277</v>
      </c>
      <c r="JK10" s="14"/>
      <c r="JL10" s="40"/>
      <c r="JM10" s="40"/>
    </row>
    <row r="11" spans="1:273">
      <c r="B11" s="3" t="s">
        <v>240</v>
      </c>
      <c r="D11" s="39" t="b">
        <f t="shared" ref="D11:D25" si="7">IF(ISBLANK($B11),"-/-",COUNTIFS(component_names,$B11,component_types,$B$9)&gt;0)</f>
        <v>1</v>
      </c>
      <c r="F11" s="3"/>
      <c r="H11" s="118" t="s">
        <v>110</v>
      </c>
      <c r="J11" s="118" t="s">
        <v>207</v>
      </c>
      <c r="L11" s="119" t="s">
        <v>216</v>
      </c>
      <c r="N11" s="118"/>
      <c r="O11" s="118"/>
      <c r="P11" s="118"/>
      <c r="Q11" s="118"/>
      <c r="R11" s="118"/>
      <c r="S11" s="118"/>
      <c r="U11" s="118"/>
      <c r="V11" s="118"/>
      <c r="W11" s="118"/>
      <c r="X11" s="118"/>
      <c r="Y11" s="118"/>
      <c r="Z11" s="118"/>
      <c r="AB11" s="118"/>
      <c r="AD11" s="19"/>
      <c r="AF11" s="19"/>
      <c r="AG11" s="19"/>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v>54360</v>
      </c>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E11" s="25"/>
      <c r="FG11" s="23"/>
      <c r="FH11" s="23"/>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T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W11" s="25"/>
      <c r="IX11" s="25"/>
      <c r="IY11" s="25"/>
      <c r="IZ11" s="25"/>
      <c r="JB11" s="19"/>
      <c r="JD11" s="29" t="s">
        <v>486</v>
      </c>
      <c r="JF11" s="3"/>
      <c r="JG11" s="3"/>
      <c r="JH11" s="3"/>
      <c r="JI11" s="3"/>
      <c r="JK11" s="35">
        <v>0</v>
      </c>
      <c r="JL11" s="81">
        <v>24</v>
      </c>
      <c r="JM11" s="81">
        <v>1</v>
      </c>
    </row>
    <row r="12" spans="1:273">
      <c r="B12" s="3"/>
      <c r="D12" s="39" t="str">
        <f t="shared" si="7"/>
        <v>-/-</v>
      </c>
      <c r="F12" s="3"/>
      <c r="H12" s="118"/>
      <c r="J12" s="118"/>
      <c r="L12" s="119"/>
      <c r="N12" s="118"/>
      <c r="O12" s="118"/>
      <c r="P12" s="118"/>
      <c r="Q12" s="118"/>
      <c r="R12" s="118"/>
      <c r="S12" s="118"/>
      <c r="U12" s="118"/>
      <c r="V12" s="118"/>
      <c r="W12" s="118"/>
      <c r="X12" s="118"/>
      <c r="Y12" s="118"/>
      <c r="Z12" s="118"/>
      <c r="AB12" s="118"/>
      <c r="AD12" s="19"/>
      <c r="AF12" s="19"/>
      <c r="AG12" s="19"/>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c r="BK12" s="25"/>
      <c r="BL12" s="25"/>
      <c r="BM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B12" s="25"/>
      <c r="FC12" s="25"/>
      <c r="FD12" s="25"/>
      <c r="FE12" s="25"/>
      <c r="FG12" s="23"/>
      <c r="FH12" s="23"/>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N12" s="25"/>
      <c r="HO12" s="25"/>
      <c r="HP12" s="25"/>
      <c r="HQ12" s="25"/>
      <c r="HR12" s="25"/>
      <c r="HS12" s="25"/>
      <c r="HT12" s="25"/>
      <c r="HV12" s="25"/>
      <c r="HW12" s="25"/>
      <c r="HX12" s="25"/>
      <c r="HY12" s="25"/>
      <c r="HZ12" s="25"/>
      <c r="IA12" s="25"/>
      <c r="IB12" s="25"/>
      <c r="IC12" s="25"/>
      <c r="ID12" s="25"/>
      <c r="IE12" s="25"/>
      <c r="IF12" s="25"/>
      <c r="IG12" s="25"/>
      <c r="IH12" s="25"/>
      <c r="II12" s="25"/>
      <c r="IJ12" s="25"/>
      <c r="IK12" s="25"/>
      <c r="IL12" s="25"/>
      <c r="IM12" s="25"/>
      <c r="IN12" s="25"/>
      <c r="IO12" s="25"/>
      <c r="IP12" s="25"/>
      <c r="IQ12" s="25"/>
      <c r="IR12" s="25"/>
      <c r="IS12" s="25"/>
      <c r="IT12" s="25"/>
      <c r="IU12" s="25"/>
      <c r="IV12" s="25"/>
      <c r="IW12" s="25"/>
      <c r="IX12" s="25"/>
      <c r="IY12" s="25"/>
      <c r="IZ12" s="25"/>
      <c r="JB12" s="19"/>
      <c r="JD12" s="29"/>
      <c r="JF12" s="3"/>
      <c r="JG12" s="3"/>
      <c r="JH12" s="3"/>
      <c r="JI12" s="3"/>
      <c r="JK12" s="35"/>
      <c r="JL12" s="81"/>
      <c r="JM12" s="81"/>
    </row>
    <row r="13" spans="1:273">
      <c r="B13" s="3"/>
      <c r="D13" s="39" t="str">
        <f t="shared" si="7"/>
        <v>-/-</v>
      </c>
      <c r="F13" s="3"/>
      <c r="H13" s="118"/>
      <c r="J13" s="118"/>
      <c r="L13" s="119"/>
      <c r="N13" s="118"/>
      <c r="O13" s="118"/>
      <c r="P13" s="118"/>
      <c r="Q13" s="118"/>
      <c r="R13" s="118"/>
      <c r="S13" s="118"/>
      <c r="U13" s="118"/>
      <c r="V13" s="118"/>
      <c r="W13" s="118"/>
      <c r="X13" s="118"/>
      <c r="Y13" s="118"/>
      <c r="Z13" s="118"/>
      <c r="AB13" s="118"/>
      <c r="AD13" s="19"/>
      <c r="AF13" s="19"/>
      <c r="AG13" s="19"/>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c r="BK13" s="25"/>
      <c r="BL13" s="25"/>
      <c r="BM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B13" s="25"/>
      <c r="FC13" s="25"/>
      <c r="FD13" s="25"/>
      <c r="FE13" s="25"/>
      <c r="FG13" s="23"/>
      <c r="FH13" s="23"/>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N13" s="25"/>
      <c r="HO13" s="25"/>
      <c r="HP13" s="25"/>
      <c r="HQ13" s="25"/>
      <c r="HR13" s="25"/>
      <c r="HS13" s="25"/>
      <c r="HT13" s="25"/>
      <c r="HV13" s="25"/>
      <c r="HW13" s="25"/>
      <c r="HX13" s="25"/>
      <c r="HY13" s="25"/>
      <c r="HZ13" s="25"/>
      <c r="IA13" s="25"/>
      <c r="IB13" s="25"/>
      <c r="IC13" s="25"/>
      <c r="ID13" s="25"/>
      <c r="IE13" s="25"/>
      <c r="IF13" s="25"/>
      <c r="IG13" s="25"/>
      <c r="IH13" s="25"/>
      <c r="II13" s="25"/>
      <c r="IJ13" s="25"/>
      <c r="IK13" s="25"/>
      <c r="IL13" s="25"/>
      <c r="IM13" s="25"/>
      <c r="IN13" s="25"/>
      <c r="IO13" s="25"/>
      <c r="IP13" s="25"/>
      <c r="IQ13" s="25"/>
      <c r="IR13" s="25"/>
      <c r="IS13" s="25"/>
      <c r="IT13" s="25"/>
      <c r="IU13" s="25"/>
      <c r="IV13" s="25"/>
      <c r="IW13" s="25"/>
      <c r="IX13" s="25"/>
      <c r="IY13" s="25"/>
      <c r="IZ13" s="25"/>
      <c r="JB13" s="19"/>
      <c r="JD13" s="29"/>
      <c r="JF13" s="3"/>
      <c r="JG13" s="3"/>
      <c r="JH13" s="3"/>
      <c r="JI13" s="3"/>
      <c r="JK13" s="35"/>
      <c r="JL13" s="81"/>
      <c r="JM13" s="81"/>
    </row>
    <row r="14" spans="1:273">
      <c r="B14" s="3"/>
      <c r="D14" s="39" t="str">
        <f t="shared" si="7"/>
        <v>-/-</v>
      </c>
      <c r="F14" s="3"/>
      <c r="H14" s="118"/>
      <c r="J14" s="118"/>
      <c r="L14" s="119"/>
      <c r="N14" s="118"/>
      <c r="O14" s="118"/>
      <c r="P14" s="118"/>
      <c r="Q14" s="118"/>
      <c r="R14" s="118"/>
      <c r="S14" s="118"/>
      <c r="U14" s="118"/>
      <c r="V14" s="118"/>
      <c r="W14" s="118"/>
      <c r="X14" s="118"/>
      <c r="Y14" s="118"/>
      <c r="Z14" s="118"/>
      <c r="AB14" s="118"/>
      <c r="AD14" s="19"/>
      <c r="AF14" s="19"/>
      <c r="AG14" s="19"/>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B14" s="25"/>
      <c r="FC14" s="25"/>
      <c r="FD14" s="25"/>
      <c r="FE14" s="25"/>
      <c r="FG14" s="23"/>
      <c r="FH14" s="23"/>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N14" s="25"/>
      <c r="HO14" s="25"/>
      <c r="HP14" s="25"/>
      <c r="HQ14" s="25"/>
      <c r="HR14" s="25"/>
      <c r="HS14" s="25"/>
      <c r="HT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25"/>
      <c r="IV14" s="25"/>
      <c r="IW14" s="25"/>
      <c r="IX14" s="25"/>
      <c r="IY14" s="25"/>
      <c r="IZ14" s="25"/>
      <c r="JB14" s="19"/>
      <c r="JD14" s="29"/>
      <c r="JF14" s="3"/>
      <c r="JG14" s="3"/>
      <c r="JH14" s="3"/>
      <c r="JI14" s="3"/>
      <c r="JK14" s="35"/>
      <c r="JL14" s="81"/>
      <c r="JM14" s="81"/>
    </row>
    <row r="15" spans="1:273">
      <c r="B15" s="3"/>
      <c r="D15" s="39" t="str">
        <f t="shared" si="7"/>
        <v>-/-</v>
      </c>
      <c r="F15" s="3"/>
      <c r="H15" s="118"/>
      <c r="J15" s="118"/>
      <c r="L15" s="119"/>
      <c r="N15" s="118"/>
      <c r="O15" s="118"/>
      <c r="P15" s="118"/>
      <c r="Q15" s="118"/>
      <c r="R15" s="118"/>
      <c r="S15" s="118"/>
      <c r="U15" s="118"/>
      <c r="V15" s="118"/>
      <c r="W15" s="118"/>
      <c r="X15" s="118"/>
      <c r="Y15" s="118"/>
      <c r="Z15" s="118"/>
      <c r="AB15" s="118"/>
      <c r="AD15" s="19"/>
      <c r="AF15" s="19"/>
      <c r="AG15" s="19"/>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B15" s="25"/>
      <c r="FC15" s="25"/>
      <c r="FD15" s="25"/>
      <c r="FE15" s="25"/>
      <c r="FG15" s="23"/>
      <c r="FH15" s="23"/>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N15" s="25"/>
      <c r="HO15" s="25"/>
      <c r="HP15" s="25"/>
      <c r="HQ15" s="25"/>
      <c r="HR15" s="25"/>
      <c r="HS15" s="25"/>
      <c r="HT15" s="25"/>
      <c r="HV15" s="25"/>
      <c r="HW15" s="25"/>
      <c r="HX15" s="25"/>
      <c r="HY15" s="25"/>
      <c r="HZ15" s="25"/>
      <c r="IA15" s="25"/>
      <c r="IB15" s="25"/>
      <c r="IC15" s="25"/>
      <c r="ID15" s="25"/>
      <c r="IE15" s="25"/>
      <c r="IF15" s="25"/>
      <c r="IG15" s="25"/>
      <c r="IH15" s="25"/>
      <c r="II15" s="25"/>
      <c r="IJ15" s="25"/>
      <c r="IK15" s="25"/>
      <c r="IL15" s="25"/>
      <c r="IM15" s="25"/>
      <c r="IN15" s="25"/>
      <c r="IO15" s="25"/>
      <c r="IP15" s="25"/>
      <c r="IQ15" s="25"/>
      <c r="IR15" s="25"/>
      <c r="IS15" s="25"/>
      <c r="IT15" s="25"/>
      <c r="IU15" s="25"/>
      <c r="IV15" s="25"/>
      <c r="IW15" s="25"/>
      <c r="IX15" s="25"/>
      <c r="IY15" s="25"/>
      <c r="IZ15" s="25"/>
      <c r="JB15" s="19"/>
      <c r="JD15" s="29"/>
      <c r="JF15" s="3"/>
      <c r="JG15" s="3"/>
      <c r="JH15" s="3"/>
      <c r="JI15" s="3"/>
      <c r="JK15" s="35"/>
      <c r="JL15" s="81"/>
      <c r="JM15" s="81"/>
    </row>
    <row r="16" spans="1:273">
      <c r="B16" s="3"/>
      <c r="D16" s="39" t="str">
        <f t="shared" si="7"/>
        <v>-/-</v>
      </c>
      <c r="F16" s="3"/>
      <c r="H16" s="118"/>
      <c r="J16" s="118"/>
      <c r="L16" s="119"/>
      <c r="N16" s="118"/>
      <c r="O16" s="118"/>
      <c r="P16" s="118"/>
      <c r="Q16" s="118"/>
      <c r="R16" s="118"/>
      <c r="S16" s="118"/>
      <c r="U16" s="118"/>
      <c r="V16" s="118"/>
      <c r="W16" s="118"/>
      <c r="X16" s="118"/>
      <c r="Y16" s="118"/>
      <c r="Z16" s="118"/>
      <c r="AB16" s="118"/>
      <c r="AD16" s="19"/>
      <c r="AF16" s="19"/>
      <c r="AG16" s="19"/>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D16" s="25"/>
      <c r="FE16" s="25"/>
      <c r="FG16" s="23"/>
      <c r="FH16" s="23"/>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H16" s="25"/>
      <c r="GI16" s="25"/>
      <c r="GJ16" s="25"/>
      <c r="GK16" s="25"/>
      <c r="GL16" s="25"/>
      <c r="GM16" s="25"/>
      <c r="GN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N16" s="25"/>
      <c r="HO16" s="25"/>
      <c r="HP16" s="25"/>
      <c r="HQ16" s="25"/>
      <c r="HR16" s="25"/>
      <c r="HS16" s="25"/>
      <c r="HT16" s="25"/>
      <c r="HV16" s="25"/>
      <c r="HW16" s="25"/>
      <c r="HX16" s="25"/>
      <c r="HY16" s="25"/>
      <c r="HZ16" s="25"/>
      <c r="IA16" s="25"/>
      <c r="IB16" s="25"/>
      <c r="IC16" s="25"/>
      <c r="ID16" s="25"/>
      <c r="IE16" s="25"/>
      <c r="IF16" s="25"/>
      <c r="IG16" s="25"/>
      <c r="IH16" s="25"/>
      <c r="II16" s="25"/>
      <c r="IJ16" s="25"/>
      <c r="IK16" s="25"/>
      <c r="IL16" s="25"/>
      <c r="IM16" s="25"/>
      <c r="IN16" s="25"/>
      <c r="IO16" s="25"/>
      <c r="IP16" s="25"/>
      <c r="IQ16" s="25"/>
      <c r="IR16" s="25"/>
      <c r="IS16" s="25"/>
      <c r="IT16" s="25"/>
      <c r="IU16" s="25"/>
      <c r="IV16" s="25"/>
      <c r="IW16" s="25"/>
      <c r="IX16" s="25"/>
      <c r="IY16" s="25"/>
      <c r="IZ16" s="25"/>
      <c r="JB16" s="19"/>
      <c r="JD16" s="29"/>
      <c r="JF16" s="3"/>
      <c r="JG16" s="3"/>
      <c r="JH16" s="3"/>
      <c r="JI16" s="3"/>
      <c r="JK16" s="35"/>
      <c r="JL16" s="81"/>
      <c r="JM16" s="81"/>
    </row>
    <row r="17" spans="2:273">
      <c r="B17" s="3"/>
      <c r="D17" s="39" t="str">
        <f t="shared" si="7"/>
        <v>-/-</v>
      </c>
      <c r="F17" s="3"/>
      <c r="H17" s="118"/>
      <c r="J17" s="118"/>
      <c r="L17" s="119"/>
      <c r="N17" s="118"/>
      <c r="O17" s="118"/>
      <c r="P17" s="118"/>
      <c r="Q17" s="118"/>
      <c r="R17" s="118"/>
      <c r="S17" s="118"/>
      <c r="U17" s="118"/>
      <c r="V17" s="118"/>
      <c r="W17" s="118"/>
      <c r="X17" s="118"/>
      <c r="Y17" s="118"/>
      <c r="Z17" s="118"/>
      <c r="AB17" s="118"/>
      <c r="AD17" s="19"/>
      <c r="AF17" s="19"/>
      <c r="AG17" s="19"/>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c r="BK17" s="25"/>
      <c r="BL17" s="25"/>
      <c r="BM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V17" s="25"/>
      <c r="DW17" s="25"/>
      <c r="DX17" s="25"/>
      <c r="DY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B17" s="25"/>
      <c r="FC17" s="25"/>
      <c r="FD17" s="25"/>
      <c r="FE17" s="25"/>
      <c r="FG17" s="23"/>
      <c r="FH17" s="23"/>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H17" s="25"/>
      <c r="GI17" s="25"/>
      <c r="GJ17" s="25"/>
      <c r="GK17" s="25"/>
      <c r="GL17" s="25"/>
      <c r="GM17" s="25"/>
      <c r="GN17" s="25"/>
      <c r="GP17" s="25"/>
      <c r="GQ17" s="25"/>
      <c r="GR17" s="25"/>
      <c r="GS17" s="25"/>
      <c r="GT17" s="25"/>
      <c r="GU17" s="25"/>
      <c r="GV17" s="25"/>
      <c r="GW17" s="25"/>
      <c r="GX17" s="25"/>
      <c r="GY17" s="25"/>
      <c r="GZ17" s="25"/>
      <c r="HA17" s="25"/>
      <c r="HB17" s="25"/>
      <c r="HC17" s="25"/>
      <c r="HD17" s="25"/>
      <c r="HE17" s="25"/>
      <c r="HF17" s="25"/>
      <c r="HG17" s="25"/>
      <c r="HH17" s="25"/>
      <c r="HI17" s="25"/>
      <c r="HJ17" s="25"/>
      <c r="HK17" s="25"/>
      <c r="HL17" s="25"/>
      <c r="HM17" s="25"/>
      <c r="HN17" s="25"/>
      <c r="HO17" s="25"/>
      <c r="HP17" s="25"/>
      <c r="HQ17" s="25"/>
      <c r="HR17" s="25"/>
      <c r="HS17" s="25"/>
      <c r="HT17" s="25"/>
      <c r="HV17" s="25"/>
      <c r="HW17" s="25"/>
      <c r="HX17" s="25"/>
      <c r="HY17" s="25"/>
      <c r="HZ17" s="25"/>
      <c r="IA17" s="25"/>
      <c r="IB17" s="25"/>
      <c r="IC17" s="25"/>
      <c r="ID17" s="25"/>
      <c r="IE17" s="25"/>
      <c r="IF17" s="25"/>
      <c r="IG17" s="25"/>
      <c r="IH17" s="25"/>
      <c r="II17" s="25"/>
      <c r="IJ17" s="25"/>
      <c r="IK17" s="25"/>
      <c r="IL17" s="25"/>
      <c r="IM17" s="25"/>
      <c r="IN17" s="25"/>
      <c r="IO17" s="25"/>
      <c r="IP17" s="25"/>
      <c r="IQ17" s="25"/>
      <c r="IR17" s="25"/>
      <c r="IS17" s="25"/>
      <c r="IT17" s="25"/>
      <c r="IU17" s="25"/>
      <c r="IV17" s="25"/>
      <c r="IW17" s="25"/>
      <c r="IX17" s="25"/>
      <c r="IY17" s="25"/>
      <c r="IZ17" s="25"/>
      <c r="JB17" s="19"/>
      <c r="JD17" s="29"/>
      <c r="JF17" s="3"/>
      <c r="JG17" s="3"/>
      <c r="JH17" s="3"/>
      <c r="JI17" s="3"/>
      <c r="JK17" s="35"/>
      <c r="JL17" s="81"/>
      <c r="JM17" s="81"/>
    </row>
    <row r="18" spans="2:273">
      <c r="B18" s="3"/>
      <c r="D18" s="39" t="str">
        <f t="shared" si="7"/>
        <v>-/-</v>
      </c>
      <c r="F18" s="3"/>
      <c r="H18" s="118"/>
      <c r="J18" s="118"/>
      <c r="L18" s="119"/>
      <c r="N18" s="118"/>
      <c r="O18" s="118"/>
      <c r="P18" s="118"/>
      <c r="Q18" s="118"/>
      <c r="R18" s="118"/>
      <c r="S18" s="118"/>
      <c r="U18" s="118"/>
      <c r="V18" s="118"/>
      <c r="W18" s="118"/>
      <c r="X18" s="118"/>
      <c r="Y18" s="118"/>
      <c r="Z18" s="118"/>
      <c r="AB18" s="118"/>
      <c r="AD18" s="19"/>
      <c r="AF18" s="19"/>
      <c r="AG18" s="19"/>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G18" s="23"/>
      <c r="FH18" s="23"/>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IZ18" s="25"/>
      <c r="JB18" s="19"/>
      <c r="JD18" s="29"/>
      <c r="JF18" s="3"/>
      <c r="JG18" s="3"/>
      <c r="JH18" s="3"/>
      <c r="JI18" s="3"/>
      <c r="JK18" s="35"/>
      <c r="JL18" s="81"/>
      <c r="JM18" s="81"/>
    </row>
    <row r="19" spans="2:273">
      <c r="B19" s="3"/>
      <c r="D19" s="39" t="str">
        <f t="shared" si="7"/>
        <v>-/-</v>
      </c>
      <c r="F19" s="3"/>
      <c r="H19" s="118"/>
      <c r="J19" s="118"/>
      <c r="L19" s="119"/>
      <c r="N19" s="118"/>
      <c r="O19" s="118"/>
      <c r="P19" s="118"/>
      <c r="Q19" s="118"/>
      <c r="R19" s="118"/>
      <c r="S19" s="118"/>
      <c r="U19" s="118"/>
      <c r="V19" s="118"/>
      <c r="W19" s="118"/>
      <c r="X19" s="118"/>
      <c r="Y19" s="118"/>
      <c r="Z19" s="118"/>
      <c r="AB19" s="118"/>
      <c r="AD19" s="19"/>
      <c r="AF19" s="19"/>
      <c r="AG19" s="19"/>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R19" s="25"/>
      <c r="CS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V19" s="25"/>
      <c r="DW19" s="25"/>
      <c r="DX19" s="25"/>
      <c r="DY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B19" s="25"/>
      <c r="FC19" s="25"/>
      <c r="FD19" s="25"/>
      <c r="FE19" s="25"/>
      <c r="FG19" s="23"/>
      <c r="FH19" s="23"/>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K19" s="25"/>
      <c r="GL19" s="25"/>
      <c r="GM19" s="25"/>
      <c r="GN19" s="25"/>
      <c r="GP19" s="25"/>
      <c r="GQ19" s="25"/>
      <c r="GR19" s="25"/>
      <c r="GS19" s="25"/>
      <c r="GT19" s="25"/>
      <c r="GU19" s="25"/>
      <c r="GV19" s="25"/>
      <c r="GW19" s="25"/>
      <c r="GX19" s="25"/>
      <c r="GY19" s="25"/>
      <c r="GZ19" s="25"/>
      <c r="HA19" s="25"/>
      <c r="HB19" s="25"/>
      <c r="HC19" s="25"/>
      <c r="HD19" s="25"/>
      <c r="HE19" s="25"/>
      <c r="HF19" s="25"/>
      <c r="HG19" s="25"/>
      <c r="HH19" s="25"/>
      <c r="HI19" s="25"/>
      <c r="HJ19" s="25"/>
      <c r="HK19" s="25"/>
      <c r="HL19" s="25"/>
      <c r="HM19" s="25"/>
      <c r="HN19" s="25"/>
      <c r="HO19" s="25"/>
      <c r="HP19" s="25"/>
      <c r="HQ19" s="25"/>
      <c r="HR19" s="25"/>
      <c r="HS19" s="25"/>
      <c r="HT19" s="25"/>
      <c r="HV19" s="25"/>
      <c r="HW19" s="25"/>
      <c r="HX19" s="25"/>
      <c r="HY19" s="25"/>
      <c r="HZ19" s="25"/>
      <c r="IA19" s="25"/>
      <c r="IB19" s="25"/>
      <c r="IC19" s="25"/>
      <c r="ID19" s="25"/>
      <c r="IE19" s="25"/>
      <c r="IF19" s="25"/>
      <c r="IG19" s="25"/>
      <c r="IH19" s="25"/>
      <c r="II19" s="25"/>
      <c r="IJ19" s="25"/>
      <c r="IK19" s="25"/>
      <c r="IL19" s="25"/>
      <c r="IM19" s="25"/>
      <c r="IN19" s="25"/>
      <c r="IO19" s="25"/>
      <c r="IP19" s="25"/>
      <c r="IQ19" s="25"/>
      <c r="IR19" s="25"/>
      <c r="IS19" s="25"/>
      <c r="IT19" s="25"/>
      <c r="IU19" s="25"/>
      <c r="IV19" s="25"/>
      <c r="IW19" s="25"/>
      <c r="IX19" s="25"/>
      <c r="IY19" s="25"/>
      <c r="IZ19" s="25"/>
      <c r="JB19" s="19"/>
      <c r="JD19" s="29"/>
      <c r="JF19" s="3"/>
      <c r="JG19" s="3"/>
      <c r="JH19" s="3"/>
      <c r="JI19" s="3"/>
      <c r="JK19" s="35"/>
      <c r="JL19" s="81"/>
      <c r="JM19" s="81"/>
    </row>
    <row r="20" spans="2:273">
      <c r="B20" s="3"/>
      <c r="D20" s="39" t="str">
        <f t="shared" si="7"/>
        <v>-/-</v>
      </c>
      <c r="F20" s="3"/>
      <c r="H20" s="118"/>
      <c r="J20" s="118"/>
      <c r="L20" s="119"/>
      <c r="N20" s="118"/>
      <c r="O20" s="118"/>
      <c r="P20" s="118"/>
      <c r="Q20" s="118"/>
      <c r="R20" s="118"/>
      <c r="S20" s="118"/>
      <c r="U20" s="118"/>
      <c r="V20" s="118"/>
      <c r="W20" s="118"/>
      <c r="X20" s="118"/>
      <c r="Y20" s="118"/>
      <c r="Z20" s="118"/>
      <c r="AB20" s="118"/>
      <c r="AD20" s="19"/>
      <c r="AF20" s="19"/>
      <c r="AG20" s="19"/>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R20" s="25"/>
      <c r="CS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V20" s="25"/>
      <c r="DW20" s="25"/>
      <c r="DX20" s="25"/>
      <c r="DY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B20" s="25"/>
      <c r="FC20" s="25"/>
      <c r="FD20" s="25"/>
      <c r="FE20" s="25"/>
      <c r="FG20" s="23"/>
      <c r="FH20" s="23"/>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K20" s="25"/>
      <c r="GL20" s="25"/>
      <c r="GM20" s="25"/>
      <c r="GN20" s="25"/>
      <c r="GP20" s="25"/>
      <c r="GQ20" s="25"/>
      <c r="GR20" s="25"/>
      <c r="GS20" s="25"/>
      <c r="GT20" s="25"/>
      <c r="GU20" s="25"/>
      <c r="GV20" s="25"/>
      <c r="GW20" s="25"/>
      <c r="GX20" s="25"/>
      <c r="GY20" s="25"/>
      <c r="GZ20" s="25"/>
      <c r="HA20" s="25"/>
      <c r="HB20" s="25"/>
      <c r="HC20" s="25"/>
      <c r="HD20" s="25"/>
      <c r="HE20" s="25"/>
      <c r="HF20" s="25"/>
      <c r="HG20" s="25"/>
      <c r="HH20" s="25"/>
      <c r="HI20" s="25"/>
      <c r="HJ20" s="25"/>
      <c r="HK20" s="25"/>
      <c r="HL20" s="25"/>
      <c r="HM20" s="25"/>
      <c r="HN20" s="25"/>
      <c r="HO20" s="25"/>
      <c r="HP20" s="25"/>
      <c r="HQ20" s="25"/>
      <c r="HR20" s="25"/>
      <c r="HS20" s="25"/>
      <c r="HT20" s="25"/>
      <c r="HV20" s="25"/>
      <c r="HW20" s="25"/>
      <c r="HX20" s="25"/>
      <c r="HY20" s="25"/>
      <c r="HZ20" s="25"/>
      <c r="IA20" s="25"/>
      <c r="IB20" s="25"/>
      <c r="IC20" s="25"/>
      <c r="ID20" s="25"/>
      <c r="IE20" s="25"/>
      <c r="IF20" s="25"/>
      <c r="IG20" s="25"/>
      <c r="IH20" s="25"/>
      <c r="II20" s="25"/>
      <c r="IJ20" s="25"/>
      <c r="IK20" s="25"/>
      <c r="IL20" s="25"/>
      <c r="IM20" s="25"/>
      <c r="IN20" s="25"/>
      <c r="IO20" s="25"/>
      <c r="IP20" s="25"/>
      <c r="IQ20" s="25"/>
      <c r="IR20" s="25"/>
      <c r="IS20" s="25"/>
      <c r="IT20" s="25"/>
      <c r="IU20" s="25"/>
      <c r="IV20" s="25"/>
      <c r="IW20" s="25"/>
      <c r="IX20" s="25"/>
      <c r="IY20" s="25"/>
      <c r="IZ20" s="25"/>
      <c r="JB20" s="19"/>
      <c r="JD20" s="29"/>
      <c r="JF20" s="3"/>
      <c r="JG20" s="3"/>
      <c r="JH20" s="3"/>
      <c r="JI20" s="3"/>
      <c r="JK20" s="35"/>
      <c r="JL20" s="81"/>
      <c r="JM20" s="81"/>
    </row>
    <row r="21" spans="2:273">
      <c r="B21" s="3"/>
      <c r="D21" s="39" t="str">
        <f t="shared" si="7"/>
        <v>-/-</v>
      </c>
      <c r="F21" s="3"/>
      <c r="H21" s="118"/>
      <c r="J21" s="118"/>
      <c r="L21" s="119"/>
      <c r="N21" s="118"/>
      <c r="O21" s="118"/>
      <c r="P21" s="118"/>
      <c r="Q21" s="118"/>
      <c r="R21" s="118"/>
      <c r="S21" s="118"/>
      <c r="U21" s="118"/>
      <c r="V21" s="118"/>
      <c r="W21" s="118"/>
      <c r="X21" s="118"/>
      <c r="Y21" s="118"/>
      <c r="Z21" s="118"/>
      <c r="AB21" s="118"/>
      <c r="AD21" s="19"/>
      <c r="AF21" s="19"/>
      <c r="AG21" s="19"/>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c r="BK21" s="25"/>
      <c r="BL21" s="25"/>
      <c r="BM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X21" s="25"/>
      <c r="DY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25"/>
      <c r="FB21" s="25"/>
      <c r="FC21" s="25"/>
      <c r="FD21" s="25"/>
      <c r="FE21" s="25"/>
      <c r="FG21" s="23"/>
      <c r="FH21" s="23"/>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H21" s="25"/>
      <c r="GI21" s="25"/>
      <c r="GJ21" s="25"/>
      <c r="GK21" s="25"/>
      <c r="GL21" s="25"/>
      <c r="GM21" s="25"/>
      <c r="GN21" s="25"/>
      <c r="GP21" s="25"/>
      <c r="GQ21" s="25"/>
      <c r="GR21" s="25"/>
      <c r="GS21" s="25"/>
      <c r="GT21" s="25"/>
      <c r="GU21" s="25"/>
      <c r="GV21" s="25"/>
      <c r="GW21" s="25"/>
      <c r="GX21" s="25"/>
      <c r="GY21" s="25"/>
      <c r="GZ21" s="25"/>
      <c r="HA21" s="25"/>
      <c r="HB21" s="25"/>
      <c r="HC21" s="25"/>
      <c r="HD21" s="25"/>
      <c r="HE21" s="25"/>
      <c r="HF21" s="25"/>
      <c r="HG21" s="25"/>
      <c r="HH21" s="25"/>
      <c r="HI21" s="25"/>
      <c r="HJ21" s="25"/>
      <c r="HK21" s="25"/>
      <c r="HL21" s="25"/>
      <c r="HM21" s="25"/>
      <c r="HN21" s="25"/>
      <c r="HO21" s="25"/>
      <c r="HP21" s="25"/>
      <c r="HQ21" s="25"/>
      <c r="HR21" s="25"/>
      <c r="HS21" s="25"/>
      <c r="HT21" s="25"/>
      <c r="HV21" s="25"/>
      <c r="HW21" s="25"/>
      <c r="HX21" s="25"/>
      <c r="HY21" s="25"/>
      <c r="HZ21" s="25"/>
      <c r="IA21" s="25"/>
      <c r="IB21" s="25"/>
      <c r="IC21" s="25"/>
      <c r="ID21" s="25"/>
      <c r="IE21" s="25"/>
      <c r="IF21" s="25"/>
      <c r="IG21" s="25"/>
      <c r="IH21" s="25"/>
      <c r="II21" s="25"/>
      <c r="IJ21" s="25"/>
      <c r="IK21" s="25"/>
      <c r="IL21" s="25"/>
      <c r="IM21" s="25"/>
      <c r="IN21" s="25"/>
      <c r="IO21" s="25"/>
      <c r="IP21" s="25"/>
      <c r="IQ21" s="25"/>
      <c r="IR21" s="25"/>
      <c r="IS21" s="25"/>
      <c r="IT21" s="25"/>
      <c r="IU21" s="25"/>
      <c r="IV21" s="25"/>
      <c r="IW21" s="25"/>
      <c r="IX21" s="25"/>
      <c r="IY21" s="25"/>
      <c r="IZ21" s="25"/>
      <c r="JB21" s="19"/>
      <c r="JD21" s="29"/>
      <c r="JF21" s="3"/>
      <c r="JG21" s="3"/>
      <c r="JH21" s="3"/>
      <c r="JI21" s="3"/>
      <c r="JK21" s="35"/>
      <c r="JL21" s="81"/>
      <c r="JM21" s="81"/>
    </row>
    <row r="22" spans="2:273">
      <c r="B22" s="3"/>
      <c r="D22" s="39" t="str">
        <f t="shared" si="7"/>
        <v>-/-</v>
      </c>
      <c r="F22" s="3"/>
      <c r="H22" s="118"/>
      <c r="J22" s="118"/>
      <c r="L22" s="119"/>
      <c r="N22" s="118"/>
      <c r="O22" s="118"/>
      <c r="P22" s="118"/>
      <c r="Q22" s="118"/>
      <c r="R22" s="118"/>
      <c r="S22" s="118"/>
      <c r="U22" s="118"/>
      <c r="V22" s="118"/>
      <c r="W22" s="118"/>
      <c r="X22" s="118"/>
      <c r="Y22" s="118"/>
      <c r="Z22" s="118"/>
      <c r="AB22" s="118"/>
      <c r="AD22" s="19"/>
      <c r="AF22" s="19"/>
      <c r="AG22" s="19"/>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c r="BK22" s="25"/>
      <c r="BL22" s="25"/>
      <c r="BM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V22" s="25"/>
      <c r="DW22" s="25"/>
      <c r="DX22" s="25"/>
      <c r="DY22" s="25"/>
      <c r="EA22" s="25"/>
      <c r="EB22" s="25"/>
      <c r="EC22" s="25"/>
      <c r="ED22" s="25"/>
      <c r="EE22" s="25"/>
      <c r="EF22" s="25"/>
      <c r="EG22" s="25"/>
      <c r="EH22" s="25"/>
      <c r="EI22" s="25"/>
      <c r="EJ22" s="25"/>
      <c r="EK22" s="25"/>
      <c r="EL22" s="25"/>
      <c r="EM22" s="25"/>
      <c r="EN22" s="25"/>
      <c r="EO22" s="25"/>
      <c r="EP22" s="25"/>
      <c r="EQ22" s="25"/>
      <c r="ER22" s="25"/>
      <c r="ES22" s="25"/>
      <c r="ET22" s="25"/>
      <c r="EU22" s="25"/>
      <c r="EV22" s="25"/>
      <c r="EW22" s="25"/>
      <c r="EX22" s="25"/>
      <c r="EY22" s="25"/>
      <c r="EZ22" s="25"/>
      <c r="FA22" s="25"/>
      <c r="FB22" s="25"/>
      <c r="FC22" s="25"/>
      <c r="FD22" s="25"/>
      <c r="FE22" s="25"/>
      <c r="FG22" s="23"/>
      <c r="FH22" s="23"/>
      <c r="FJ22" s="25"/>
      <c r="FK22" s="25"/>
      <c r="FL22" s="25"/>
      <c r="FM22" s="25"/>
      <c r="FN22" s="25"/>
      <c r="FO22" s="25"/>
      <c r="FP22" s="25"/>
      <c r="FQ22" s="25"/>
      <c r="FR22" s="25"/>
      <c r="FS22" s="25"/>
      <c r="FT22" s="25"/>
      <c r="FU22" s="25"/>
      <c r="FV22" s="25"/>
      <c r="FW22" s="25"/>
      <c r="FX22" s="25"/>
      <c r="FY22" s="25"/>
      <c r="FZ22" s="25"/>
      <c r="GA22" s="25"/>
      <c r="GB22" s="25"/>
      <c r="GC22" s="25"/>
      <c r="GD22" s="25"/>
      <c r="GE22" s="25"/>
      <c r="GF22" s="25"/>
      <c r="GG22" s="25"/>
      <c r="GH22" s="25"/>
      <c r="GI22" s="25"/>
      <c r="GJ22" s="25"/>
      <c r="GK22" s="25"/>
      <c r="GL22" s="25"/>
      <c r="GM22" s="25"/>
      <c r="GN22" s="25"/>
      <c r="GP22" s="25"/>
      <c r="GQ22" s="25"/>
      <c r="GR22" s="25"/>
      <c r="GS22" s="25"/>
      <c r="GT22" s="25"/>
      <c r="GU22" s="25"/>
      <c r="GV22" s="25"/>
      <c r="GW22" s="25"/>
      <c r="GX22" s="25"/>
      <c r="GY22" s="25"/>
      <c r="GZ22" s="25"/>
      <c r="HA22" s="25"/>
      <c r="HB22" s="25"/>
      <c r="HC22" s="25"/>
      <c r="HD22" s="25"/>
      <c r="HE22" s="25"/>
      <c r="HF22" s="25"/>
      <c r="HG22" s="25"/>
      <c r="HH22" s="25"/>
      <c r="HI22" s="25"/>
      <c r="HJ22" s="25"/>
      <c r="HK22" s="25"/>
      <c r="HL22" s="25"/>
      <c r="HM22" s="25"/>
      <c r="HN22" s="25"/>
      <c r="HO22" s="25"/>
      <c r="HP22" s="25"/>
      <c r="HQ22" s="25"/>
      <c r="HR22" s="25"/>
      <c r="HS22" s="25"/>
      <c r="HT22" s="25"/>
      <c r="HV22" s="25"/>
      <c r="HW22" s="25"/>
      <c r="HX22" s="25"/>
      <c r="HY22" s="25"/>
      <c r="HZ22" s="25"/>
      <c r="IA22" s="25"/>
      <c r="IB22" s="25"/>
      <c r="IC22" s="25"/>
      <c r="ID22" s="25"/>
      <c r="IE22" s="25"/>
      <c r="IF22" s="25"/>
      <c r="IG22" s="25"/>
      <c r="IH22" s="25"/>
      <c r="II22" s="25"/>
      <c r="IJ22" s="25"/>
      <c r="IK22" s="25"/>
      <c r="IL22" s="25"/>
      <c r="IM22" s="25"/>
      <c r="IN22" s="25"/>
      <c r="IO22" s="25"/>
      <c r="IP22" s="25"/>
      <c r="IQ22" s="25"/>
      <c r="IR22" s="25"/>
      <c r="IS22" s="25"/>
      <c r="IT22" s="25"/>
      <c r="IU22" s="25"/>
      <c r="IV22" s="25"/>
      <c r="IW22" s="25"/>
      <c r="IX22" s="25"/>
      <c r="IY22" s="25"/>
      <c r="IZ22" s="25"/>
      <c r="JB22" s="19"/>
      <c r="JD22" s="29"/>
      <c r="JF22" s="3"/>
      <c r="JG22" s="3"/>
      <c r="JH22" s="3"/>
      <c r="JI22" s="3"/>
      <c r="JK22" s="35"/>
      <c r="JL22" s="81"/>
      <c r="JM22" s="81"/>
    </row>
    <row r="23" spans="2:273">
      <c r="B23" s="3"/>
      <c r="D23" s="39" t="str">
        <f t="shared" si="7"/>
        <v>-/-</v>
      </c>
      <c r="F23" s="3"/>
      <c r="H23" s="118"/>
      <c r="J23" s="118"/>
      <c r="L23" s="119"/>
      <c r="N23" s="118"/>
      <c r="O23" s="118"/>
      <c r="P23" s="118"/>
      <c r="Q23" s="118"/>
      <c r="R23" s="118"/>
      <c r="S23" s="118"/>
      <c r="U23" s="118"/>
      <c r="V23" s="118"/>
      <c r="W23" s="118"/>
      <c r="X23" s="118"/>
      <c r="Y23" s="118"/>
      <c r="Z23" s="118"/>
      <c r="AB23" s="118"/>
      <c r="AD23" s="19"/>
      <c r="AF23" s="19"/>
      <c r="AG23" s="19"/>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c r="BK23" s="25"/>
      <c r="BL23" s="25"/>
      <c r="BM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X23" s="25"/>
      <c r="DY23" s="25"/>
      <c r="EA23" s="25"/>
      <c r="EB23" s="25"/>
      <c r="EC23" s="25"/>
      <c r="ED23" s="25"/>
      <c r="EE23" s="25"/>
      <c r="EF23" s="25"/>
      <c r="EG23" s="25"/>
      <c r="EH23" s="25"/>
      <c r="EI23" s="25"/>
      <c r="EJ23" s="25"/>
      <c r="EK23" s="25"/>
      <c r="EL23" s="25"/>
      <c r="EM23" s="25"/>
      <c r="EN23" s="25"/>
      <c r="EO23" s="25"/>
      <c r="EP23" s="25"/>
      <c r="EQ23" s="25"/>
      <c r="ER23" s="25"/>
      <c r="ES23" s="25"/>
      <c r="ET23" s="25"/>
      <c r="EU23" s="25"/>
      <c r="EV23" s="25"/>
      <c r="EW23" s="25"/>
      <c r="EX23" s="25"/>
      <c r="EY23" s="25"/>
      <c r="EZ23" s="25"/>
      <c r="FA23" s="25"/>
      <c r="FB23" s="25"/>
      <c r="FC23" s="25"/>
      <c r="FD23" s="25"/>
      <c r="FE23" s="25"/>
      <c r="FG23" s="23"/>
      <c r="FH23" s="23"/>
      <c r="FJ23" s="25"/>
      <c r="FK23" s="25"/>
      <c r="FL23" s="25"/>
      <c r="FM23" s="25"/>
      <c r="FN23" s="25"/>
      <c r="FO23" s="25"/>
      <c r="FP23" s="25"/>
      <c r="FQ23" s="25"/>
      <c r="FR23" s="25"/>
      <c r="FS23" s="25"/>
      <c r="FT23" s="25"/>
      <c r="FU23" s="25"/>
      <c r="FV23" s="25"/>
      <c r="FW23" s="25"/>
      <c r="FX23" s="25"/>
      <c r="FY23" s="25"/>
      <c r="FZ23" s="25"/>
      <c r="GA23" s="25"/>
      <c r="GB23" s="25"/>
      <c r="GC23" s="25"/>
      <c r="GD23" s="25"/>
      <c r="GE23" s="25"/>
      <c r="GF23" s="25"/>
      <c r="GG23" s="25"/>
      <c r="GH23" s="25"/>
      <c r="GI23" s="25"/>
      <c r="GJ23" s="25"/>
      <c r="GK23" s="25"/>
      <c r="GL23" s="25"/>
      <c r="GM23" s="25"/>
      <c r="GN23" s="25"/>
      <c r="GP23" s="25"/>
      <c r="GQ23" s="25"/>
      <c r="GR23" s="25"/>
      <c r="GS23" s="25"/>
      <c r="GT23" s="25"/>
      <c r="GU23" s="25"/>
      <c r="GV23" s="25"/>
      <c r="GW23" s="25"/>
      <c r="GX23" s="25"/>
      <c r="GY23" s="25"/>
      <c r="GZ23" s="25"/>
      <c r="HA23" s="25"/>
      <c r="HB23" s="25"/>
      <c r="HC23" s="25"/>
      <c r="HD23" s="25"/>
      <c r="HE23" s="25"/>
      <c r="HF23" s="25"/>
      <c r="HG23" s="25"/>
      <c r="HH23" s="25"/>
      <c r="HI23" s="25"/>
      <c r="HJ23" s="25"/>
      <c r="HK23" s="25"/>
      <c r="HL23" s="25"/>
      <c r="HM23" s="25"/>
      <c r="HN23" s="25"/>
      <c r="HO23" s="25"/>
      <c r="HP23" s="25"/>
      <c r="HQ23" s="25"/>
      <c r="HR23" s="25"/>
      <c r="HS23" s="25"/>
      <c r="HT23" s="25"/>
      <c r="HV23" s="25"/>
      <c r="HW23" s="25"/>
      <c r="HX23" s="25"/>
      <c r="HY23" s="25"/>
      <c r="HZ23" s="25"/>
      <c r="IA23" s="25"/>
      <c r="IB23" s="25"/>
      <c r="IC23" s="25"/>
      <c r="ID23" s="25"/>
      <c r="IE23" s="25"/>
      <c r="IF23" s="25"/>
      <c r="IG23" s="25"/>
      <c r="IH23" s="25"/>
      <c r="II23" s="25"/>
      <c r="IJ23" s="25"/>
      <c r="IK23" s="25"/>
      <c r="IL23" s="25"/>
      <c r="IM23" s="25"/>
      <c r="IN23" s="25"/>
      <c r="IO23" s="25"/>
      <c r="IP23" s="25"/>
      <c r="IQ23" s="25"/>
      <c r="IR23" s="25"/>
      <c r="IS23" s="25"/>
      <c r="IT23" s="25"/>
      <c r="IU23" s="25"/>
      <c r="IV23" s="25"/>
      <c r="IW23" s="25"/>
      <c r="IX23" s="25"/>
      <c r="IY23" s="25"/>
      <c r="IZ23" s="25"/>
      <c r="JB23" s="19"/>
      <c r="JD23" s="29"/>
      <c r="JF23" s="3"/>
      <c r="JG23" s="3"/>
      <c r="JH23" s="3"/>
      <c r="JI23" s="3"/>
      <c r="JK23" s="35"/>
      <c r="JL23" s="81"/>
      <c r="JM23" s="81"/>
    </row>
    <row r="24" spans="2:273">
      <c r="B24" s="3"/>
      <c r="D24" s="39" t="str">
        <f t="shared" si="7"/>
        <v>-/-</v>
      </c>
      <c r="F24" s="3"/>
      <c r="H24" s="118"/>
      <c r="J24" s="118"/>
      <c r="L24" s="119"/>
      <c r="N24" s="118"/>
      <c r="O24" s="118"/>
      <c r="P24" s="118"/>
      <c r="Q24" s="118"/>
      <c r="R24" s="118"/>
      <c r="S24" s="118"/>
      <c r="U24" s="118"/>
      <c r="V24" s="118"/>
      <c r="W24" s="118"/>
      <c r="X24" s="118"/>
      <c r="Y24" s="118"/>
      <c r="Z24" s="118"/>
      <c r="AB24" s="118"/>
      <c r="AD24" s="19"/>
      <c r="AF24" s="19"/>
      <c r="AG24" s="19"/>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G24" s="23"/>
      <c r="FH24" s="23"/>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T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W24" s="25"/>
      <c r="IX24" s="25"/>
      <c r="IY24" s="25"/>
      <c r="IZ24" s="25"/>
      <c r="JB24" s="19"/>
      <c r="JD24" s="29"/>
      <c r="JF24" s="3"/>
      <c r="JG24" s="3"/>
      <c r="JH24" s="3"/>
      <c r="JI24" s="3"/>
      <c r="JK24" s="35"/>
      <c r="JL24" s="81"/>
      <c r="JM24" s="81"/>
    </row>
    <row r="25" spans="2:273">
      <c r="B25" s="3"/>
      <c r="D25" s="39" t="str">
        <f t="shared" si="7"/>
        <v>-/-</v>
      </c>
      <c r="F25" s="3"/>
      <c r="H25" s="118"/>
      <c r="J25" s="118"/>
      <c r="L25" s="119"/>
      <c r="N25" s="118"/>
      <c r="O25" s="118"/>
      <c r="P25" s="118"/>
      <c r="Q25" s="118"/>
      <c r="R25" s="118"/>
      <c r="S25" s="118"/>
      <c r="U25" s="118"/>
      <c r="V25" s="118"/>
      <c r="W25" s="118"/>
      <c r="X25" s="118"/>
      <c r="Y25" s="118"/>
      <c r="Z25" s="118"/>
      <c r="AB25" s="118"/>
      <c r="AD25" s="19"/>
      <c r="AF25" s="19"/>
      <c r="AG25" s="19"/>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EA25" s="25"/>
      <c r="EB25" s="25"/>
      <c r="EC25" s="25"/>
      <c r="ED25" s="25"/>
      <c r="EE25" s="25"/>
      <c r="EF25" s="25"/>
      <c r="EG25" s="25"/>
      <c r="EH25" s="25"/>
      <c r="EI25" s="25"/>
      <c r="EJ25" s="25"/>
      <c r="EK25" s="25"/>
      <c r="EL25" s="25"/>
      <c r="EM25" s="25"/>
      <c r="EN25" s="25"/>
      <c r="EO25" s="25"/>
      <c r="EP25" s="25"/>
      <c r="EQ25" s="25"/>
      <c r="ER25" s="25"/>
      <c r="ES25" s="25"/>
      <c r="ET25" s="25"/>
      <c r="EU25" s="25"/>
      <c r="EV25" s="25"/>
      <c r="EW25" s="25"/>
      <c r="EX25" s="25"/>
      <c r="EY25" s="25"/>
      <c r="EZ25" s="25"/>
      <c r="FA25" s="25"/>
      <c r="FB25" s="25"/>
      <c r="FC25" s="25"/>
      <c r="FD25" s="25"/>
      <c r="FE25" s="25"/>
      <c r="FG25" s="23"/>
      <c r="FH25" s="23"/>
      <c r="FJ25" s="25"/>
      <c r="FK25" s="25"/>
      <c r="FL25" s="25"/>
      <c r="FM25" s="25"/>
      <c r="FN25" s="25"/>
      <c r="FO25" s="25"/>
      <c r="FP25" s="25"/>
      <c r="FQ25" s="25"/>
      <c r="FR25" s="25"/>
      <c r="FS25" s="25"/>
      <c r="FT25" s="25"/>
      <c r="FU25" s="25"/>
      <c r="FV25" s="25"/>
      <c r="FW25" s="25"/>
      <c r="FX25" s="25"/>
      <c r="FY25" s="25"/>
      <c r="FZ25" s="25"/>
      <c r="GA25" s="25"/>
      <c r="GB25" s="25"/>
      <c r="GC25" s="25"/>
      <c r="GD25" s="25"/>
      <c r="GE25" s="25"/>
      <c r="GF25" s="25"/>
      <c r="GG25" s="25"/>
      <c r="GH25" s="25"/>
      <c r="GI25" s="25"/>
      <c r="GJ25" s="25"/>
      <c r="GK25" s="25"/>
      <c r="GL25" s="25"/>
      <c r="GM25" s="25"/>
      <c r="GN25" s="25"/>
      <c r="GP25" s="25"/>
      <c r="GQ25" s="25"/>
      <c r="GR25" s="25"/>
      <c r="GS25" s="25"/>
      <c r="GT25" s="25"/>
      <c r="GU25" s="25"/>
      <c r="GV25" s="25"/>
      <c r="GW25" s="25"/>
      <c r="GX25" s="25"/>
      <c r="GY25" s="25"/>
      <c r="GZ25" s="25"/>
      <c r="HA25" s="25"/>
      <c r="HB25" s="25"/>
      <c r="HC25" s="25"/>
      <c r="HD25" s="25"/>
      <c r="HE25" s="25"/>
      <c r="HF25" s="25"/>
      <c r="HG25" s="25"/>
      <c r="HH25" s="25"/>
      <c r="HI25" s="25"/>
      <c r="HJ25" s="25"/>
      <c r="HK25" s="25"/>
      <c r="HL25" s="25"/>
      <c r="HM25" s="25"/>
      <c r="HN25" s="25"/>
      <c r="HO25" s="25"/>
      <c r="HP25" s="25"/>
      <c r="HQ25" s="25"/>
      <c r="HR25" s="25"/>
      <c r="HS25" s="25"/>
      <c r="HT25" s="25"/>
      <c r="HV25" s="25"/>
      <c r="HW25" s="25"/>
      <c r="HX25" s="25"/>
      <c r="HY25" s="25"/>
      <c r="HZ25" s="25"/>
      <c r="IA25" s="25"/>
      <c r="IB25" s="25"/>
      <c r="IC25" s="25"/>
      <c r="ID25" s="25"/>
      <c r="IE25" s="25"/>
      <c r="IF25" s="25"/>
      <c r="IG25" s="25"/>
      <c r="IH25" s="25"/>
      <c r="II25" s="25"/>
      <c r="IJ25" s="25"/>
      <c r="IK25" s="25"/>
      <c r="IL25" s="25"/>
      <c r="IM25" s="25"/>
      <c r="IN25" s="25"/>
      <c r="IO25" s="25"/>
      <c r="IP25" s="25"/>
      <c r="IQ25" s="25"/>
      <c r="IR25" s="25"/>
      <c r="IS25" s="25"/>
      <c r="IT25" s="25"/>
      <c r="IU25" s="25"/>
      <c r="IV25" s="25"/>
      <c r="IW25" s="25"/>
      <c r="IX25" s="25"/>
      <c r="IY25" s="25"/>
      <c r="IZ25" s="25"/>
      <c r="JB25" s="19"/>
      <c r="JD25" s="29"/>
      <c r="JF25" s="3"/>
      <c r="JG25" s="3"/>
      <c r="JH25" s="3"/>
      <c r="JI25" s="3"/>
      <c r="JK25" s="35"/>
      <c r="JL25" s="81"/>
      <c r="JM25" s="81"/>
    </row>
  </sheetData>
  <conditionalFormatting sqref="JD11:JD25">
    <cfRule type="expression" dxfId="24" priority="2">
      <formula>NOT(ISBLANK(JI11))</formula>
    </cfRule>
  </conditionalFormatting>
  <conditionalFormatting sqref="D11:D25">
    <cfRule type="cellIs" dxfId="23" priority="1" operator="equal">
      <formula>FALSE</formula>
    </cfRule>
  </conditionalFormatting>
  <conditionalFormatting sqref="A11:A25">
    <cfRule type="duplicateValues" dxfId="22" priority="1754"/>
  </conditionalFormatting>
  <dataValidations count="5">
    <dataValidation type="list" allowBlank="1" showInputMessage="1" showErrorMessage="1" sqref="L11:L25" xr:uid="{D58473F5-6CE0-4CEC-A0AA-3F9D8EA1BDF8}">
      <formula1>OFFSET(lists_outage_distributions,,,COUNTA(lists_outage_distributions))</formula1>
    </dataValidation>
    <dataValidation type="list" allowBlank="1" showInputMessage="1" showErrorMessage="1" sqref="AD11:AD25 J11:L25" xr:uid="{3D1B3BB0-D362-4EC4-92E6-150F333F0883}">
      <formula1>ResourceGroup</formula1>
    </dataValidation>
    <dataValidation type="list" allowBlank="1" showInputMessage="1" showErrorMessage="1" sqref="AB11:AB25" xr:uid="{F681AAFA-587D-46EB-A45D-B31384BCDBA2}">
      <formula1>OFFSET(lists_elcc_surfaces,,,COUNTA(lists_elcc_surfaces))</formula1>
    </dataValidation>
    <dataValidation type="list" allowBlank="1" showInputMessage="1" showErrorMessage="1" sqref="H11:H25" xr:uid="{2B9547D5-7351-41E4-9CE1-01676B29BFBC}">
      <formula1>OFFSET(lists_zones,,,COUNTA(lists_zones))</formula1>
    </dataValidation>
    <dataValidation type="list" allowBlank="1" showInputMessage="1" showErrorMessage="1" sqref="AF11:AG25 AB11:AB25 N11:S25 U11:Z25 JB11:JB25" xr:uid="{FAF926A1-CF8E-408D-8516-70E8CD0CCB59}">
      <formula1>"TRUE,FALSE"</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3" id="{491E4B36-0A3E-4701-B7FF-0FD817CCE5FD}">
            <xm:f>ISNUMBER(MATCH(F11,'RESOLVE Case Settings'!$C$19:$C$42,0))</xm:f>
            <x14:dxf>
              <font>
                <color rgb="FF006100"/>
              </font>
              <fill>
                <patternFill>
                  <bgColor rgb="FFC6EFCE"/>
                </patternFill>
              </fill>
            </x14:dxf>
          </x14:cfRule>
          <xm:sqref>F11:F25</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4BBB9-B775-448D-8E90-4189500EDD45}">
  <sheetPr codeName="Sheet33">
    <tabColor theme="7" tint="0.79998168889431442"/>
  </sheetPr>
  <dimension ref="A1:QB40"/>
  <sheetViews>
    <sheetView showGridLines="0" zoomScaleNormal="100" workbookViewId="0">
      <pane xSplit="7" ySplit="10" topLeftCell="OU11" activePane="bottomRight" state="frozen"/>
      <selection pane="topRight" activeCell="N35" sqref="N35"/>
      <selection pane="bottomLeft" activeCell="N35" sqref="N35"/>
      <selection pane="bottomRight" activeCell="PD29" sqref="PD29"/>
    </sheetView>
  </sheetViews>
  <sheetFormatPr baseColWidth="10" defaultColWidth="11" defaultRowHeight="12" outlineLevelRow="1" outlineLevelCol="1"/>
  <cols>
    <col min="2" max="2" width="31" customWidth="1"/>
    <col min="3" max="3" width="17" customWidth="1" outlineLevel="1"/>
    <col min="4" max="4" width="25" customWidth="1" outlineLevel="1"/>
    <col min="5" max="5" width="3" customWidth="1" outlineLevel="1"/>
    <col min="6" max="6" width="30.3984375" customWidth="1" outlineLevel="1"/>
    <col min="7" max="7" width="3" customWidth="1"/>
    <col min="8" max="8" width="21.59765625" customWidth="1" outlineLevel="1"/>
    <col min="9" max="9" width="3" customWidth="1" outlineLevel="1"/>
    <col min="10" max="10" width="20.59765625" customWidth="1" outlineLevel="1"/>
    <col min="11" max="11" width="4.796875" customWidth="1"/>
    <col min="12" max="12" width="16" customWidth="1"/>
    <col min="13" max="13" width="3" customWidth="1" outlineLevel="1"/>
    <col min="14" max="19" width="16" customWidth="1" outlineLevel="1"/>
    <col min="20" max="20" width="3" customWidth="1" outlineLevel="1"/>
    <col min="21" max="24" width="16" customWidth="1" outlineLevel="1"/>
    <col min="25" max="25" width="3" customWidth="1" outlineLevel="1"/>
    <col min="26" max="26" width="20" customWidth="1" outlineLevel="1"/>
    <col min="27" max="27" width="3" customWidth="1"/>
    <col min="28" max="29" width="16" customWidth="1"/>
    <col min="30" max="30" width="3" customWidth="1"/>
    <col min="31" max="31" width="16" customWidth="1"/>
    <col min="32" max="33" width="16" hidden="1" customWidth="1" outlineLevel="1"/>
    <col min="34" max="34" width="16" hidden="1" customWidth="1" outlineLevel="1" collapsed="1"/>
    <col min="35" max="35" width="16" hidden="1" customWidth="1" outlineLevel="1"/>
    <col min="36" max="36" width="16" customWidth="1" collapsed="1"/>
    <col min="37" max="38" width="16" hidden="1" customWidth="1" outlineLevel="1"/>
    <col min="39" max="39" width="16" hidden="1" customWidth="1" outlineLevel="1" collapsed="1"/>
    <col min="40" max="40" width="16" hidden="1" customWidth="1" outlineLevel="1"/>
    <col min="41" max="41" width="16" customWidth="1" collapsed="1"/>
    <col min="42" max="42" width="16" hidden="1" customWidth="1" outlineLevel="1"/>
    <col min="43" max="43" width="16" hidden="1" customWidth="1" outlineLevel="1" collapsed="1"/>
    <col min="44" max="45" width="16" hidden="1" customWidth="1" outlineLevel="1"/>
    <col min="46" max="46" width="16" customWidth="1" collapsed="1"/>
    <col min="47" max="49" width="16" hidden="1" customWidth="1" outlineLevel="1"/>
    <col min="50" max="50" width="16" hidden="1" customWidth="1" outlineLevel="1" collapsed="1"/>
    <col min="51" max="51" width="16" customWidth="1" collapsed="1"/>
    <col min="52" max="55" width="16" hidden="1" customWidth="1" outlineLevel="1"/>
    <col min="56" max="56" width="16" customWidth="1" collapsed="1"/>
    <col min="57" max="60" width="16" hidden="1" customWidth="1" outlineLevel="1"/>
    <col min="61" max="61" width="16" customWidth="1" collapsed="1"/>
    <col min="62" max="62" width="3" customWidth="1"/>
    <col min="63" max="63" width="21.59765625" customWidth="1"/>
    <col min="64" max="67" width="21.59765625" hidden="1" customWidth="1" outlineLevel="1"/>
    <col min="68" max="68" width="21.59765625" customWidth="1" collapsed="1"/>
    <col min="69" max="72" width="21.59765625" hidden="1" customWidth="1" outlineLevel="1"/>
    <col min="73" max="73" width="21.59765625" customWidth="1" collapsed="1"/>
    <col min="74" max="77" width="21.59765625" hidden="1" customWidth="1" outlineLevel="1"/>
    <col min="78" max="78" width="21.59765625" customWidth="1" collapsed="1"/>
    <col min="79" max="82" width="21.59765625" hidden="1" customWidth="1" outlineLevel="1"/>
    <col min="83" max="83" width="21.59765625" customWidth="1" collapsed="1"/>
    <col min="84" max="87" width="21.59765625" hidden="1" customWidth="1" outlineLevel="1"/>
    <col min="88" max="88" width="21.59765625" customWidth="1" collapsed="1"/>
    <col min="89" max="92" width="21.59765625" hidden="1" customWidth="1" outlineLevel="1"/>
    <col min="93" max="93" width="21.59765625" customWidth="1" collapsed="1"/>
    <col min="94" max="94" width="3" customWidth="1"/>
    <col min="95" max="95" width="16" customWidth="1"/>
    <col min="96" max="97" width="16" hidden="1" customWidth="1" outlineLevel="1"/>
    <col min="98" max="98" width="16" hidden="1" customWidth="1" outlineLevel="1" collapsed="1"/>
    <col min="99" max="99" width="16" hidden="1" customWidth="1" outlineLevel="1"/>
    <col min="100" max="100" width="16" customWidth="1" collapsed="1"/>
    <col min="101" max="102" width="16" hidden="1" customWidth="1" outlineLevel="1"/>
    <col min="103" max="103" width="16" hidden="1" customWidth="1" outlineLevel="1" collapsed="1"/>
    <col min="104" max="104" width="16" hidden="1" customWidth="1" outlineLevel="1"/>
    <col min="105" max="105" width="16" customWidth="1" collapsed="1"/>
    <col min="106" max="106" width="16" hidden="1" customWidth="1" outlineLevel="1"/>
    <col min="107" max="107" width="16" hidden="1" customWidth="1" outlineLevel="1" collapsed="1"/>
    <col min="108" max="109" width="16" hidden="1" customWidth="1" outlineLevel="1"/>
    <col min="110" max="110" width="16" customWidth="1" collapsed="1"/>
    <col min="111" max="113" width="16" hidden="1" customWidth="1" outlineLevel="1"/>
    <col min="114" max="114" width="16" hidden="1" customWidth="1" outlineLevel="1" collapsed="1"/>
    <col min="115" max="115" width="16" customWidth="1" collapsed="1"/>
    <col min="116" max="119" width="16" hidden="1" customWidth="1" outlineLevel="1"/>
    <col min="120" max="120" width="16" customWidth="1" collapsed="1"/>
    <col min="121" max="124" width="16" hidden="1" customWidth="1" outlineLevel="1"/>
    <col min="125" max="125" width="16" customWidth="1" collapsed="1"/>
    <col min="126" max="126" width="3" customWidth="1"/>
    <col min="127" max="127" width="16" customWidth="1"/>
    <col min="128" max="129" width="16" hidden="1" customWidth="1" outlineLevel="1"/>
    <col min="130" max="130" width="16" hidden="1" customWidth="1" outlineLevel="1" collapsed="1"/>
    <col min="131" max="131" width="16" hidden="1" customWidth="1" outlineLevel="1"/>
    <col min="132" max="132" width="16" customWidth="1" collapsed="1"/>
    <col min="133" max="134" width="16" hidden="1" customWidth="1" outlineLevel="1"/>
    <col min="135" max="135" width="16" hidden="1" customWidth="1" outlineLevel="1" collapsed="1"/>
    <col min="136" max="136" width="16" hidden="1" customWidth="1" outlineLevel="1"/>
    <col min="137" max="137" width="16" customWidth="1" collapsed="1"/>
    <col min="138" max="138" width="16" hidden="1" customWidth="1" outlineLevel="1"/>
    <col min="139" max="139" width="16" hidden="1" customWidth="1" outlineLevel="1" collapsed="1"/>
    <col min="140" max="141" width="16" hidden="1" customWidth="1" outlineLevel="1"/>
    <col min="142" max="142" width="16" customWidth="1" collapsed="1"/>
    <col min="143" max="145" width="16" hidden="1" customWidth="1" outlineLevel="1"/>
    <col min="146" max="146" width="16" hidden="1" customWidth="1" outlineLevel="1" collapsed="1"/>
    <col min="147" max="147" width="16" customWidth="1" collapsed="1"/>
    <col min="148" max="151" width="16" hidden="1" customWidth="1" outlineLevel="1"/>
    <col min="152" max="152" width="16" customWidth="1" collapsed="1"/>
    <col min="153" max="156" width="16" hidden="1" customWidth="1" outlineLevel="1"/>
    <col min="157" max="157" width="16" customWidth="1" collapsed="1"/>
    <col min="158" max="158" width="3" customWidth="1"/>
    <col min="159" max="159" width="16" customWidth="1"/>
    <col min="160" max="161" width="16" hidden="1" customWidth="1" outlineLevel="1"/>
    <col min="162" max="162" width="16" hidden="1" customWidth="1" outlineLevel="1" collapsed="1"/>
    <col min="163" max="163" width="16" hidden="1" customWidth="1" outlineLevel="1"/>
    <col min="164" max="164" width="16" customWidth="1" collapsed="1"/>
    <col min="165" max="166" width="16" hidden="1" customWidth="1" outlineLevel="1"/>
    <col min="167" max="167" width="16" hidden="1" customWidth="1" outlineLevel="1" collapsed="1"/>
    <col min="168" max="168" width="16" hidden="1" customWidth="1" outlineLevel="1"/>
    <col min="169" max="169" width="16" customWidth="1" collapsed="1"/>
    <col min="170" max="170" width="16" hidden="1" customWidth="1" outlineLevel="1"/>
    <col min="171" max="171" width="16" hidden="1" customWidth="1" outlineLevel="1" collapsed="1"/>
    <col min="172" max="173" width="16" hidden="1" customWidth="1" outlineLevel="1"/>
    <col min="174" max="174" width="16" customWidth="1" collapsed="1"/>
    <col min="175" max="177" width="16" hidden="1" customWidth="1" outlineLevel="1"/>
    <col min="178" max="178" width="16" hidden="1" customWidth="1" outlineLevel="1" collapsed="1"/>
    <col min="179" max="179" width="16" customWidth="1" collapsed="1"/>
    <col min="180" max="183" width="16" hidden="1" customWidth="1" outlineLevel="1"/>
    <col min="184" max="184" width="16" customWidth="1" collapsed="1"/>
    <col min="185" max="188" width="16" hidden="1" customWidth="1" outlineLevel="1"/>
    <col min="189" max="189" width="16" customWidth="1" collapsed="1"/>
    <col min="190" max="190" width="3" customWidth="1"/>
    <col min="191" max="191" width="16" customWidth="1"/>
    <col min="192" max="193" width="16" hidden="1" customWidth="1" outlineLevel="1"/>
    <col min="194" max="194" width="16" hidden="1" customWidth="1" outlineLevel="1" collapsed="1"/>
    <col min="195" max="195" width="16" hidden="1" customWidth="1" outlineLevel="1"/>
    <col min="196" max="196" width="16" customWidth="1" collapsed="1"/>
    <col min="197" max="198" width="16" hidden="1" customWidth="1" outlineLevel="1"/>
    <col min="199" max="199" width="16" hidden="1" customWidth="1" outlineLevel="1" collapsed="1"/>
    <col min="200" max="200" width="16" hidden="1" customWidth="1" outlineLevel="1"/>
    <col min="201" max="201" width="16" customWidth="1" collapsed="1"/>
    <col min="202" max="202" width="16" hidden="1" customWidth="1" outlineLevel="1"/>
    <col min="203" max="203" width="16" hidden="1" customWidth="1" outlineLevel="1" collapsed="1"/>
    <col min="204" max="205" width="16" hidden="1" customWidth="1" outlineLevel="1"/>
    <col min="206" max="206" width="16" customWidth="1" collapsed="1"/>
    <col min="207" max="209" width="16" hidden="1" customWidth="1" outlineLevel="1"/>
    <col min="210" max="210" width="16" hidden="1" customWidth="1" outlineLevel="1" collapsed="1"/>
    <col min="211" max="211" width="16" customWidth="1" collapsed="1"/>
    <col min="212" max="215" width="16" hidden="1" customWidth="1" outlineLevel="1"/>
    <col min="216" max="216" width="16" customWidth="1" collapsed="1"/>
    <col min="217" max="220" width="16" hidden="1" customWidth="1" outlineLevel="1"/>
    <col min="221" max="221" width="16" customWidth="1" collapsed="1"/>
    <col min="222" max="222" width="3" customWidth="1"/>
    <col min="223" max="224" width="16" customWidth="1"/>
    <col min="225" max="225" width="3" customWidth="1"/>
    <col min="226" max="226" width="16" customWidth="1"/>
    <col min="227" max="228" width="16" hidden="1" customWidth="1" outlineLevel="1"/>
    <col min="229" max="229" width="16" hidden="1" customWidth="1" outlineLevel="1" collapsed="1"/>
    <col min="230" max="230" width="16" hidden="1" customWidth="1" outlineLevel="1"/>
    <col min="231" max="231" width="16" customWidth="1" collapsed="1"/>
    <col min="232" max="233" width="16" hidden="1" customWidth="1" outlineLevel="1"/>
    <col min="234" max="234" width="16" hidden="1" customWidth="1" outlineLevel="1" collapsed="1"/>
    <col min="235" max="235" width="16" hidden="1" customWidth="1" outlineLevel="1"/>
    <col min="236" max="236" width="16" customWidth="1" collapsed="1"/>
    <col min="237" max="237" width="16" hidden="1" customWidth="1" outlineLevel="1"/>
    <col min="238" max="238" width="16" hidden="1" customWidth="1" outlineLevel="1" collapsed="1"/>
    <col min="239" max="240" width="16" hidden="1" customWidth="1" outlineLevel="1"/>
    <col min="241" max="241" width="16" customWidth="1" collapsed="1"/>
    <col min="242" max="244" width="16" hidden="1" customWidth="1" outlineLevel="1"/>
    <col min="245" max="245" width="16" hidden="1" customWidth="1" outlineLevel="1" collapsed="1"/>
    <col min="246" max="246" width="16" customWidth="1" collapsed="1"/>
    <col min="247" max="250" width="16" hidden="1" customWidth="1" outlineLevel="1"/>
    <col min="251" max="251" width="16" customWidth="1" collapsed="1"/>
    <col min="252" max="255" width="16" hidden="1" customWidth="1" outlineLevel="1"/>
    <col min="256" max="256" width="16" customWidth="1" collapsed="1"/>
    <col min="257" max="257" width="3" customWidth="1"/>
    <col min="258" max="258" width="16" customWidth="1"/>
    <col min="259" max="260" width="16" hidden="1" customWidth="1" outlineLevel="1"/>
    <col min="261" max="261" width="16" hidden="1" customWidth="1" outlineLevel="1" collapsed="1"/>
    <col min="262" max="262" width="16" hidden="1" customWidth="1" outlineLevel="1"/>
    <col min="263" max="263" width="16" customWidth="1" collapsed="1"/>
    <col min="264" max="265" width="16" hidden="1" customWidth="1" outlineLevel="1"/>
    <col min="266" max="266" width="16" hidden="1" customWidth="1" outlineLevel="1" collapsed="1"/>
    <col min="267" max="267" width="16" hidden="1" customWidth="1" outlineLevel="1"/>
    <col min="268" max="268" width="16" customWidth="1" collapsed="1"/>
    <col min="269" max="269" width="16" hidden="1" customWidth="1" outlineLevel="1"/>
    <col min="270" max="270" width="16" hidden="1" customWidth="1" outlineLevel="1" collapsed="1"/>
    <col min="271" max="272" width="16" hidden="1" customWidth="1" outlineLevel="1"/>
    <col min="273" max="273" width="16" customWidth="1" collapsed="1"/>
    <col min="274" max="276" width="16" hidden="1" customWidth="1" outlineLevel="1"/>
    <col min="277" max="277" width="16" hidden="1" customWidth="1" outlineLevel="1" collapsed="1"/>
    <col min="278" max="278" width="16" customWidth="1" collapsed="1"/>
    <col min="279" max="282" width="16" hidden="1" customWidth="1" outlineLevel="1"/>
    <col min="283" max="283" width="16" customWidth="1" collapsed="1"/>
    <col min="284" max="287" width="16" hidden="1" customWidth="1" outlineLevel="1"/>
    <col min="288" max="288" width="16" customWidth="1" collapsed="1"/>
    <col min="289" max="289" width="3" customWidth="1"/>
    <col min="290" max="290" width="16" customWidth="1"/>
    <col min="291" max="292" width="16" hidden="1" customWidth="1" outlineLevel="1"/>
    <col min="293" max="293" width="16" hidden="1" customWidth="1" outlineLevel="1" collapsed="1"/>
    <col min="294" max="294" width="16" hidden="1" customWidth="1" outlineLevel="1"/>
    <col min="295" max="295" width="16" customWidth="1" collapsed="1"/>
    <col min="296" max="297" width="16" hidden="1" customWidth="1" outlineLevel="1"/>
    <col min="298" max="298" width="16" hidden="1" customWidth="1" outlineLevel="1" collapsed="1"/>
    <col min="299" max="299" width="16" hidden="1" customWidth="1" outlineLevel="1"/>
    <col min="300" max="300" width="16" customWidth="1" collapsed="1"/>
    <col min="301" max="301" width="16" hidden="1" customWidth="1" outlineLevel="1"/>
    <col min="302" max="302" width="16" hidden="1" customWidth="1" outlineLevel="1" collapsed="1"/>
    <col min="303" max="304" width="16" hidden="1" customWidth="1" outlineLevel="1"/>
    <col min="305" max="305" width="16" customWidth="1" collapsed="1"/>
    <col min="306" max="308" width="16" hidden="1" customWidth="1" outlineLevel="1"/>
    <col min="309" max="309" width="16" hidden="1" customWidth="1" outlineLevel="1" collapsed="1"/>
    <col min="310" max="310" width="16" customWidth="1" collapsed="1"/>
    <col min="311" max="314" width="16" hidden="1" customWidth="1" outlineLevel="1"/>
    <col min="315" max="315" width="16" customWidth="1" collapsed="1"/>
    <col min="316" max="319" width="16" hidden="1" customWidth="1" outlineLevel="1"/>
    <col min="320" max="320" width="16" customWidth="1" collapsed="1"/>
    <col min="321" max="321" width="3" customWidth="1"/>
    <col min="322" max="322" width="16" customWidth="1"/>
    <col min="323" max="324" width="16" hidden="1" customWidth="1" outlineLevel="1"/>
    <col min="325" max="325" width="16" hidden="1" customWidth="1" outlineLevel="1" collapsed="1"/>
    <col min="326" max="326" width="16" hidden="1" customWidth="1" outlineLevel="1"/>
    <col min="327" max="327" width="16" customWidth="1" collapsed="1"/>
    <col min="328" max="329" width="16" hidden="1" customWidth="1" outlineLevel="1"/>
    <col min="330" max="330" width="16" hidden="1" customWidth="1" outlineLevel="1" collapsed="1"/>
    <col min="331" max="331" width="16" hidden="1" customWidth="1" outlineLevel="1"/>
    <col min="332" max="332" width="16" customWidth="1" collapsed="1"/>
    <col min="333" max="333" width="16" hidden="1" customWidth="1" outlineLevel="1"/>
    <col min="334" max="334" width="16" hidden="1" customWidth="1" outlineLevel="1" collapsed="1"/>
    <col min="335" max="336" width="16" hidden="1" customWidth="1" outlineLevel="1"/>
    <col min="337" max="337" width="16" customWidth="1" collapsed="1"/>
    <col min="338" max="340" width="16" hidden="1" customWidth="1" outlineLevel="1"/>
    <col min="341" max="341" width="16" hidden="1" customWidth="1" outlineLevel="1" collapsed="1"/>
    <col min="342" max="342" width="16" customWidth="1" collapsed="1"/>
    <col min="343" max="346" width="16" hidden="1" customWidth="1" outlineLevel="1"/>
    <col min="347" max="347" width="16" customWidth="1" collapsed="1"/>
    <col min="348" max="351" width="16" hidden="1" customWidth="1" outlineLevel="1"/>
    <col min="352" max="352" width="16" customWidth="1" collapsed="1"/>
    <col min="353" max="353" width="3" customWidth="1"/>
    <col min="354" max="354" width="16" customWidth="1"/>
    <col min="355" max="356" width="16" hidden="1" customWidth="1" outlineLevel="1"/>
    <col min="357" max="357" width="16" hidden="1" customWidth="1" outlineLevel="1" collapsed="1"/>
    <col min="358" max="358" width="16" hidden="1" customWidth="1" outlineLevel="1"/>
    <col min="359" max="359" width="16" customWidth="1" collapsed="1"/>
    <col min="360" max="361" width="16" hidden="1" customWidth="1" outlineLevel="1"/>
    <col min="362" max="362" width="16" hidden="1" customWidth="1" outlineLevel="1" collapsed="1"/>
    <col min="363" max="363" width="16" hidden="1" customWidth="1" outlineLevel="1"/>
    <col min="364" max="364" width="16" customWidth="1" collapsed="1"/>
    <col min="365" max="365" width="16" hidden="1" customWidth="1" outlineLevel="1"/>
    <col min="366" max="366" width="16" hidden="1" customWidth="1" outlineLevel="1" collapsed="1"/>
    <col min="367" max="368" width="16" hidden="1" customWidth="1" outlineLevel="1"/>
    <col min="369" max="369" width="16" customWidth="1" collapsed="1"/>
    <col min="370" max="372" width="16" hidden="1" customWidth="1" outlineLevel="1"/>
    <col min="373" max="373" width="16" hidden="1" customWidth="1" outlineLevel="1" collapsed="1"/>
    <col min="374" max="374" width="16" customWidth="1" collapsed="1"/>
    <col min="375" max="378" width="16" hidden="1" customWidth="1" outlineLevel="1"/>
    <col min="379" max="379" width="16" customWidth="1" collapsed="1"/>
    <col min="380" max="383" width="16" hidden="1" customWidth="1" outlineLevel="1"/>
    <col min="384" max="384" width="16" customWidth="1" collapsed="1"/>
    <col min="385" max="385" width="3" customWidth="1"/>
    <col min="386" max="386" width="16" customWidth="1"/>
    <col min="387" max="388" width="16" hidden="1" customWidth="1" outlineLevel="1"/>
    <col min="389" max="389" width="16" hidden="1" customWidth="1" outlineLevel="1" collapsed="1"/>
    <col min="390" max="390" width="16" hidden="1" customWidth="1" outlineLevel="1"/>
    <col min="391" max="391" width="16" customWidth="1" collapsed="1"/>
    <col min="392" max="393" width="16" hidden="1" customWidth="1" outlineLevel="1"/>
    <col min="394" max="394" width="16" hidden="1" customWidth="1" outlineLevel="1" collapsed="1"/>
    <col min="395" max="395" width="16" hidden="1" customWidth="1" outlineLevel="1"/>
    <col min="396" max="396" width="16" customWidth="1" collapsed="1"/>
    <col min="397" max="397" width="16" hidden="1" customWidth="1" outlineLevel="1"/>
    <col min="398" max="398" width="16" hidden="1" customWidth="1" outlineLevel="1" collapsed="1"/>
    <col min="399" max="400" width="16" hidden="1" customWidth="1" outlineLevel="1"/>
    <col min="401" max="401" width="16" customWidth="1" collapsed="1"/>
    <col min="402" max="404" width="16" hidden="1" customWidth="1" outlineLevel="1"/>
    <col min="405" max="405" width="16" hidden="1" customWidth="1" outlineLevel="1" collapsed="1"/>
    <col min="406" max="406" width="16" customWidth="1" collapsed="1"/>
    <col min="407" max="410" width="16" hidden="1" customWidth="1" outlineLevel="1"/>
    <col min="411" max="411" width="16" customWidth="1" collapsed="1"/>
    <col min="412" max="415" width="16" hidden="1" customWidth="1" outlineLevel="1"/>
    <col min="416" max="416" width="16" customWidth="1" collapsed="1"/>
    <col min="417" max="417" width="3" customWidth="1"/>
    <col min="418" max="418" width="28.59765625" bestFit="1" customWidth="1"/>
    <col min="419" max="419" width="28.59765625" customWidth="1"/>
    <col min="420" max="420" width="20.3984375" bestFit="1" customWidth="1"/>
    <col min="421" max="421" width="20.3984375" customWidth="1"/>
    <col min="422" max="422" width="16" customWidth="1"/>
    <col min="423" max="423" width="3" customWidth="1"/>
    <col min="424" max="427" width="16" customWidth="1"/>
    <col min="428" max="428" width="3" customWidth="1"/>
    <col min="429" max="434" width="16" customWidth="1"/>
    <col min="435" max="435" width="3" customWidth="1"/>
    <col min="436" max="439" width="21" customWidth="1"/>
    <col min="440" max="440" width="4.59765625" customWidth="1"/>
    <col min="441" max="441" width="5" customWidth="1"/>
  </cols>
  <sheetData>
    <row r="1" spans="1:444" s="5" customFormat="1" ht="29" thickBot="1">
      <c r="A1" s="5" t="s">
        <v>499</v>
      </c>
    </row>
    <row r="4" spans="1:444" ht="19" thickBot="1">
      <c r="H4" s="9" t="s">
        <v>474</v>
      </c>
      <c r="I4" s="9"/>
      <c r="J4" s="9"/>
      <c r="K4" s="9"/>
      <c r="L4" s="9"/>
      <c r="M4" s="9"/>
      <c r="N4" s="9"/>
      <c r="O4" s="9"/>
      <c r="P4" s="9"/>
      <c r="Q4" s="9"/>
      <c r="R4" s="9"/>
      <c r="S4" s="9"/>
      <c r="T4" s="9"/>
      <c r="U4" s="9"/>
      <c r="V4" s="9"/>
      <c r="W4" s="9"/>
      <c r="X4" s="9"/>
      <c r="Y4" s="9"/>
      <c r="Z4" s="9"/>
      <c r="AB4" s="9" t="s">
        <v>398</v>
      </c>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O4" s="9" t="s">
        <v>399</v>
      </c>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W4" s="9"/>
      <c r="IX4" s="9"/>
      <c r="IY4" s="9"/>
      <c r="IZ4" s="9"/>
      <c r="JA4" s="9"/>
      <c r="JB4" s="9"/>
      <c r="JC4" s="9"/>
      <c r="JD4" s="9"/>
      <c r="JE4" s="9"/>
      <c r="JF4" s="9"/>
      <c r="JG4" s="9"/>
      <c r="JH4" s="9"/>
      <c r="JI4" s="9"/>
      <c r="JJ4" s="9"/>
      <c r="JK4" s="9"/>
      <c r="JL4" s="9"/>
      <c r="JM4" s="9"/>
      <c r="JN4" s="9"/>
      <c r="JO4" s="9"/>
      <c r="JP4" s="9"/>
      <c r="JQ4" s="9"/>
      <c r="JR4" s="9"/>
      <c r="JS4" s="9"/>
      <c r="JT4" s="9"/>
      <c r="JU4" s="9"/>
      <c r="JV4" s="9"/>
      <c r="JW4" s="9"/>
      <c r="JX4" s="9"/>
      <c r="JY4" s="9"/>
      <c r="JZ4" s="9"/>
      <c r="KA4" s="9"/>
      <c r="KB4" s="9"/>
      <c r="KC4" s="9"/>
      <c r="KD4" s="9"/>
      <c r="KE4" s="9"/>
      <c r="KF4" s="9"/>
      <c r="KG4" s="9"/>
      <c r="KH4" s="9"/>
      <c r="KI4" s="9"/>
      <c r="KJ4" s="9"/>
      <c r="KK4" s="9"/>
      <c r="KL4" s="9"/>
      <c r="KM4" s="9"/>
      <c r="KN4" s="9"/>
      <c r="KO4" s="9"/>
      <c r="KP4" s="9"/>
      <c r="KQ4" s="9"/>
      <c r="KR4" s="9"/>
      <c r="KS4" s="9"/>
      <c r="KT4" s="9"/>
      <c r="KU4" s="9"/>
      <c r="KV4" s="9"/>
      <c r="KW4" s="9"/>
      <c r="KX4" s="9"/>
      <c r="KY4" s="9"/>
      <c r="KZ4" s="9"/>
      <c r="LA4" s="9"/>
      <c r="LB4" s="9"/>
      <c r="LC4" s="9"/>
      <c r="LD4" s="9"/>
      <c r="LE4" s="9"/>
      <c r="LF4" s="9"/>
      <c r="LG4" s="9"/>
      <c r="LH4" s="9"/>
      <c r="LI4" s="9"/>
      <c r="LJ4" s="9"/>
      <c r="LK4" s="9"/>
      <c r="LL4" s="9"/>
      <c r="LM4" s="9"/>
      <c r="LN4" s="9"/>
      <c r="LO4" s="9"/>
      <c r="LP4" s="9"/>
      <c r="LQ4" s="9"/>
      <c r="LR4" s="9"/>
      <c r="LS4" s="9"/>
      <c r="LT4" s="9"/>
      <c r="LU4" s="9"/>
      <c r="LV4" s="9"/>
      <c r="LW4" s="9"/>
      <c r="LX4" s="9"/>
      <c r="LY4" s="9"/>
      <c r="LZ4" s="9"/>
      <c r="MA4" s="9"/>
      <c r="MB4" s="9"/>
      <c r="MC4" s="9"/>
      <c r="MD4" s="9"/>
      <c r="ME4" s="9"/>
      <c r="MF4" s="9"/>
      <c r="MG4" s="9"/>
      <c r="MH4" s="9"/>
      <c r="MI4" s="9"/>
      <c r="MJ4" s="9"/>
      <c r="MK4" s="9"/>
      <c r="ML4" s="9"/>
      <c r="MM4" s="9"/>
      <c r="MN4" s="9"/>
      <c r="MO4" s="9"/>
      <c r="MP4" s="9"/>
      <c r="MQ4" s="9"/>
      <c r="MR4" s="9"/>
      <c r="MS4" s="9"/>
      <c r="MT4" s="9"/>
      <c r="MU4" s="9"/>
      <c r="MV4" s="9"/>
      <c r="MW4" s="9"/>
      <c r="MX4" s="9"/>
      <c r="MY4" s="9"/>
      <c r="MZ4" s="9"/>
      <c r="NA4" s="9"/>
      <c r="NB4" s="9"/>
      <c r="NC4" s="9"/>
      <c r="ND4" s="9"/>
      <c r="NE4" s="9"/>
      <c r="NF4" s="9"/>
      <c r="NG4" s="9"/>
      <c r="NH4" s="9"/>
      <c r="NI4" s="9"/>
      <c r="NJ4" s="9"/>
      <c r="NK4" s="9"/>
      <c r="NL4" s="9"/>
      <c r="NM4" s="9"/>
      <c r="NN4" s="9"/>
      <c r="NO4" s="9"/>
      <c r="NP4" s="9"/>
      <c r="NQ4" s="9"/>
      <c r="NR4" s="9"/>
      <c r="NS4" s="9"/>
      <c r="NT4" s="9"/>
      <c r="NU4" s="9"/>
      <c r="NV4" s="9"/>
      <c r="NW4" s="9"/>
      <c r="NX4" s="9"/>
      <c r="NY4" s="9"/>
      <c r="NZ4" s="9"/>
      <c r="OA4" s="9"/>
      <c r="OB4" s="9"/>
      <c r="OC4" s="9"/>
      <c r="OD4" s="9"/>
      <c r="OE4" s="9"/>
      <c r="OF4" s="9"/>
      <c r="OG4" s="9"/>
      <c r="OH4" s="9"/>
      <c r="OI4" s="9"/>
      <c r="OJ4" s="9"/>
      <c r="OK4" s="9"/>
      <c r="OL4" s="9"/>
      <c r="OM4" s="9"/>
      <c r="ON4" s="9"/>
      <c r="OO4" s="9"/>
      <c r="OP4" s="9"/>
      <c r="OQ4" s="9"/>
      <c r="OR4" s="9"/>
      <c r="OS4" s="9"/>
      <c r="OT4" s="9"/>
      <c r="OU4" s="9"/>
      <c r="OV4" s="9"/>
      <c r="OW4" s="9"/>
      <c r="OX4" s="9"/>
      <c r="OY4" s="9"/>
      <c r="OZ4" s="9"/>
      <c r="PB4" s="9" t="s">
        <v>414</v>
      </c>
      <c r="PC4" s="9"/>
      <c r="PD4" s="9"/>
      <c r="PE4" s="9"/>
      <c r="PF4" s="9"/>
      <c r="PG4" s="9"/>
      <c r="PH4" s="9"/>
      <c r="PI4" s="9"/>
      <c r="PJ4" s="9"/>
      <c r="PK4" s="9"/>
      <c r="PL4" s="9"/>
      <c r="PM4" s="9"/>
      <c r="PN4" s="9"/>
      <c r="PO4" s="9"/>
      <c r="PP4" s="9"/>
      <c r="PQ4" s="9"/>
      <c r="PR4" s="9"/>
      <c r="PS4" s="9"/>
      <c r="PT4" s="9"/>
      <c r="PU4" s="9"/>
      <c r="PV4" s="9"/>
      <c r="PW4" s="9"/>
      <c r="PZ4" s="9" t="s">
        <v>415</v>
      </c>
      <c r="QA4" s="9"/>
      <c r="QB4" s="9"/>
    </row>
    <row r="6" spans="1:444" ht="15" thickBot="1">
      <c r="N6" s="83" t="s">
        <v>279</v>
      </c>
      <c r="O6" s="83"/>
      <c r="P6" s="83"/>
      <c r="Q6" s="83"/>
      <c r="R6" s="83"/>
      <c r="S6" s="83"/>
      <c r="U6" s="83" t="s">
        <v>302</v>
      </c>
      <c r="V6" s="83"/>
      <c r="W6" s="83"/>
      <c r="X6" s="83"/>
      <c r="Y6" s="83"/>
      <c r="Z6" s="83"/>
    </row>
    <row r="8" spans="1:444" ht="39" customHeight="1">
      <c r="H8" s="11" t="s">
        <v>203</v>
      </c>
      <c r="J8" s="11" t="s">
        <v>392</v>
      </c>
      <c r="L8" s="11" t="s">
        <v>443</v>
      </c>
      <c r="N8" s="11" t="str" cm="1">
        <f t="array" aca="1" ref="N8" ca="1">TRANSPOSE(OFFSET(lists_reserves,,,COUNTA(lists_reserves)))</f>
        <v>regulating_up</v>
      </c>
      <c r="O8" s="11"/>
      <c r="P8" s="11"/>
      <c r="Q8" s="11"/>
      <c r="R8" s="11"/>
      <c r="S8" s="11"/>
      <c r="U8" s="11" t="e" cm="1" vm="1">
        <f t="array" aca="1" ref="U8" ca="1">TRANSPOSE(OFFSET(lists_prm,,,COUNTA(lists_prm)))</f>
        <v>#VALUE!</v>
      </c>
      <c r="V8" s="11"/>
      <c r="W8" s="11"/>
      <c r="X8" s="11"/>
      <c r="Z8" s="11" t="s">
        <v>349</v>
      </c>
      <c r="AB8" s="6" t="s">
        <v>417</v>
      </c>
      <c r="AC8" s="6" t="s">
        <v>418</v>
      </c>
      <c r="AE8" s="6" t="s">
        <v>400</v>
      </c>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K8" s="11" t="s">
        <v>500</v>
      </c>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Q8" s="6" t="s">
        <v>501</v>
      </c>
      <c r="CR8" s="6"/>
      <c r="CS8" s="6"/>
      <c r="CT8" s="6"/>
      <c r="CU8" s="6"/>
      <c r="CV8" s="6"/>
      <c r="CW8" s="6"/>
      <c r="CX8" s="6"/>
      <c r="CY8" s="6"/>
      <c r="CZ8" s="6"/>
      <c r="DA8" s="6"/>
      <c r="DB8" s="6"/>
      <c r="DC8" s="6"/>
      <c r="DD8" s="6"/>
      <c r="DE8" s="6"/>
      <c r="DF8" s="6"/>
      <c r="DG8" s="6"/>
      <c r="DH8" s="6"/>
      <c r="DI8" s="6"/>
      <c r="DJ8" s="6"/>
      <c r="DK8" s="6"/>
      <c r="DL8" s="6"/>
      <c r="DM8" s="6"/>
      <c r="DN8" s="6"/>
      <c r="DO8" s="6"/>
      <c r="DP8" s="6"/>
      <c r="DQ8" s="6"/>
      <c r="DR8" s="6"/>
      <c r="DS8" s="6"/>
      <c r="DT8" s="6"/>
      <c r="DU8" s="6"/>
      <c r="DW8" s="6" t="s">
        <v>419</v>
      </c>
      <c r="DX8" s="6"/>
      <c r="DY8" s="6"/>
      <c r="DZ8" s="6"/>
      <c r="EA8" s="6"/>
      <c r="EB8" s="6"/>
      <c r="EC8" s="6"/>
      <c r="ED8" s="6"/>
      <c r="EE8" s="6"/>
      <c r="EF8" s="6"/>
      <c r="EG8" s="6"/>
      <c r="EH8" s="6"/>
      <c r="EI8" s="6"/>
      <c r="EJ8" s="6"/>
      <c r="EK8" s="6"/>
      <c r="EL8" s="6"/>
      <c r="EM8" s="6"/>
      <c r="EN8" s="6"/>
      <c r="EO8" s="6"/>
      <c r="EP8" s="6"/>
      <c r="EQ8" s="6"/>
      <c r="ER8" s="6"/>
      <c r="ES8" s="6"/>
      <c r="ET8" s="6"/>
      <c r="EU8" s="6"/>
      <c r="EV8" s="6"/>
      <c r="EW8" s="6"/>
      <c r="EX8" s="6"/>
      <c r="EY8" s="6"/>
      <c r="EZ8" s="6"/>
      <c r="FA8" s="6"/>
      <c r="FC8" s="6" t="s">
        <v>401</v>
      </c>
      <c r="FD8" s="6"/>
      <c r="FE8" s="6"/>
      <c r="FF8" s="6"/>
      <c r="FG8" s="6"/>
      <c r="FH8" s="6"/>
      <c r="FI8" s="6"/>
      <c r="FJ8" s="6"/>
      <c r="FK8" s="6"/>
      <c r="FL8" s="6"/>
      <c r="FM8" s="6"/>
      <c r="FN8" s="6"/>
      <c r="FO8" s="6"/>
      <c r="FP8" s="6"/>
      <c r="FQ8" s="6"/>
      <c r="FR8" s="6"/>
      <c r="FS8" s="6"/>
      <c r="FT8" s="6"/>
      <c r="FU8" s="6"/>
      <c r="FV8" s="6"/>
      <c r="FW8" s="6"/>
      <c r="FX8" s="6"/>
      <c r="FY8" s="6"/>
      <c r="FZ8" s="6"/>
      <c r="GA8" s="6"/>
      <c r="GB8" s="6"/>
      <c r="GC8" s="6"/>
      <c r="GD8" s="6"/>
      <c r="GE8" s="6"/>
      <c r="GF8" s="6"/>
      <c r="GG8" s="6"/>
      <c r="GI8" s="6" t="s">
        <v>403</v>
      </c>
      <c r="GJ8" s="6"/>
      <c r="GK8" s="6"/>
      <c r="GL8" s="6"/>
      <c r="GM8" s="6"/>
      <c r="GN8" s="6"/>
      <c r="GO8" s="6"/>
      <c r="GP8" s="6"/>
      <c r="GQ8" s="6"/>
      <c r="GR8" s="6"/>
      <c r="GS8" s="6"/>
      <c r="GT8" s="6"/>
      <c r="GU8" s="6"/>
      <c r="GV8" s="6"/>
      <c r="GW8" s="6"/>
      <c r="GX8" s="6"/>
      <c r="GY8" s="6"/>
      <c r="GZ8" s="6"/>
      <c r="HA8" s="6"/>
      <c r="HB8" s="6"/>
      <c r="HC8" s="6"/>
      <c r="HD8" s="6"/>
      <c r="HE8" s="6"/>
      <c r="HF8" s="6"/>
      <c r="HG8" s="6"/>
      <c r="HH8" s="6"/>
      <c r="HI8" s="6"/>
      <c r="HJ8" s="6"/>
      <c r="HK8" s="6"/>
      <c r="HL8" s="6"/>
      <c r="HM8" s="6"/>
      <c r="HO8" s="11" t="s">
        <v>420</v>
      </c>
      <c r="HP8" s="11" t="s">
        <v>476</v>
      </c>
      <c r="HR8" s="6" t="s">
        <v>404</v>
      </c>
      <c r="HS8" s="6"/>
      <c r="HT8" s="6"/>
      <c r="HU8" s="6"/>
      <c r="HV8" s="6"/>
      <c r="HW8" s="6"/>
      <c r="HX8" s="6"/>
      <c r="HY8" s="6"/>
      <c r="HZ8" s="6"/>
      <c r="IA8" s="6"/>
      <c r="IB8" s="6"/>
      <c r="IC8" s="6"/>
      <c r="ID8" s="6"/>
      <c r="IE8" s="6"/>
      <c r="IF8" s="6"/>
      <c r="IG8" s="6"/>
      <c r="IH8" s="6"/>
      <c r="II8" s="6"/>
      <c r="IJ8" s="6"/>
      <c r="IK8" s="6"/>
      <c r="IL8" s="6"/>
      <c r="IM8" s="6"/>
      <c r="IN8" s="6"/>
      <c r="IO8" s="6"/>
      <c r="IP8" s="6"/>
      <c r="IQ8" s="6"/>
      <c r="IR8" s="6"/>
      <c r="IS8" s="6"/>
      <c r="IT8" s="6"/>
      <c r="IU8" s="6"/>
      <c r="IV8" s="6"/>
      <c r="IX8" s="6" t="s">
        <v>421</v>
      </c>
      <c r="IY8" s="6"/>
      <c r="IZ8" s="6"/>
      <c r="JA8" s="6"/>
      <c r="JB8" s="6"/>
      <c r="JC8" s="6"/>
      <c r="JD8" s="6"/>
      <c r="JE8" s="6"/>
      <c r="JF8" s="6"/>
      <c r="JG8" s="6"/>
      <c r="JH8" s="6"/>
      <c r="JI8" s="6"/>
      <c r="JJ8" s="6"/>
      <c r="JK8" s="6"/>
      <c r="JL8" s="6"/>
      <c r="JM8" s="6"/>
      <c r="JN8" s="6"/>
      <c r="JO8" s="6"/>
      <c r="JP8" s="6"/>
      <c r="JQ8" s="6"/>
      <c r="JR8" s="6"/>
      <c r="JS8" s="6"/>
      <c r="JT8" s="6"/>
      <c r="JU8" s="6"/>
      <c r="JV8" s="6"/>
      <c r="JW8" s="6"/>
      <c r="JX8" s="6"/>
      <c r="JY8" s="6"/>
      <c r="JZ8" s="6"/>
      <c r="KA8" s="6"/>
      <c r="KB8" s="6"/>
      <c r="KD8" s="6" t="s">
        <v>422</v>
      </c>
      <c r="KE8" s="6"/>
      <c r="KF8" s="6"/>
      <c r="KG8" s="6"/>
      <c r="KH8" s="6"/>
      <c r="KI8" s="6"/>
      <c r="KJ8" s="6"/>
      <c r="KK8" s="6"/>
      <c r="KL8" s="6"/>
      <c r="KM8" s="6"/>
      <c r="KN8" s="6"/>
      <c r="KO8" s="6"/>
      <c r="KP8" s="6"/>
      <c r="KQ8" s="6"/>
      <c r="KR8" s="6"/>
      <c r="KS8" s="6"/>
      <c r="KT8" s="6"/>
      <c r="KU8" s="6"/>
      <c r="KV8" s="6"/>
      <c r="KW8" s="6"/>
      <c r="KX8" s="6"/>
      <c r="KY8" s="6"/>
      <c r="KZ8" s="6"/>
      <c r="LA8" s="6"/>
      <c r="LB8" s="6"/>
      <c r="LC8" s="6"/>
      <c r="LD8" s="6"/>
      <c r="LE8" s="6"/>
      <c r="LF8" s="6"/>
      <c r="LG8" s="6"/>
      <c r="LH8" s="6"/>
      <c r="LJ8" s="6" t="s">
        <v>502</v>
      </c>
      <c r="LK8" s="6"/>
      <c r="LL8" s="6"/>
      <c r="LM8" s="6"/>
      <c r="LN8" s="6"/>
      <c r="LO8" s="6"/>
      <c r="LP8" s="6"/>
      <c r="LQ8" s="6"/>
      <c r="LR8" s="6"/>
      <c r="LS8" s="6"/>
      <c r="LT8" s="6"/>
      <c r="LU8" s="6"/>
      <c r="LV8" s="6"/>
      <c r="LW8" s="6"/>
      <c r="LX8" s="6"/>
      <c r="LY8" s="6"/>
      <c r="LZ8" s="6"/>
      <c r="MA8" s="6"/>
      <c r="MB8" s="6"/>
      <c r="MC8" s="6"/>
      <c r="MD8" s="6"/>
      <c r="ME8" s="6"/>
      <c r="MF8" s="6"/>
      <c r="MG8" s="6"/>
      <c r="MH8" s="6"/>
      <c r="MI8" s="6"/>
      <c r="MJ8" s="6"/>
      <c r="MK8" s="6"/>
      <c r="ML8" s="6"/>
      <c r="MM8" s="6"/>
      <c r="MN8" s="6"/>
      <c r="MP8" s="6" t="s">
        <v>503</v>
      </c>
      <c r="MQ8" s="6"/>
      <c r="MR8" s="6"/>
      <c r="MS8" s="6"/>
      <c r="MT8" s="6"/>
      <c r="MU8" s="6"/>
      <c r="MV8" s="6"/>
      <c r="MW8" s="6"/>
      <c r="MX8" s="6"/>
      <c r="MY8" s="6"/>
      <c r="MZ8" s="6"/>
      <c r="NA8" s="6"/>
      <c r="NB8" s="6"/>
      <c r="NC8" s="6"/>
      <c r="ND8" s="6"/>
      <c r="NE8" s="6"/>
      <c r="NF8" s="6"/>
      <c r="NG8" s="6"/>
      <c r="NH8" s="6"/>
      <c r="NI8" s="6"/>
      <c r="NJ8" s="6"/>
      <c r="NK8" s="6"/>
      <c r="NL8" s="6"/>
      <c r="NM8" s="6"/>
      <c r="NN8" s="6"/>
      <c r="NO8" s="6"/>
      <c r="NP8" s="6"/>
      <c r="NQ8" s="6"/>
      <c r="NR8" s="6"/>
      <c r="NS8" s="6"/>
      <c r="NT8" s="6"/>
      <c r="NV8" s="6" t="s">
        <v>504</v>
      </c>
      <c r="NW8" s="6"/>
      <c r="NX8" s="6"/>
      <c r="NY8" s="6"/>
      <c r="NZ8" s="6"/>
      <c r="OA8" s="6"/>
      <c r="OB8" s="6"/>
      <c r="OC8" s="6"/>
      <c r="OD8" s="6"/>
      <c r="OE8" s="6"/>
      <c r="OF8" s="6"/>
      <c r="OG8" s="6"/>
      <c r="OH8" s="6"/>
      <c r="OI8" s="6"/>
      <c r="OJ8" s="6"/>
      <c r="OK8" s="6"/>
      <c r="OL8" s="6"/>
      <c r="OM8" s="6"/>
      <c r="ON8" s="6"/>
      <c r="OO8" s="6"/>
      <c r="OP8" s="6"/>
      <c r="OQ8" s="6"/>
      <c r="OR8" s="6"/>
      <c r="OS8" s="6"/>
      <c r="OT8" s="6"/>
      <c r="OU8" s="6"/>
      <c r="OV8" s="6"/>
      <c r="OW8" s="6"/>
      <c r="OX8" s="6"/>
      <c r="OY8" s="6"/>
      <c r="OZ8" s="6"/>
      <c r="PB8" s="11" t="s">
        <v>505</v>
      </c>
      <c r="PC8" s="11" t="s">
        <v>878</v>
      </c>
      <c r="PD8" s="11" t="s">
        <v>506</v>
      </c>
      <c r="PE8" s="11" t="s">
        <v>880</v>
      </c>
      <c r="PF8" s="11" t="s">
        <v>507</v>
      </c>
      <c r="PH8" s="11" t="s">
        <v>433</v>
      </c>
      <c r="PI8" s="11" t="s">
        <v>434</v>
      </c>
      <c r="PJ8" s="11" t="s">
        <v>435</v>
      </c>
      <c r="PK8" s="11" t="s">
        <v>436</v>
      </c>
      <c r="PM8" s="11" t="s">
        <v>437</v>
      </c>
      <c r="PN8" s="11" t="s">
        <v>438</v>
      </c>
      <c r="PO8" s="11" t="s">
        <v>439</v>
      </c>
      <c r="PP8" s="11" t="s">
        <v>440</v>
      </c>
      <c r="PQ8" s="11" t="s">
        <v>508</v>
      </c>
      <c r="PR8" s="11" t="s">
        <v>509</v>
      </c>
      <c r="PT8" s="11" t="s">
        <v>478</v>
      </c>
      <c r="PU8" s="11" t="s">
        <v>479</v>
      </c>
      <c r="PV8" s="11" t="s">
        <v>480</v>
      </c>
      <c r="PW8" s="11" t="s">
        <v>481</v>
      </c>
      <c r="PZ8" s="11" t="s">
        <v>441</v>
      </c>
      <c r="QA8" s="11" t="s">
        <v>442</v>
      </c>
      <c r="QB8" s="11" t="s">
        <v>388</v>
      </c>
    </row>
    <row r="9" spans="1:444" s="30" customFormat="1" outlineLevel="1">
      <c r="B9" s="30" t="s">
        <v>237</v>
      </c>
      <c r="F9"/>
      <c r="H9" s="30" t="s">
        <v>444</v>
      </c>
      <c r="J9" s="30" t="s">
        <v>445</v>
      </c>
      <c r="L9" s="30" t="s">
        <v>471</v>
      </c>
      <c r="N9" s="30" t="s">
        <v>447</v>
      </c>
      <c r="O9" s="30" t="s">
        <v>447</v>
      </c>
      <c r="P9" s="30" t="s">
        <v>447</v>
      </c>
      <c r="Q9" s="30" t="s">
        <v>447</v>
      </c>
      <c r="R9" s="30" t="s">
        <v>447</v>
      </c>
      <c r="S9" s="30" t="s">
        <v>447</v>
      </c>
      <c r="U9" s="30" t="s">
        <v>406</v>
      </c>
      <c r="V9" s="30" t="s">
        <v>406</v>
      </c>
      <c r="W9" s="30" t="s">
        <v>406</v>
      </c>
      <c r="X9" s="30" t="s">
        <v>406</v>
      </c>
      <c r="Z9" s="30" t="s">
        <v>510</v>
      </c>
      <c r="AB9" s="30" t="s">
        <v>410</v>
      </c>
      <c r="AC9" s="30" t="s">
        <v>448</v>
      </c>
      <c r="AD9"/>
      <c r="AE9" s="30" t="s">
        <v>408</v>
      </c>
      <c r="AF9" s="30" t="s">
        <v>408</v>
      </c>
      <c r="AG9" s="30" t="s">
        <v>408</v>
      </c>
      <c r="AH9" s="30" t="s">
        <v>408</v>
      </c>
      <c r="AI9" s="30" t="s">
        <v>408</v>
      </c>
      <c r="AJ9" s="30" t="s">
        <v>408</v>
      </c>
      <c r="AK9" s="30" t="s">
        <v>408</v>
      </c>
      <c r="AL9" s="30" t="s">
        <v>408</v>
      </c>
      <c r="AM9" s="30" t="s">
        <v>408</v>
      </c>
      <c r="AN9" s="30" t="s">
        <v>408</v>
      </c>
      <c r="AO9" s="30" t="s">
        <v>408</v>
      </c>
      <c r="AP9" s="30" t="s">
        <v>408</v>
      </c>
      <c r="AQ9" s="30" t="s">
        <v>408</v>
      </c>
      <c r="AR9" s="30" t="s">
        <v>408</v>
      </c>
      <c r="AS9" s="30" t="s">
        <v>408</v>
      </c>
      <c r="AT9" s="30" t="s">
        <v>408</v>
      </c>
      <c r="AU9" s="30" t="s">
        <v>408</v>
      </c>
      <c r="AV9" s="30" t="s">
        <v>408</v>
      </c>
      <c r="AW9" s="30" t="s">
        <v>408</v>
      </c>
      <c r="AX9" s="30" t="s">
        <v>408</v>
      </c>
      <c r="AY9" s="30" t="s">
        <v>408</v>
      </c>
      <c r="AZ9" s="30" t="s">
        <v>408</v>
      </c>
      <c r="BA9" s="30" t="s">
        <v>408</v>
      </c>
      <c r="BB9" s="30" t="s">
        <v>408</v>
      </c>
      <c r="BC9" s="30" t="s">
        <v>408</v>
      </c>
      <c r="BD9" s="30" t="s">
        <v>408</v>
      </c>
      <c r="BE9" s="30" t="s">
        <v>408</v>
      </c>
      <c r="BF9" s="30" t="s">
        <v>408</v>
      </c>
      <c r="BG9" s="30" t="s">
        <v>408</v>
      </c>
      <c r="BH9" s="30" t="s">
        <v>408</v>
      </c>
      <c r="BI9" s="30" t="s">
        <v>408</v>
      </c>
      <c r="BK9" s="30" t="s">
        <v>511</v>
      </c>
      <c r="BL9" s="30" t="s">
        <v>511</v>
      </c>
      <c r="BM9" s="30" t="s">
        <v>511</v>
      </c>
      <c r="BN9" s="30" t="s">
        <v>511</v>
      </c>
      <c r="BO9" s="30" t="s">
        <v>511</v>
      </c>
      <c r="BP9" s="30" t="s">
        <v>511</v>
      </c>
      <c r="BQ9" s="30" t="s">
        <v>511</v>
      </c>
      <c r="BR9" s="30" t="s">
        <v>511</v>
      </c>
      <c r="BS9" s="30" t="s">
        <v>511</v>
      </c>
      <c r="BT9" s="30" t="s">
        <v>511</v>
      </c>
      <c r="BU9" s="30" t="s">
        <v>511</v>
      </c>
      <c r="BV9" s="30" t="s">
        <v>511</v>
      </c>
      <c r="BW9" s="30" t="s">
        <v>511</v>
      </c>
      <c r="BX9" s="30" t="s">
        <v>511</v>
      </c>
      <c r="BY9" s="30" t="s">
        <v>511</v>
      </c>
      <c r="BZ9" s="30" t="s">
        <v>511</v>
      </c>
      <c r="CA9" s="30" t="s">
        <v>511</v>
      </c>
      <c r="CB9" s="30" t="s">
        <v>511</v>
      </c>
      <c r="CC9" s="30" t="s">
        <v>511</v>
      </c>
      <c r="CD9" s="30" t="s">
        <v>511</v>
      </c>
      <c r="CE9" s="30" t="s">
        <v>511</v>
      </c>
      <c r="CF9" s="30" t="s">
        <v>511</v>
      </c>
      <c r="CG9" s="30" t="s">
        <v>511</v>
      </c>
      <c r="CH9" s="30" t="s">
        <v>511</v>
      </c>
      <c r="CI9" s="30" t="s">
        <v>511</v>
      </c>
      <c r="CJ9" s="30" t="s">
        <v>511</v>
      </c>
      <c r="CK9" s="30" t="s">
        <v>511</v>
      </c>
      <c r="CL9" s="30" t="s">
        <v>511</v>
      </c>
      <c r="CM9" s="30" t="s">
        <v>511</v>
      </c>
      <c r="CN9" s="30" t="s">
        <v>511</v>
      </c>
      <c r="CO9" s="30" t="s">
        <v>511</v>
      </c>
      <c r="CQ9" s="30" t="s">
        <v>512</v>
      </c>
      <c r="CR9" s="30" t="s">
        <v>512</v>
      </c>
      <c r="CS9" s="30" t="s">
        <v>512</v>
      </c>
      <c r="CT9" s="30" t="s">
        <v>512</v>
      </c>
      <c r="CU9" s="30" t="s">
        <v>512</v>
      </c>
      <c r="CV9" s="30" t="s">
        <v>512</v>
      </c>
      <c r="CW9" s="30" t="s">
        <v>512</v>
      </c>
      <c r="CX9" s="30" t="s">
        <v>512</v>
      </c>
      <c r="CY9" s="30" t="s">
        <v>512</v>
      </c>
      <c r="CZ9" s="30" t="s">
        <v>512</v>
      </c>
      <c r="DA9" s="30" t="s">
        <v>512</v>
      </c>
      <c r="DB9" s="30" t="s">
        <v>512</v>
      </c>
      <c r="DC9" s="30" t="s">
        <v>512</v>
      </c>
      <c r="DD9" s="30" t="s">
        <v>512</v>
      </c>
      <c r="DE9" s="30" t="s">
        <v>512</v>
      </c>
      <c r="DF9" s="30" t="s">
        <v>512</v>
      </c>
      <c r="DG9" s="30" t="s">
        <v>512</v>
      </c>
      <c r="DH9" s="30" t="s">
        <v>512</v>
      </c>
      <c r="DI9" s="30" t="s">
        <v>512</v>
      </c>
      <c r="DJ9" s="30" t="s">
        <v>512</v>
      </c>
      <c r="DK9" s="30" t="s">
        <v>512</v>
      </c>
      <c r="DL9" s="30" t="s">
        <v>512</v>
      </c>
      <c r="DM9" s="30" t="s">
        <v>512</v>
      </c>
      <c r="DN9" s="30" t="s">
        <v>512</v>
      </c>
      <c r="DO9" s="30" t="s">
        <v>512</v>
      </c>
      <c r="DP9" s="30" t="s">
        <v>512</v>
      </c>
      <c r="DQ9" s="30" t="s">
        <v>512</v>
      </c>
      <c r="DR9" s="30" t="s">
        <v>512</v>
      </c>
      <c r="DS9" s="30" t="s">
        <v>512</v>
      </c>
      <c r="DT9" s="30" t="s">
        <v>512</v>
      </c>
      <c r="DU9" s="30" t="s">
        <v>512</v>
      </c>
      <c r="DW9" s="30" t="s">
        <v>449</v>
      </c>
      <c r="DX9" s="30" t="s">
        <v>449</v>
      </c>
      <c r="DY9" s="30" t="s">
        <v>449</v>
      </c>
      <c r="DZ9" s="30" t="s">
        <v>449</v>
      </c>
      <c r="EA9" s="30" t="s">
        <v>449</v>
      </c>
      <c r="EB9" s="30" t="s">
        <v>449</v>
      </c>
      <c r="EC9" s="30" t="s">
        <v>449</v>
      </c>
      <c r="ED9" s="30" t="s">
        <v>449</v>
      </c>
      <c r="EE9" s="30" t="s">
        <v>449</v>
      </c>
      <c r="EF9" s="30" t="s">
        <v>449</v>
      </c>
      <c r="EG9" s="30" t="s">
        <v>449</v>
      </c>
      <c r="EH9" s="30" t="s">
        <v>449</v>
      </c>
      <c r="EI9" s="30" t="s">
        <v>449</v>
      </c>
      <c r="EJ9" s="30" t="s">
        <v>449</v>
      </c>
      <c r="EK9" s="30" t="s">
        <v>449</v>
      </c>
      <c r="EL9" s="30" t="s">
        <v>449</v>
      </c>
      <c r="EM9" s="30" t="s">
        <v>449</v>
      </c>
      <c r="EN9" s="30" t="s">
        <v>449</v>
      </c>
      <c r="EO9" s="30" t="s">
        <v>449</v>
      </c>
      <c r="EP9" s="30" t="s">
        <v>449</v>
      </c>
      <c r="EQ9" s="30" t="s">
        <v>449</v>
      </c>
      <c r="ER9" s="30" t="s">
        <v>449</v>
      </c>
      <c r="ES9" s="30" t="s">
        <v>449</v>
      </c>
      <c r="ET9" s="30" t="s">
        <v>449</v>
      </c>
      <c r="EU9" s="30" t="s">
        <v>449</v>
      </c>
      <c r="EV9" s="30" t="s">
        <v>449</v>
      </c>
      <c r="EW9" s="30" t="s">
        <v>449</v>
      </c>
      <c r="EX9" s="30" t="s">
        <v>449</v>
      </c>
      <c r="EY9" s="30" t="s">
        <v>449</v>
      </c>
      <c r="EZ9" s="30" t="s">
        <v>449</v>
      </c>
      <c r="FA9" s="30" t="s">
        <v>449</v>
      </c>
      <c r="FC9" s="30" t="s">
        <v>409</v>
      </c>
      <c r="FD9" s="30" t="s">
        <v>409</v>
      </c>
      <c r="FE9" s="30" t="s">
        <v>409</v>
      </c>
      <c r="FF9" s="30" t="s">
        <v>409</v>
      </c>
      <c r="FG9" s="30" t="s">
        <v>409</v>
      </c>
      <c r="FH9" s="30" t="s">
        <v>409</v>
      </c>
      <c r="FI9" s="30" t="s">
        <v>409</v>
      </c>
      <c r="FJ9" s="30" t="s">
        <v>409</v>
      </c>
      <c r="FK9" s="30" t="s">
        <v>409</v>
      </c>
      <c r="FL9" s="30" t="s">
        <v>409</v>
      </c>
      <c r="FM9" s="30" t="s">
        <v>409</v>
      </c>
      <c r="FN9" s="30" t="s">
        <v>409</v>
      </c>
      <c r="FO9" s="30" t="s">
        <v>409</v>
      </c>
      <c r="FP9" s="30" t="s">
        <v>409</v>
      </c>
      <c r="FQ9" s="30" t="s">
        <v>409</v>
      </c>
      <c r="FR9" s="30" t="s">
        <v>409</v>
      </c>
      <c r="FS9" s="30" t="s">
        <v>409</v>
      </c>
      <c r="FT9" s="30" t="s">
        <v>409</v>
      </c>
      <c r="FU9" s="30" t="s">
        <v>409</v>
      </c>
      <c r="FV9" s="30" t="s">
        <v>409</v>
      </c>
      <c r="FW9" s="30" t="s">
        <v>409</v>
      </c>
      <c r="FX9" s="30" t="s">
        <v>409</v>
      </c>
      <c r="FY9" s="30" t="s">
        <v>409</v>
      </c>
      <c r="FZ9" s="30" t="s">
        <v>409</v>
      </c>
      <c r="GA9" s="30" t="s">
        <v>409</v>
      </c>
      <c r="GB9" s="30" t="s">
        <v>409</v>
      </c>
      <c r="GC9" s="30" t="s">
        <v>409</v>
      </c>
      <c r="GD9" s="30" t="s">
        <v>409</v>
      </c>
      <c r="GE9" s="30" t="s">
        <v>409</v>
      </c>
      <c r="GF9" s="30" t="s">
        <v>409</v>
      </c>
      <c r="GG9" s="30" t="s">
        <v>409</v>
      </c>
      <c r="GI9" s="30" t="s">
        <v>411</v>
      </c>
      <c r="GJ9" s="30" t="s">
        <v>411</v>
      </c>
      <c r="GK9" s="30" t="s">
        <v>411</v>
      </c>
      <c r="GL9" s="30" t="s">
        <v>411</v>
      </c>
      <c r="GM9" s="30" t="s">
        <v>411</v>
      </c>
      <c r="GN9" s="30" t="s">
        <v>411</v>
      </c>
      <c r="GO9" s="30" t="s">
        <v>411</v>
      </c>
      <c r="GP9" s="30" t="s">
        <v>411</v>
      </c>
      <c r="GQ9" s="30" t="s">
        <v>411</v>
      </c>
      <c r="GR9" s="30" t="s">
        <v>411</v>
      </c>
      <c r="GS9" s="30" t="s">
        <v>411</v>
      </c>
      <c r="GT9" s="30" t="s">
        <v>411</v>
      </c>
      <c r="GU9" s="30" t="s">
        <v>411</v>
      </c>
      <c r="GV9" s="30" t="s">
        <v>411</v>
      </c>
      <c r="GW9" s="30" t="s">
        <v>411</v>
      </c>
      <c r="GX9" s="30" t="s">
        <v>411</v>
      </c>
      <c r="GY9" s="30" t="s">
        <v>411</v>
      </c>
      <c r="GZ9" s="30" t="s">
        <v>411</v>
      </c>
      <c r="HA9" s="30" t="s">
        <v>411</v>
      </c>
      <c r="HB9" s="30" t="s">
        <v>411</v>
      </c>
      <c r="HC9" s="30" t="s">
        <v>411</v>
      </c>
      <c r="HD9" s="30" t="s">
        <v>411</v>
      </c>
      <c r="HE9" s="30" t="s">
        <v>411</v>
      </c>
      <c r="HF9" s="30" t="s">
        <v>411</v>
      </c>
      <c r="HG9" s="30" t="s">
        <v>411</v>
      </c>
      <c r="HH9" s="30" t="s">
        <v>411</v>
      </c>
      <c r="HI9" s="30" t="s">
        <v>411</v>
      </c>
      <c r="HJ9" s="30" t="s">
        <v>411</v>
      </c>
      <c r="HK9" s="30" t="s">
        <v>411</v>
      </c>
      <c r="HL9" s="30" t="s">
        <v>411</v>
      </c>
      <c r="HM9" s="30" t="s">
        <v>411</v>
      </c>
      <c r="HO9" s="30" t="s">
        <v>450</v>
      </c>
      <c r="HP9" s="30" t="s">
        <v>482</v>
      </c>
      <c r="HR9" s="30" t="s">
        <v>412</v>
      </c>
      <c r="HS9" s="30" t="s">
        <v>412</v>
      </c>
      <c r="HT9" s="30" t="s">
        <v>412</v>
      </c>
      <c r="HU9" s="30" t="s">
        <v>412</v>
      </c>
      <c r="HV9" s="30" t="s">
        <v>412</v>
      </c>
      <c r="HW9" s="30" t="s">
        <v>412</v>
      </c>
      <c r="HX9" s="30" t="s">
        <v>412</v>
      </c>
      <c r="HY9" s="30" t="s">
        <v>412</v>
      </c>
      <c r="HZ9" s="30" t="s">
        <v>412</v>
      </c>
      <c r="IA9" s="30" t="s">
        <v>412</v>
      </c>
      <c r="IB9" s="30" t="s">
        <v>412</v>
      </c>
      <c r="IC9" s="30" t="s">
        <v>412</v>
      </c>
      <c r="ID9" s="30" t="s">
        <v>412</v>
      </c>
      <c r="IE9" s="30" t="s">
        <v>412</v>
      </c>
      <c r="IF9" s="30" t="s">
        <v>412</v>
      </c>
      <c r="IG9" s="30" t="s">
        <v>412</v>
      </c>
      <c r="IH9" s="30" t="s">
        <v>412</v>
      </c>
      <c r="II9" s="30" t="s">
        <v>412</v>
      </c>
      <c r="IJ9" s="30" t="s">
        <v>412</v>
      </c>
      <c r="IK9" s="30" t="s">
        <v>412</v>
      </c>
      <c r="IL9" s="30" t="s">
        <v>412</v>
      </c>
      <c r="IM9" s="30" t="s">
        <v>412</v>
      </c>
      <c r="IN9" s="30" t="s">
        <v>412</v>
      </c>
      <c r="IO9" s="30" t="s">
        <v>412</v>
      </c>
      <c r="IP9" s="30" t="s">
        <v>412</v>
      </c>
      <c r="IQ9" s="30" t="s">
        <v>412</v>
      </c>
      <c r="IR9" s="30" t="s">
        <v>412</v>
      </c>
      <c r="IS9" s="30" t="s">
        <v>412</v>
      </c>
      <c r="IT9" s="30" t="s">
        <v>412</v>
      </c>
      <c r="IU9" s="30" t="s">
        <v>412</v>
      </c>
      <c r="IV9" s="30" t="s">
        <v>412</v>
      </c>
      <c r="IX9" s="30" t="s">
        <v>451</v>
      </c>
      <c r="IY9" s="30" t="s">
        <v>451</v>
      </c>
      <c r="IZ9" s="30" t="s">
        <v>451</v>
      </c>
      <c r="JA9" s="30" t="s">
        <v>451</v>
      </c>
      <c r="JB9" s="30" t="s">
        <v>451</v>
      </c>
      <c r="JC9" s="30" t="s">
        <v>451</v>
      </c>
      <c r="JD9" s="30" t="s">
        <v>451</v>
      </c>
      <c r="JE9" s="30" t="s">
        <v>451</v>
      </c>
      <c r="JF9" s="30" t="s">
        <v>451</v>
      </c>
      <c r="JG9" s="30" t="s">
        <v>451</v>
      </c>
      <c r="JH9" s="30" t="s">
        <v>451</v>
      </c>
      <c r="JI9" s="30" t="s">
        <v>451</v>
      </c>
      <c r="JJ9" s="30" t="s">
        <v>451</v>
      </c>
      <c r="JK9" s="30" t="s">
        <v>451</v>
      </c>
      <c r="JL9" s="30" t="s">
        <v>451</v>
      </c>
      <c r="JM9" s="30" t="s">
        <v>451</v>
      </c>
      <c r="JN9" s="30" t="s">
        <v>451</v>
      </c>
      <c r="JO9" s="30" t="s">
        <v>451</v>
      </c>
      <c r="JP9" s="30" t="s">
        <v>451</v>
      </c>
      <c r="JQ9" s="30" t="s">
        <v>451</v>
      </c>
      <c r="JR9" s="30" t="s">
        <v>451</v>
      </c>
      <c r="JS9" s="30" t="s">
        <v>451</v>
      </c>
      <c r="JT9" s="30" t="s">
        <v>451</v>
      </c>
      <c r="JU9" s="30" t="s">
        <v>451</v>
      </c>
      <c r="JV9" s="30" t="s">
        <v>451</v>
      </c>
      <c r="JW9" s="30" t="s">
        <v>451</v>
      </c>
      <c r="JX9" s="30" t="s">
        <v>451</v>
      </c>
      <c r="JY9" s="30" t="s">
        <v>451</v>
      </c>
      <c r="JZ9" s="30" t="s">
        <v>451</v>
      </c>
      <c r="KA9" s="30" t="s">
        <v>451</v>
      </c>
      <c r="KB9" s="30" t="s">
        <v>451</v>
      </c>
      <c r="KD9" s="30" t="s">
        <v>452</v>
      </c>
      <c r="KE9" s="30" t="s">
        <v>452</v>
      </c>
      <c r="KF9" s="30" t="s">
        <v>452</v>
      </c>
      <c r="KG9" s="30" t="s">
        <v>452</v>
      </c>
      <c r="KH9" s="30" t="s">
        <v>452</v>
      </c>
      <c r="KI9" s="30" t="s">
        <v>452</v>
      </c>
      <c r="KJ9" s="30" t="s">
        <v>452</v>
      </c>
      <c r="KK9" s="30" t="s">
        <v>452</v>
      </c>
      <c r="KL9" s="30" t="s">
        <v>452</v>
      </c>
      <c r="KM9" s="30" t="s">
        <v>452</v>
      </c>
      <c r="KN9" s="30" t="s">
        <v>452</v>
      </c>
      <c r="KO9" s="30" t="s">
        <v>452</v>
      </c>
      <c r="KP9" s="30" t="s">
        <v>452</v>
      </c>
      <c r="KQ9" s="30" t="s">
        <v>452</v>
      </c>
      <c r="KR9" s="30" t="s">
        <v>452</v>
      </c>
      <c r="KS9" s="30" t="s">
        <v>452</v>
      </c>
      <c r="KT9" s="30" t="s">
        <v>452</v>
      </c>
      <c r="KU9" s="30" t="s">
        <v>452</v>
      </c>
      <c r="KV9" s="30" t="s">
        <v>452</v>
      </c>
      <c r="KW9" s="30" t="s">
        <v>452</v>
      </c>
      <c r="KX9" s="30" t="s">
        <v>452</v>
      </c>
      <c r="KY9" s="30" t="s">
        <v>452</v>
      </c>
      <c r="KZ9" s="30" t="s">
        <v>452</v>
      </c>
      <c r="LA9" s="30" t="s">
        <v>452</v>
      </c>
      <c r="LB9" s="30" t="s">
        <v>452</v>
      </c>
      <c r="LC9" s="30" t="s">
        <v>452</v>
      </c>
      <c r="LD9" s="30" t="s">
        <v>452</v>
      </c>
      <c r="LE9" s="30" t="s">
        <v>452</v>
      </c>
      <c r="LF9" s="30" t="s">
        <v>452</v>
      </c>
      <c r="LG9" s="30" t="s">
        <v>452</v>
      </c>
      <c r="LH9" s="30" t="s">
        <v>452</v>
      </c>
      <c r="LJ9" s="30" t="s">
        <v>513</v>
      </c>
      <c r="LK9" s="30" t="s">
        <v>513</v>
      </c>
      <c r="LL9" s="30" t="s">
        <v>513</v>
      </c>
      <c r="LM9" s="30" t="s">
        <v>513</v>
      </c>
      <c r="LN9" s="30" t="s">
        <v>513</v>
      </c>
      <c r="LO9" s="30" t="s">
        <v>513</v>
      </c>
      <c r="LP9" s="30" t="s">
        <v>513</v>
      </c>
      <c r="LQ9" s="30" t="s">
        <v>513</v>
      </c>
      <c r="LR9" s="30" t="s">
        <v>513</v>
      </c>
      <c r="LS9" s="30" t="s">
        <v>513</v>
      </c>
      <c r="LT9" s="30" t="s">
        <v>513</v>
      </c>
      <c r="LU9" s="30" t="s">
        <v>513</v>
      </c>
      <c r="LV9" s="30" t="s">
        <v>513</v>
      </c>
      <c r="LW9" s="30" t="s">
        <v>513</v>
      </c>
      <c r="LX9" s="30" t="s">
        <v>513</v>
      </c>
      <c r="LY9" s="30" t="s">
        <v>513</v>
      </c>
      <c r="LZ9" s="30" t="s">
        <v>513</v>
      </c>
      <c r="MA9" s="30" t="s">
        <v>513</v>
      </c>
      <c r="MB9" s="30" t="s">
        <v>513</v>
      </c>
      <c r="MC9" s="30" t="s">
        <v>513</v>
      </c>
      <c r="MD9" s="30" t="s">
        <v>513</v>
      </c>
      <c r="ME9" s="30" t="s">
        <v>513</v>
      </c>
      <c r="MF9" s="30" t="s">
        <v>513</v>
      </c>
      <c r="MG9" s="30" t="s">
        <v>513</v>
      </c>
      <c r="MH9" s="30" t="s">
        <v>513</v>
      </c>
      <c r="MI9" s="30" t="s">
        <v>513</v>
      </c>
      <c r="MJ9" s="30" t="s">
        <v>513</v>
      </c>
      <c r="MK9" s="30" t="s">
        <v>513</v>
      </c>
      <c r="ML9" s="30" t="s">
        <v>513</v>
      </c>
      <c r="MM9" s="30" t="s">
        <v>513</v>
      </c>
      <c r="MN9" s="30" t="s">
        <v>513</v>
      </c>
      <c r="MP9" s="30" t="s">
        <v>514</v>
      </c>
      <c r="MQ9" s="30" t="s">
        <v>514</v>
      </c>
      <c r="MR9" s="30" t="s">
        <v>514</v>
      </c>
      <c r="MS9" s="30" t="s">
        <v>514</v>
      </c>
      <c r="MT9" s="30" t="s">
        <v>514</v>
      </c>
      <c r="MU9" s="30" t="s">
        <v>514</v>
      </c>
      <c r="MV9" s="30" t="s">
        <v>514</v>
      </c>
      <c r="MW9" s="30" t="s">
        <v>514</v>
      </c>
      <c r="MX9" s="30" t="s">
        <v>514</v>
      </c>
      <c r="MY9" s="30" t="s">
        <v>514</v>
      </c>
      <c r="MZ9" s="30" t="s">
        <v>514</v>
      </c>
      <c r="NA9" s="30" t="s">
        <v>514</v>
      </c>
      <c r="NB9" s="30" t="s">
        <v>514</v>
      </c>
      <c r="NC9" s="30" t="s">
        <v>514</v>
      </c>
      <c r="ND9" s="30" t="s">
        <v>514</v>
      </c>
      <c r="NE9" s="30" t="s">
        <v>514</v>
      </c>
      <c r="NF9" s="30" t="s">
        <v>514</v>
      </c>
      <c r="NG9" s="30" t="s">
        <v>514</v>
      </c>
      <c r="NH9" s="30" t="s">
        <v>514</v>
      </c>
      <c r="NI9" s="30" t="s">
        <v>514</v>
      </c>
      <c r="NJ9" s="30" t="s">
        <v>514</v>
      </c>
      <c r="NK9" s="30" t="s">
        <v>514</v>
      </c>
      <c r="NL9" s="30" t="s">
        <v>514</v>
      </c>
      <c r="NM9" s="30" t="s">
        <v>514</v>
      </c>
      <c r="NN9" s="30" t="s">
        <v>514</v>
      </c>
      <c r="NO9" s="30" t="s">
        <v>514</v>
      </c>
      <c r="NP9" s="30" t="s">
        <v>514</v>
      </c>
      <c r="NQ9" s="30" t="s">
        <v>514</v>
      </c>
      <c r="NR9" s="30" t="s">
        <v>514</v>
      </c>
      <c r="NS9" s="30" t="s">
        <v>514</v>
      </c>
      <c r="NT9" s="30" t="s">
        <v>514</v>
      </c>
      <c r="NV9" s="30" t="s">
        <v>515</v>
      </c>
      <c r="NW9" s="30" t="s">
        <v>515</v>
      </c>
      <c r="NX9" s="30" t="s">
        <v>515</v>
      </c>
      <c r="NY9" s="30" t="s">
        <v>515</v>
      </c>
      <c r="NZ9" s="30" t="s">
        <v>515</v>
      </c>
      <c r="OA9" s="30" t="s">
        <v>515</v>
      </c>
      <c r="OB9" s="30" t="s">
        <v>515</v>
      </c>
      <c r="OC9" s="30" t="s">
        <v>515</v>
      </c>
      <c r="OD9" s="30" t="s">
        <v>515</v>
      </c>
      <c r="OE9" s="30" t="s">
        <v>515</v>
      </c>
      <c r="OF9" s="30" t="s">
        <v>515</v>
      </c>
      <c r="OG9" s="30" t="s">
        <v>515</v>
      </c>
      <c r="OH9" s="30" t="s">
        <v>515</v>
      </c>
      <c r="OI9" s="30" t="s">
        <v>515</v>
      </c>
      <c r="OJ9" s="30" t="s">
        <v>515</v>
      </c>
      <c r="OK9" s="30" t="s">
        <v>515</v>
      </c>
      <c r="OL9" s="30" t="s">
        <v>515</v>
      </c>
      <c r="OM9" s="30" t="s">
        <v>515</v>
      </c>
      <c r="ON9" s="30" t="s">
        <v>515</v>
      </c>
      <c r="OO9" s="30" t="s">
        <v>515</v>
      </c>
      <c r="OP9" s="30" t="s">
        <v>515</v>
      </c>
      <c r="OQ9" s="30" t="s">
        <v>515</v>
      </c>
      <c r="OR9" s="30" t="s">
        <v>515</v>
      </c>
      <c r="OS9" s="30" t="s">
        <v>515</v>
      </c>
      <c r="OT9" s="30" t="s">
        <v>515</v>
      </c>
      <c r="OU9" s="30" t="s">
        <v>515</v>
      </c>
      <c r="OV9" s="30" t="s">
        <v>515</v>
      </c>
      <c r="OW9" s="30" t="s">
        <v>515</v>
      </c>
      <c r="OX9" s="30" t="s">
        <v>515</v>
      </c>
      <c r="OY9" s="30" t="s">
        <v>515</v>
      </c>
      <c r="OZ9" s="30" t="s">
        <v>515</v>
      </c>
      <c r="PB9" s="30" t="s">
        <v>516</v>
      </c>
      <c r="PC9" s="30" t="s">
        <v>516</v>
      </c>
      <c r="PD9" s="30" t="s">
        <v>517</v>
      </c>
      <c r="PE9" s="30" t="s">
        <v>517</v>
      </c>
      <c r="PF9" s="30" t="s">
        <v>518</v>
      </c>
      <c r="PG9"/>
      <c r="PH9" s="30" t="s">
        <v>463</v>
      </c>
      <c r="PI9" s="30" t="s">
        <v>464</v>
      </c>
      <c r="PJ9" s="30" t="s">
        <v>465</v>
      </c>
      <c r="PK9" s="30" t="s">
        <v>466</v>
      </c>
      <c r="PM9" s="30" t="s">
        <v>467</v>
      </c>
      <c r="PN9" s="30" t="s">
        <v>467</v>
      </c>
      <c r="PO9" s="30" t="s">
        <v>468</v>
      </c>
      <c r="PP9" s="30" t="s">
        <v>468</v>
      </c>
      <c r="PQ9" s="30" t="s">
        <v>493</v>
      </c>
      <c r="PR9" s="30" t="s">
        <v>493</v>
      </c>
      <c r="PT9" s="30" t="s">
        <v>484</v>
      </c>
      <c r="PU9" s="30" t="s">
        <v>484</v>
      </c>
      <c r="PV9" s="30" t="s">
        <v>485</v>
      </c>
      <c r="PW9" s="30" t="s">
        <v>485</v>
      </c>
      <c r="PZ9" s="30" t="s">
        <v>469</v>
      </c>
      <c r="QA9" s="30" t="s">
        <v>470</v>
      </c>
      <c r="QB9" s="30" t="s">
        <v>391</v>
      </c>
    </row>
    <row r="10" spans="1:444" ht="42">
      <c r="B10" s="6" t="s">
        <v>472</v>
      </c>
      <c r="D10" s="11" t="str">
        <f>"Included in Current System ("&amp;system_name&amp;")"</f>
        <v>Included in Current System (ISONE_toy_system)</v>
      </c>
      <c r="F10" s="11" t="s">
        <v>251</v>
      </c>
      <c r="H10" s="26"/>
      <c r="J10" s="26"/>
      <c r="L10" s="26"/>
      <c r="N10" s="26"/>
      <c r="O10" s="26"/>
      <c r="P10" s="26"/>
      <c r="Q10" s="26"/>
      <c r="R10" s="26"/>
      <c r="S10" s="26"/>
      <c r="U10" s="26"/>
      <c r="V10" s="26"/>
      <c r="W10" s="26"/>
      <c r="X10" s="26"/>
      <c r="Z10" s="26"/>
      <c r="AB10" s="26" t="s">
        <v>277</v>
      </c>
      <c r="AC10" s="26" t="s">
        <v>277</v>
      </c>
      <c r="AE10" s="59">
        <f>start_year</f>
        <v>43831</v>
      </c>
      <c r="AF10" s="59">
        <f t="shared" ref="AF10:BI10" si="0">EDATE(AE10,12)</f>
        <v>44197</v>
      </c>
      <c r="AG10" s="59">
        <f t="shared" si="0"/>
        <v>44562</v>
      </c>
      <c r="AH10" s="59">
        <f t="shared" si="0"/>
        <v>44927</v>
      </c>
      <c r="AI10" s="59">
        <f t="shared" si="0"/>
        <v>45292</v>
      </c>
      <c r="AJ10" s="59">
        <f t="shared" si="0"/>
        <v>45658</v>
      </c>
      <c r="AK10" s="59">
        <f t="shared" si="0"/>
        <v>46023</v>
      </c>
      <c r="AL10" s="59">
        <f t="shared" si="0"/>
        <v>46388</v>
      </c>
      <c r="AM10" s="59">
        <f t="shared" si="0"/>
        <v>46753</v>
      </c>
      <c r="AN10" s="59">
        <f t="shared" si="0"/>
        <v>47119</v>
      </c>
      <c r="AO10" s="59">
        <f t="shared" si="0"/>
        <v>47484</v>
      </c>
      <c r="AP10" s="59">
        <f t="shared" si="0"/>
        <v>47849</v>
      </c>
      <c r="AQ10" s="59">
        <f t="shared" si="0"/>
        <v>48214</v>
      </c>
      <c r="AR10" s="59">
        <f t="shared" si="0"/>
        <v>48580</v>
      </c>
      <c r="AS10" s="59">
        <f t="shared" si="0"/>
        <v>48945</v>
      </c>
      <c r="AT10" s="59">
        <f t="shared" si="0"/>
        <v>49310</v>
      </c>
      <c r="AU10" s="59">
        <f t="shared" si="0"/>
        <v>49675</v>
      </c>
      <c r="AV10" s="59">
        <f t="shared" si="0"/>
        <v>50041</v>
      </c>
      <c r="AW10" s="59">
        <f t="shared" si="0"/>
        <v>50406</v>
      </c>
      <c r="AX10" s="59">
        <f t="shared" si="0"/>
        <v>50771</v>
      </c>
      <c r="AY10" s="59">
        <f t="shared" si="0"/>
        <v>51136</v>
      </c>
      <c r="AZ10" s="59">
        <f t="shared" si="0"/>
        <v>51502</v>
      </c>
      <c r="BA10" s="59">
        <f t="shared" si="0"/>
        <v>51867</v>
      </c>
      <c r="BB10" s="59">
        <f t="shared" si="0"/>
        <v>52232</v>
      </c>
      <c r="BC10" s="59">
        <f t="shared" si="0"/>
        <v>52597</v>
      </c>
      <c r="BD10" s="59">
        <f t="shared" si="0"/>
        <v>52963</v>
      </c>
      <c r="BE10" s="59">
        <f t="shared" si="0"/>
        <v>53328</v>
      </c>
      <c r="BF10" s="59">
        <f t="shared" si="0"/>
        <v>53693</v>
      </c>
      <c r="BG10" s="59">
        <f t="shared" si="0"/>
        <v>54058</v>
      </c>
      <c r="BH10" s="59">
        <f t="shared" si="0"/>
        <v>54424</v>
      </c>
      <c r="BI10" s="59">
        <f t="shared" si="0"/>
        <v>54789</v>
      </c>
      <c r="BK10" s="59">
        <v>54789</v>
      </c>
      <c r="BL10" s="59">
        <v>44197</v>
      </c>
      <c r="BM10" s="59">
        <v>44562</v>
      </c>
      <c r="BN10" s="59">
        <v>44927</v>
      </c>
      <c r="BO10" s="59">
        <v>45292</v>
      </c>
      <c r="BP10" s="59">
        <v>45658</v>
      </c>
      <c r="BQ10" s="59">
        <v>46023</v>
      </c>
      <c r="BR10" s="59">
        <v>46388</v>
      </c>
      <c r="BS10" s="59">
        <v>46753</v>
      </c>
      <c r="BT10" s="59">
        <v>47119</v>
      </c>
      <c r="BU10" s="59">
        <v>47484</v>
      </c>
      <c r="BV10" s="59">
        <v>47849</v>
      </c>
      <c r="BW10" s="59">
        <v>48214</v>
      </c>
      <c r="BX10" s="59">
        <v>48580</v>
      </c>
      <c r="BY10" s="59">
        <v>48945</v>
      </c>
      <c r="BZ10" s="59">
        <v>49310</v>
      </c>
      <c r="CA10" s="59">
        <v>49675</v>
      </c>
      <c r="CB10" s="59">
        <v>50041</v>
      </c>
      <c r="CC10" s="59">
        <v>50406</v>
      </c>
      <c r="CD10" s="59">
        <v>50771</v>
      </c>
      <c r="CE10" s="59">
        <v>51136</v>
      </c>
      <c r="CF10" s="59">
        <v>51502</v>
      </c>
      <c r="CG10" s="59">
        <v>51867</v>
      </c>
      <c r="CH10" s="59">
        <v>52232</v>
      </c>
      <c r="CI10" s="59">
        <v>52597</v>
      </c>
      <c r="CJ10" s="59">
        <v>52963</v>
      </c>
      <c r="CK10" s="59">
        <v>53328</v>
      </c>
      <c r="CL10" s="59">
        <v>53693</v>
      </c>
      <c r="CM10" s="59">
        <v>54058</v>
      </c>
      <c r="CN10" s="59">
        <v>54424</v>
      </c>
      <c r="CO10" s="59">
        <v>54789</v>
      </c>
      <c r="CQ10" s="59">
        <f>start_year</f>
        <v>43831</v>
      </c>
      <c r="CR10" s="59">
        <f t="shared" ref="CR10:DU10" si="1">EDATE(CQ10,12)</f>
        <v>44197</v>
      </c>
      <c r="CS10" s="59">
        <f t="shared" si="1"/>
        <v>44562</v>
      </c>
      <c r="CT10" s="59">
        <f t="shared" si="1"/>
        <v>44927</v>
      </c>
      <c r="CU10" s="59">
        <f t="shared" si="1"/>
        <v>45292</v>
      </c>
      <c r="CV10" s="59">
        <f t="shared" si="1"/>
        <v>45658</v>
      </c>
      <c r="CW10" s="59">
        <f t="shared" si="1"/>
        <v>46023</v>
      </c>
      <c r="CX10" s="59">
        <f t="shared" si="1"/>
        <v>46388</v>
      </c>
      <c r="CY10" s="59">
        <f t="shared" si="1"/>
        <v>46753</v>
      </c>
      <c r="CZ10" s="59">
        <f t="shared" si="1"/>
        <v>47119</v>
      </c>
      <c r="DA10" s="59">
        <f t="shared" si="1"/>
        <v>47484</v>
      </c>
      <c r="DB10" s="59">
        <f t="shared" si="1"/>
        <v>47849</v>
      </c>
      <c r="DC10" s="59">
        <f t="shared" si="1"/>
        <v>48214</v>
      </c>
      <c r="DD10" s="59">
        <f t="shared" si="1"/>
        <v>48580</v>
      </c>
      <c r="DE10" s="59">
        <f t="shared" si="1"/>
        <v>48945</v>
      </c>
      <c r="DF10" s="59">
        <f t="shared" si="1"/>
        <v>49310</v>
      </c>
      <c r="DG10" s="59">
        <f t="shared" si="1"/>
        <v>49675</v>
      </c>
      <c r="DH10" s="59">
        <f t="shared" si="1"/>
        <v>50041</v>
      </c>
      <c r="DI10" s="59">
        <f t="shared" si="1"/>
        <v>50406</v>
      </c>
      <c r="DJ10" s="59">
        <f t="shared" si="1"/>
        <v>50771</v>
      </c>
      <c r="DK10" s="59">
        <f t="shared" si="1"/>
        <v>51136</v>
      </c>
      <c r="DL10" s="59">
        <f t="shared" si="1"/>
        <v>51502</v>
      </c>
      <c r="DM10" s="59">
        <f t="shared" si="1"/>
        <v>51867</v>
      </c>
      <c r="DN10" s="59">
        <f t="shared" si="1"/>
        <v>52232</v>
      </c>
      <c r="DO10" s="59">
        <f t="shared" si="1"/>
        <v>52597</v>
      </c>
      <c r="DP10" s="59">
        <f t="shared" si="1"/>
        <v>52963</v>
      </c>
      <c r="DQ10" s="59">
        <f t="shared" si="1"/>
        <v>53328</v>
      </c>
      <c r="DR10" s="59">
        <f t="shared" si="1"/>
        <v>53693</v>
      </c>
      <c r="DS10" s="59">
        <f t="shared" si="1"/>
        <v>54058</v>
      </c>
      <c r="DT10" s="59">
        <f t="shared" si="1"/>
        <v>54424</v>
      </c>
      <c r="DU10" s="59">
        <f t="shared" si="1"/>
        <v>54789</v>
      </c>
      <c r="DW10" s="59">
        <f>start_year</f>
        <v>43831</v>
      </c>
      <c r="DX10" s="59">
        <f t="shared" ref="DX10:FA10" si="2">EDATE(DW10,12)</f>
        <v>44197</v>
      </c>
      <c r="DY10" s="59">
        <f t="shared" si="2"/>
        <v>44562</v>
      </c>
      <c r="DZ10" s="59">
        <f t="shared" si="2"/>
        <v>44927</v>
      </c>
      <c r="EA10" s="59">
        <f t="shared" si="2"/>
        <v>45292</v>
      </c>
      <c r="EB10" s="59">
        <f t="shared" si="2"/>
        <v>45658</v>
      </c>
      <c r="EC10" s="59">
        <f t="shared" si="2"/>
        <v>46023</v>
      </c>
      <c r="ED10" s="59">
        <f t="shared" si="2"/>
        <v>46388</v>
      </c>
      <c r="EE10" s="59">
        <f t="shared" si="2"/>
        <v>46753</v>
      </c>
      <c r="EF10" s="59">
        <f t="shared" si="2"/>
        <v>47119</v>
      </c>
      <c r="EG10" s="59">
        <f t="shared" si="2"/>
        <v>47484</v>
      </c>
      <c r="EH10" s="59">
        <f t="shared" si="2"/>
        <v>47849</v>
      </c>
      <c r="EI10" s="59">
        <f t="shared" si="2"/>
        <v>48214</v>
      </c>
      <c r="EJ10" s="59">
        <f t="shared" si="2"/>
        <v>48580</v>
      </c>
      <c r="EK10" s="59">
        <f t="shared" si="2"/>
        <v>48945</v>
      </c>
      <c r="EL10" s="59">
        <f t="shared" si="2"/>
        <v>49310</v>
      </c>
      <c r="EM10" s="59">
        <f t="shared" si="2"/>
        <v>49675</v>
      </c>
      <c r="EN10" s="59">
        <f t="shared" si="2"/>
        <v>50041</v>
      </c>
      <c r="EO10" s="59">
        <f t="shared" si="2"/>
        <v>50406</v>
      </c>
      <c r="EP10" s="59">
        <f t="shared" si="2"/>
        <v>50771</v>
      </c>
      <c r="EQ10" s="59">
        <f t="shared" si="2"/>
        <v>51136</v>
      </c>
      <c r="ER10" s="59">
        <f t="shared" si="2"/>
        <v>51502</v>
      </c>
      <c r="ES10" s="59">
        <f t="shared" si="2"/>
        <v>51867</v>
      </c>
      <c r="ET10" s="59">
        <f t="shared" si="2"/>
        <v>52232</v>
      </c>
      <c r="EU10" s="59">
        <f t="shared" si="2"/>
        <v>52597</v>
      </c>
      <c r="EV10" s="59">
        <f t="shared" si="2"/>
        <v>52963</v>
      </c>
      <c r="EW10" s="59">
        <f t="shared" si="2"/>
        <v>53328</v>
      </c>
      <c r="EX10" s="59">
        <f t="shared" si="2"/>
        <v>53693</v>
      </c>
      <c r="EY10" s="59">
        <f t="shared" si="2"/>
        <v>54058</v>
      </c>
      <c r="EZ10" s="59">
        <f t="shared" si="2"/>
        <v>54424</v>
      </c>
      <c r="FA10" s="59">
        <f t="shared" si="2"/>
        <v>54789</v>
      </c>
      <c r="FC10" s="59">
        <f>start_year</f>
        <v>43831</v>
      </c>
      <c r="FD10" s="59">
        <f t="shared" ref="FD10:GG10" si="3">EDATE(FC10,12)</f>
        <v>44197</v>
      </c>
      <c r="FE10" s="59">
        <f t="shared" si="3"/>
        <v>44562</v>
      </c>
      <c r="FF10" s="59">
        <f t="shared" si="3"/>
        <v>44927</v>
      </c>
      <c r="FG10" s="59">
        <f t="shared" si="3"/>
        <v>45292</v>
      </c>
      <c r="FH10" s="59">
        <f t="shared" si="3"/>
        <v>45658</v>
      </c>
      <c r="FI10" s="59">
        <f t="shared" si="3"/>
        <v>46023</v>
      </c>
      <c r="FJ10" s="59">
        <f t="shared" si="3"/>
        <v>46388</v>
      </c>
      <c r="FK10" s="59">
        <f t="shared" si="3"/>
        <v>46753</v>
      </c>
      <c r="FL10" s="59">
        <f t="shared" si="3"/>
        <v>47119</v>
      </c>
      <c r="FM10" s="59">
        <f t="shared" si="3"/>
        <v>47484</v>
      </c>
      <c r="FN10" s="59">
        <f t="shared" si="3"/>
        <v>47849</v>
      </c>
      <c r="FO10" s="59">
        <f t="shared" si="3"/>
        <v>48214</v>
      </c>
      <c r="FP10" s="59">
        <f t="shared" si="3"/>
        <v>48580</v>
      </c>
      <c r="FQ10" s="59">
        <f t="shared" si="3"/>
        <v>48945</v>
      </c>
      <c r="FR10" s="59">
        <f t="shared" si="3"/>
        <v>49310</v>
      </c>
      <c r="FS10" s="59">
        <f t="shared" si="3"/>
        <v>49675</v>
      </c>
      <c r="FT10" s="59">
        <f t="shared" si="3"/>
        <v>50041</v>
      </c>
      <c r="FU10" s="59">
        <f t="shared" si="3"/>
        <v>50406</v>
      </c>
      <c r="FV10" s="59">
        <f t="shared" si="3"/>
        <v>50771</v>
      </c>
      <c r="FW10" s="59">
        <f t="shared" si="3"/>
        <v>51136</v>
      </c>
      <c r="FX10" s="59">
        <f t="shared" si="3"/>
        <v>51502</v>
      </c>
      <c r="FY10" s="59">
        <f t="shared" si="3"/>
        <v>51867</v>
      </c>
      <c r="FZ10" s="59">
        <f t="shared" si="3"/>
        <v>52232</v>
      </c>
      <c r="GA10" s="59">
        <f t="shared" si="3"/>
        <v>52597</v>
      </c>
      <c r="GB10" s="59">
        <f t="shared" si="3"/>
        <v>52963</v>
      </c>
      <c r="GC10" s="59">
        <f t="shared" si="3"/>
        <v>53328</v>
      </c>
      <c r="GD10" s="59">
        <f t="shared" si="3"/>
        <v>53693</v>
      </c>
      <c r="GE10" s="59">
        <f t="shared" si="3"/>
        <v>54058</v>
      </c>
      <c r="GF10" s="59">
        <f t="shared" si="3"/>
        <v>54424</v>
      </c>
      <c r="GG10" s="59">
        <f t="shared" si="3"/>
        <v>54789</v>
      </c>
      <c r="GI10" s="59">
        <f>start_year</f>
        <v>43831</v>
      </c>
      <c r="GJ10" s="59">
        <f t="shared" ref="GJ10:HM10" si="4">EDATE(GI10,12)</f>
        <v>44197</v>
      </c>
      <c r="GK10" s="59">
        <f t="shared" si="4"/>
        <v>44562</v>
      </c>
      <c r="GL10" s="59">
        <f t="shared" si="4"/>
        <v>44927</v>
      </c>
      <c r="GM10" s="59">
        <f t="shared" si="4"/>
        <v>45292</v>
      </c>
      <c r="GN10" s="59">
        <f t="shared" si="4"/>
        <v>45658</v>
      </c>
      <c r="GO10" s="59">
        <f t="shared" si="4"/>
        <v>46023</v>
      </c>
      <c r="GP10" s="59">
        <f t="shared" si="4"/>
        <v>46388</v>
      </c>
      <c r="GQ10" s="59">
        <f t="shared" si="4"/>
        <v>46753</v>
      </c>
      <c r="GR10" s="59">
        <f t="shared" si="4"/>
        <v>47119</v>
      </c>
      <c r="GS10" s="59">
        <f t="shared" si="4"/>
        <v>47484</v>
      </c>
      <c r="GT10" s="59">
        <f t="shared" si="4"/>
        <v>47849</v>
      </c>
      <c r="GU10" s="59">
        <f t="shared" si="4"/>
        <v>48214</v>
      </c>
      <c r="GV10" s="59">
        <f t="shared" si="4"/>
        <v>48580</v>
      </c>
      <c r="GW10" s="59">
        <f t="shared" si="4"/>
        <v>48945</v>
      </c>
      <c r="GX10" s="59">
        <f t="shared" si="4"/>
        <v>49310</v>
      </c>
      <c r="GY10" s="59">
        <f t="shared" si="4"/>
        <v>49675</v>
      </c>
      <c r="GZ10" s="59">
        <f t="shared" si="4"/>
        <v>50041</v>
      </c>
      <c r="HA10" s="59">
        <f t="shared" si="4"/>
        <v>50406</v>
      </c>
      <c r="HB10" s="59">
        <f t="shared" si="4"/>
        <v>50771</v>
      </c>
      <c r="HC10" s="59">
        <f t="shared" si="4"/>
        <v>51136</v>
      </c>
      <c r="HD10" s="59">
        <f t="shared" si="4"/>
        <v>51502</v>
      </c>
      <c r="HE10" s="59">
        <f t="shared" si="4"/>
        <v>51867</v>
      </c>
      <c r="HF10" s="59">
        <f t="shared" si="4"/>
        <v>52232</v>
      </c>
      <c r="HG10" s="59">
        <f t="shared" si="4"/>
        <v>52597</v>
      </c>
      <c r="HH10" s="59">
        <f t="shared" si="4"/>
        <v>52963</v>
      </c>
      <c r="HI10" s="59">
        <f t="shared" si="4"/>
        <v>53328</v>
      </c>
      <c r="HJ10" s="59">
        <f t="shared" si="4"/>
        <v>53693</v>
      </c>
      <c r="HK10" s="59">
        <f t="shared" si="4"/>
        <v>54058</v>
      </c>
      <c r="HL10" s="59">
        <f t="shared" si="4"/>
        <v>54424</v>
      </c>
      <c r="HM10" s="59">
        <f t="shared" si="4"/>
        <v>54789</v>
      </c>
      <c r="HO10" s="59">
        <f>start_year</f>
        <v>43831</v>
      </c>
      <c r="HP10" s="59">
        <f>start_year</f>
        <v>43831</v>
      </c>
      <c r="HR10" s="59">
        <f>start_year</f>
        <v>43831</v>
      </c>
      <c r="HS10" s="59">
        <f t="shared" ref="HS10:IV10" si="5">EDATE(HR10,12)</f>
        <v>44197</v>
      </c>
      <c r="HT10" s="59">
        <f t="shared" si="5"/>
        <v>44562</v>
      </c>
      <c r="HU10" s="59">
        <f t="shared" si="5"/>
        <v>44927</v>
      </c>
      <c r="HV10" s="59">
        <f t="shared" si="5"/>
        <v>45292</v>
      </c>
      <c r="HW10" s="59">
        <f t="shared" si="5"/>
        <v>45658</v>
      </c>
      <c r="HX10" s="59">
        <f t="shared" si="5"/>
        <v>46023</v>
      </c>
      <c r="HY10" s="59">
        <f t="shared" si="5"/>
        <v>46388</v>
      </c>
      <c r="HZ10" s="59">
        <f t="shared" si="5"/>
        <v>46753</v>
      </c>
      <c r="IA10" s="59">
        <f t="shared" si="5"/>
        <v>47119</v>
      </c>
      <c r="IB10" s="59">
        <f t="shared" si="5"/>
        <v>47484</v>
      </c>
      <c r="IC10" s="59">
        <f t="shared" si="5"/>
        <v>47849</v>
      </c>
      <c r="ID10" s="59">
        <f t="shared" si="5"/>
        <v>48214</v>
      </c>
      <c r="IE10" s="59">
        <f t="shared" si="5"/>
        <v>48580</v>
      </c>
      <c r="IF10" s="59">
        <f t="shared" si="5"/>
        <v>48945</v>
      </c>
      <c r="IG10" s="59">
        <f t="shared" si="5"/>
        <v>49310</v>
      </c>
      <c r="IH10" s="59">
        <f t="shared" si="5"/>
        <v>49675</v>
      </c>
      <c r="II10" s="59">
        <f t="shared" si="5"/>
        <v>50041</v>
      </c>
      <c r="IJ10" s="59">
        <f t="shared" si="5"/>
        <v>50406</v>
      </c>
      <c r="IK10" s="59">
        <f t="shared" si="5"/>
        <v>50771</v>
      </c>
      <c r="IL10" s="59">
        <f t="shared" si="5"/>
        <v>51136</v>
      </c>
      <c r="IM10" s="59">
        <f t="shared" si="5"/>
        <v>51502</v>
      </c>
      <c r="IN10" s="59">
        <f t="shared" si="5"/>
        <v>51867</v>
      </c>
      <c r="IO10" s="59">
        <f t="shared" si="5"/>
        <v>52232</v>
      </c>
      <c r="IP10" s="59">
        <f t="shared" si="5"/>
        <v>52597</v>
      </c>
      <c r="IQ10" s="59">
        <f t="shared" si="5"/>
        <v>52963</v>
      </c>
      <c r="IR10" s="59">
        <f t="shared" si="5"/>
        <v>53328</v>
      </c>
      <c r="IS10" s="59">
        <f t="shared" si="5"/>
        <v>53693</v>
      </c>
      <c r="IT10" s="59">
        <f t="shared" si="5"/>
        <v>54058</v>
      </c>
      <c r="IU10" s="59">
        <f t="shared" si="5"/>
        <v>54424</v>
      </c>
      <c r="IV10" s="59">
        <f t="shared" si="5"/>
        <v>54789</v>
      </c>
      <c r="IX10" s="59">
        <f>start_year</f>
        <v>43831</v>
      </c>
      <c r="IY10" s="59">
        <f t="shared" ref="IY10:KB10" si="6">EDATE(IX10,12)</f>
        <v>44197</v>
      </c>
      <c r="IZ10" s="59">
        <f t="shared" si="6"/>
        <v>44562</v>
      </c>
      <c r="JA10" s="59">
        <f t="shared" si="6"/>
        <v>44927</v>
      </c>
      <c r="JB10" s="59">
        <f t="shared" si="6"/>
        <v>45292</v>
      </c>
      <c r="JC10" s="59">
        <f t="shared" si="6"/>
        <v>45658</v>
      </c>
      <c r="JD10" s="59">
        <f t="shared" si="6"/>
        <v>46023</v>
      </c>
      <c r="JE10" s="59">
        <f t="shared" si="6"/>
        <v>46388</v>
      </c>
      <c r="JF10" s="59">
        <f t="shared" si="6"/>
        <v>46753</v>
      </c>
      <c r="JG10" s="59">
        <f t="shared" si="6"/>
        <v>47119</v>
      </c>
      <c r="JH10" s="59">
        <f t="shared" si="6"/>
        <v>47484</v>
      </c>
      <c r="JI10" s="59">
        <f t="shared" si="6"/>
        <v>47849</v>
      </c>
      <c r="JJ10" s="59">
        <f t="shared" si="6"/>
        <v>48214</v>
      </c>
      <c r="JK10" s="59">
        <f t="shared" si="6"/>
        <v>48580</v>
      </c>
      <c r="JL10" s="59">
        <f t="shared" si="6"/>
        <v>48945</v>
      </c>
      <c r="JM10" s="59">
        <f t="shared" si="6"/>
        <v>49310</v>
      </c>
      <c r="JN10" s="59">
        <f t="shared" si="6"/>
        <v>49675</v>
      </c>
      <c r="JO10" s="59">
        <f t="shared" si="6"/>
        <v>50041</v>
      </c>
      <c r="JP10" s="59">
        <f t="shared" si="6"/>
        <v>50406</v>
      </c>
      <c r="JQ10" s="59">
        <f t="shared" si="6"/>
        <v>50771</v>
      </c>
      <c r="JR10" s="59">
        <f t="shared" si="6"/>
        <v>51136</v>
      </c>
      <c r="JS10" s="59">
        <f t="shared" si="6"/>
        <v>51502</v>
      </c>
      <c r="JT10" s="59">
        <f t="shared" si="6"/>
        <v>51867</v>
      </c>
      <c r="JU10" s="59">
        <f t="shared" si="6"/>
        <v>52232</v>
      </c>
      <c r="JV10" s="59">
        <f t="shared" si="6"/>
        <v>52597</v>
      </c>
      <c r="JW10" s="59">
        <f t="shared" si="6"/>
        <v>52963</v>
      </c>
      <c r="JX10" s="59">
        <f t="shared" si="6"/>
        <v>53328</v>
      </c>
      <c r="JY10" s="59">
        <f t="shared" si="6"/>
        <v>53693</v>
      </c>
      <c r="JZ10" s="59">
        <f t="shared" si="6"/>
        <v>54058</v>
      </c>
      <c r="KA10" s="59">
        <f t="shared" si="6"/>
        <v>54424</v>
      </c>
      <c r="KB10" s="59">
        <f t="shared" si="6"/>
        <v>54789</v>
      </c>
      <c r="KD10" s="59">
        <f>start_year</f>
        <v>43831</v>
      </c>
      <c r="KE10" s="59">
        <f t="shared" ref="KE10:LH10" si="7">EDATE(KD10,12)</f>
        <v>44197</v>
      </c>
      <c r="KF10" s="59">
        <f t="shared" si="7"/>
        <v>44562</v>
      </c>
      <c r="KG10" s="59">
        <f t="shared" si="7"/>
        <v>44927</v>
      </c>
      <c r="KH10" s="59">
        <f t="shared" si="7"/>
        <v>45292</v>
      </c>
      <c r="KI10" s="59">
        <f t="shared" si="7"/>
        <v>45658</v>
      </c>
      <c r="KJ10" s="59">
        <f t="shared" si="7"/>
        <v>46023</v>
      </c>
      <c r="KK10" s="59">
        <f t="shared" si="7"/>
        <v>46388</v>
      </c>
      <c r="KL10" s="59">
        <f t="shared" si="7"/>
        <v>46753</v>
      </c>
      <c r="KM10" s="59">
        <f t="shared" si="7"/>
        <v>47119</v>
      </c>
      <c r="KN10" s="59">
        <f t="shared" si="7"/>
        <v>47484</v>
      </c>
      <c r="KO10" s="59">
        <f t="shared" si="7"/>
        <v>47849</v>
      </c>
      <c r="KP10" s="59">
        <f t="shared" si="7"/>
        <v>48214</v>
      </c>
      <c r="KQ10" s="59">
        <f t="shared" si="7"/>
        <v>48580</v>
      </c>
      <c r="KR10" s="59">
        <f t="shared" si="7"/>
        <v>48945</v>
      </c>
      <c r="KS10" s="59">
        <f t="shared" si="7"/>
        <v>49310</v>
      </c>
      <c r="KT10" s="59">
        <f t="shared" si="7"/>
        <v>49675</v>
      </c>
      <c r="KU10" s="59">
        <f t="shared" si="7"/>
        <v>50041</v>
      </c>
      <c r="KV10" s="59">
        <f t="shared" si="7"/>
        <v>50406</v>
      </c>
      <c r="KW10" s="59">
        <f t="shared" si="7"/>
        <v>50771</v>
      </c>
      <c r="KX10" s="59">
        <f t="shared" si="7"/>
        <v>51136</v>
      </c>
      <c r="KY10" s="59">
        <f t="shared" si="7"/>
        <v>51502</v>
      </c>
      <c r="KZ10" s="59">
        <f t="shared" si="7"/>
        <v>51867</v>
      </c>
      <c r="LA10" s="59">
        <f t="shared" si="7"/>
        <v>52232</v>
      </c>
      <c r="LB10" s="59">
        <f t="shared" si="7"/>
        <v>52597</v>
      </c>
      <c r="LC10" s="59">
        <f t="shared" si="7"/>
        <v>52963</v>
      </c>
      <c r="LD10" s="59">
        <f t="shared" si="7"/>
        <v>53328</v>
      </c>
      <c r="LE10" s="59">
        <f t="shared" si="7"/>
        <v>53693</v>
      </c>
      <c r="LF10" s="59">
        <f t="shared" si="7"/>
        <v>54058</v>
      </c>
      <c r="LG10" s="59">
        <f t="shared" si="7"/>
        <v>54424</v>
      </c>
      <c r="LH10" s="59">
        <f t="shared" si="7"/>
        <v>54789</v>
      </c>
      <c r="LJ10" s="59">
        <f>start_year</f>
        <v>43831</v>
      </c>
      <c r="LK10" s="59">
        <f t="shared" ref="LK10:MN10" si="8">EDATE(LJ10,12)</f>
        <v>44197</v>
      </c>
      <c r="LL10" s="59">
        <f t="shared" si="8"/>
        <v>44562</v>
      </c>
      <c r="LM10" s="59">
        <f t="shared" si="8"/>
        <v>44927</v>
      </c>
      <c r="LN10" s="59">
        <f t="shared" si="8"/>
        <v>45292</v>
      </c>
      <c r="LO10" s="59">
        <f t="shared" si="8"/>
        <v>45658</v>
      </c>
      <c r="LP10" s="59">
        <f t="shared" si="8"/>
        <v>46023</v>
      </c>
      <c r="LQ10" s="59">
        <f t="shared" si="8"/>
        <v>46388</v>
      </c>
      <c r="LR10" s="59">
        <f t="shared" si="8"/>
        <v>46753</v>
      </c>
      <c r="LS10" s="59">
        <f t="shared" si="8"/>
        <v>47119</v>
      </c>
      <c r="LT10" s="59">
        <f t="shared" si="8"/>
        <v>47484</v>
      </c>
      <c r="LU10" s="59">
        <f t="shared" si="8"/>
        <v>47849</v>
      </c>
      <c r="LV10" s="59">
        <f t="shared" si="8"/>
        <v>48214</v>
      </c>
      <c r="LW10" s="59">
        <f t="shared" si="8"/>
        <v>48580</v>
      </c>
      <c r="LX10" s="59">
        <f t="shared" si="8"/>
        <v>48945</v>
      </c>
      <c r="LY10" s="59">
        <f t="shared" si="8"/>
        <v>49310</v>
      </c>
      <c r="LZ10" s="59">
        <f t="shared" si="8"/>
        <v>49675</v>
      </c>
      <c r="MA10" s="59">
        <f t="shared" si="8"/>
        <v>50041</v>
      </c>
      <c r="MB10" s="59">
        <f t="shared" si="8"/>
        <v>50406</v>
      </c>
      <c r="MC10" s="59">
        <f t="shared" si="8"/>
        <v>50771</v>
      </c>
      <c r="MD10" s="59">
        <f t="shared" si="8"/>
        <v>51136</v>
      </c>
      <c r="ME10" s="59">
        <f t="shared" si="8"/>
        <v>51502</v>
      </c>
      <c r="MF10" s="59">
        <f t="shared" si="8"/>
        <v>51867</v>
      </c>
      <c r="MG10" s="59">
        <f t="shared" si="8"/>
        <v>52232</v>
      </c>
      <c r="MH10" s="59">
        <f t="shared" si="8"/>
        <v>52597</v>
      </c>
      <c r="MI10" s="59">
        <f t="shared" si="8"/>
        <v>52963</v>
      </c>
      <c r="MJ10" s="59">
        <f t="shared" si="8"/>
        <v>53328</v>
      </c>
      <c r="MK10" s="59">
        <f t="shared" si="8"/>
        <v>53693</v>
      </c>
      <c r="ML10" s="59">
        <f t="shared" si="8"/>
        <v>54058</v>
      </c>
      <c r="MM10" s="59">
        <f t="shared" si="8"/>
        <v>54424</v>
      </c>
      <c r="MN10" s="59">
        <f t="shared" si="8"/>
        <v>54789</v>
      </c>
      <c r="MP10" s="59">
        <f>start_year</f>
        <v>43831</v>
      </c>
      <c r="MQ10" s="59">
        <f t="shared" ref="MQ10:NT10" si="9">EDATE(MP10,12)</f>
        <v>44197</v>
      </c>
      <c r="MR10" s="59">
        <f t="shared" si="9"/>
        <v>44562</v>
      </c>
      <c r="MS10" s="59">
        <f t="shared" si="9"/>
        <v>44927</v>
      </c>
      <c r="MT10" s="59">
        <f t="shared" si="9"/>
        <v>45292</v>
      </c>
      <c r="MU10" s="59">
        <f t="shared" si="9"/>
        <v>45658</v>
      </c>
      <c r="MV10" s="59">
        <f t="shared" si="9"/>
        <v>46023</v>
      </c>
      <c r="MW10" s="59">
        <f t="shared" si="9"/>
        <v>46388</v>
      </c>
      <c r="MX10" s="59">
        <f t="shared" si="9"/>
        <v>46753</v>
      </c>
      <c r="MY10" s="59">
        <f t="shared" si="9"/>
        <v>47119</v>
      </c>
      <c r="MZ10" s="59">
        <f t="shared" si="9"/>
        <v>47484</v>
      </c>
      <c r="NA10" s="59">
        <f t="shared" si="9"/>
        <v>47849</v>
      </c>
      <c r="NB10" s="59">
        <f t="shared" si="9"/>
        <v>48214</v>
      </c>
      <c r="NC10" s="59">
        <f t="shared" si="9"/>
        <v>48580</v>
      </c>
      <c r="ND10" s="59">
        <f t="shared" si="9"/>
        <v>48945</v>
      </c>
      <c r="NE10" s="59">
        <f t="shared" si="9"/>
        <v>49310</v>
      </c>
      <c r="NF10" s="59">
        <f t="shared" si="9"/>
        <v>49675</v>
      </c>
      <c r="NG10" s="59">
        <f t="shared" si="9"/>
        <v>50041</v>
      </c>
      <c r="NH10" s="59">
        <f t="shared" si="9"/>
        <v>50406</v>
      </c>
      <c r="NI10" s="59">
        <f t="shared" si="9"/>
        <v>50771</v>
      </c>
      <c r="NJ10" s="59">
        <f t="shared" si="9"/>
        <v>51136</v>
      </c>
      <c r="NK10" s="59">
        <f t="shared" si="9"/>
        <v>51502</v>
      </c>
      <c r="NL10" s="59">
        <f t="shared" si="9"/>
        <v>51867</v>
      </c>
      <c r="NM10" s="59">
        <f t="shared" si="9"/>
        <v>52232</v>
      </c>
      <c r="NN10" s="59">
        <f t="shared" si="9"/>
        <v>52597</v>
      </c>
      <c r="NO10" s="59">
        <f t="shared" si="9"/>
        <v>52963</v>
      </c>
      <c r="NP10" s="59">
        <f t="shared" si="9"/>
        <v>53328</v>
      </c>
      <c r="NQ10" s="59">
        <f t="shared" si="9"/>
        <v>53693</v>
      </c>
      <c r="NR10" s="59">
        <f t="shared" si="9"/>
        <v>54058</v>
      </c>
      <c r="NS10" s="59">
        <f t="shared" si="9"/>
        <v>54424</v>
      </c>
      <c r="NT10" s="59">
        <f t="shared" si="9"/>
        <v>54789</v>
      </c>
      <c r="NV10" s="59">
        <f>start_year</f>
        <v>43831</v>
      </c>
      <c r="NW10" s="59">
        <f t="shared" ref="NW10:OZ10" si="10">EDATE(NV10,12)</f>
        <v>44197</v>
      </c>
      <c r="NX10" s="59">
        <f t="shared" si="10"/>
        <v>44562</v>
      </c>
      <c r="NY10" s="59">
        <f t="shared" si="10"/>
        <v>44927</v>
      </c>
      <c r="NZ10" s="59">
        <f t="shared" si="10"/>
        <v>45292</v>
      </c>
      <c r="OA10" s="59">
        <f t="shared" si="10"/>
        <v>45658</v>
      </c>
      <c r="OB10" s="59">
        <f t="shared" si="10"/>
        <v>46023</v>
      </c>
      <c r="OC10" s="59">
        <f t="shared" si="10"/>
        <v>46388</v>
      </c>
      <c r="OD10" s="59">
        <f t="shared" si="10"/>
        <v>46753</v>
      </c>
      <c r="OE10" s="59">
        <f t="shared" si="10"/>
        <v>47119</v>
      </c>
      <c r="OF10" s="59">
        <f t="shared" si="10"/>
        <v>47484</v>
      </c>
      <c r="OG10" s="59">
        <f t="shared" si="10"/>
        <v>47849</v>
      </c>
      <c r="OH10" s="59">
        <f t="shared" si="10"/>
        <v>48214</v>
      </c>
      <c r="OI10" s="59">
        <f t="shared" si="10"/>
        <v>48580</v>
      </c>
      <c r="OJ10" s="59">
        <f t="shared" si="10"/>
        <v>48945</v>
      </c>
      <c r="OK10" s="59">
        <f t="shared" si="10"/>
        <v>49310</v>
      </c>
      <c r="OL10" s="59">
        <f t="shared" si="10"/>
        <v>49675</v>
      </c>
      <c r="OM10" s="59">
        <f t="shared" si="10"/>
        <v>50041</v>
      </c>
      <c r="ON10" s="59">
        <f t="shared" si="10"/>
        <v>50406</v>
      </c>
      <c r="OO10" s="59">
        <f t="shared" si="10"/>
        <v>50771</v>
      </c>
      <c r="OP10" s="59">
        <f t="shared" si="10"/>
        <v>51136</v>
      </c>
      <c r="OQ10" s="59">
        <f t="shared" si="10"/>
        <v>51502</v>
      </c>
      <c r="OR10" s="59">
        <f t="shared" si="10"/>
        <v>51867</v>
      </c>
      <c r="OS10" s="59">
        <f t="shared" si="10"/>
        <v>52232</v>
      </c>
      <c r="OT10" s="59">
        <f t="shared" si="10"/>
        <v>52597</v>
      </c>
      <c r="OU10" s="59">
        <f t="shared" si="10"/>
        <v>52963</v>
      </c>
      <c r="OV10" s="59">
        <f t="shared" si="10"/>
        <v>53328</v>
      </c>
      <c r="OW10" s="59">
        <f t="shared" si="10"/>
        <v>53693</v>
      </c>
      <c r="OX10" s="59">
        <f t="shared" si="10"/>
        <v>54058</v>
      </c>
      <c r="OY10" s="59">
        <f t="shared" si="10"/>
        <v>54424</v>
      </c>
      <c r="OZ10" s="59">
        <f t="shared" si="10"/>
        <v>54789</v>
      </c>
      <c r="PB10" s="59">
        <f>start_year</f>
        <v>43831</v>
      </c>
      <c r="PC10" s="13" t="s">
        <v>277</v>
      </c>
      <c r="PD10" s="59">
        <f>start_year</f>
        <v>43831</v>
      </c>
      <c r="PE10" s="13" t="s">
        <v>277</v>
      </c>
      <c r="PF10" s="13"/>
      <c r="PH10" s="14"/>
      <c r="PI10" s="14"/>
      <c r="PJ10" s="14"/>
      <c r="PK10" s="14"/>
      <c r="PM10" s="59">
        <f>start_year</f>
        <v>43831</v>
      </c>
      <c r="PN10" s="26" t="s">
        <v>277</v>
      </c>
      <c r="PO10" s="59">
        <f>start_year</f>
        <v>43831</v>
      </c>
      <c r="PP10" s="26" t="s">
        <v>277</v>
      </c>
      <c r="PQ10" s="59">
        <f>start_year</f>
        <v>43831</v>
      </c>
      <c r="PR10" s="26" t="s">
        <v>277</v>
      </c>
      <c r="PT10" s="59">
        <f>start_year</f>
        <v>43831</v>
      </c>
      <c r="PU10" s="26" t="s">
        <v>277</v>
      </c>
      <c r="PV10" s="59">
        <f>start_year</f>
        <v>43831</v>
      </c>
      <c r="PW10" s="26" t="s">
        <v>277</v>
      </c>
      <c r="PZ10" s="14"/>
      <c r="QA10" s="40"/>
      <c r="QB10" s="40"/>
    </row>
    <row r="11" spans="1:444">
      <c r="B11" s="3" t="s">
        <v>238</v>
      </c>
      <c r="D11" s="39" t="b">
        <f t="shared" ref="D11:D20" si="11">IF(ISBLANK($B11),"-/-",COUNTIFS(component_names,$B11,component_types,$B$9)&gt;0)</f>
        <v>1</v>
      </c>
      <c r="F11" s="3"/>
      <c r="H11" s="118" t="s">
        <v>110</v>
      </c>
      <c r="J11" s="118" t="s">
        <v>208</v>
      </c>
      <c r="L11" s="118" t="s">
        <v>216</v>
      </c>
      <c r="N11" s="118"/>
      <c r="O11" s="118"/>
      <c r="P11" s="118"/>
      <c r="Q11" s="118"/>
      <c r="R11" s="118"/>
      <c r="S11" s="118"/>
      <c r="U11" s="118"/>
      <c r="V11" s="118"/>
      <c r="W11" s="118"/>
      <c r="X11" s="118"/>
      <c r="Z11" s="118"/>
      <c r="AB11" s="19"/>
      <c r="AC11" s="19"/>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v>6950</v>
      </c>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v>4</v>
      </c>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C11" s="25"/>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I11" s="25"/>
      <c r="GJ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O11" s="23"/>
      <c r="HP11" s="23"/>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X11" s="25"/>
      <c r="IY11" s="25"/>
      <c r="IZ11" s="25"/>
      <c r="JA11" s="25"/>
      <c r="JB11" s="25"/>
      <c r="JC11" s="25"/>
      <c r="JD11" s="25"/>
      <c r="JE11" s="25"/>
      <c r="JF11" s="25"/>
      <c r="JG11" s="25"/>
      <c r="JH11" s="25"/>
      <c r="JI11" s="25"/>
      <c r="JJ11" s="25"/>
      <c r="JK11" s="25"/>
      <c r="JL11" s="25"/>
      <c r="JM11" s="25"/>
      <c r="JN11" s="25"/>
      <c r="JO11" s="25"/>
      <c r="JP11" s="25"/>
      <c r="JQ11" s="25"/>
      <c r="JR11" s="25"/>
      <c r="JS11" s="25"/>
      <c r="JT11" s="25"/>
      <c r="JU11" s="25"/>
      <c r="JV11" s="25"/>
      <c r="JW11" s="25"/>
      <c r="JX11" s="25"/>
      <c r="JY11" s="25"/>
      <c r="JZ11" s="25"/>
      <c r="KA11" s="25"/>
      <c r="KB11" s="25"/>
      <c r="KD11" s="25"/>
      <c r="KE11" s="25"/>
      <c r="KF11" s="25"/>
      <c r="KG11" s="25"/>
      <c r="KH11" s="25"/>
      <c r="KI11" s="25"/>
      <c r="KJ11" s="25"/>
      <c r="KK11" s="25"/>
      <c r="KL11" s="25"/>
      <c r="KM11" s="25"/>
      <c r="KN11" s="25"/>
      <c r="KO11" s="25"/>
      <c r="KP11" s="25"/>
      <c r="KQ11" s="25"/>
      <c r="KR11" s="25"/>
      <c r="KS11" s="25"/>
      <c r="KT11" s="25"/>
      <c r="KU11" s="25"/>
      <c r="KV11" s="25"/>
      <c r="KW11" s="25"/>
      <c r="KX11" s="25"/>
      <c r="KY11" s="25"/>
      <c r="KZ11" s="25"/>
      <c r="LA11" s="25"/>
      <c r="LB11" s="25"/>
      <c r="LC11" s="25"/>
      <c r="LD11" s="25"/>
      <c r="LE11" s="25"/>
      <c r="LF11" s="25"/>
      <c r="LG11" s="25"/>
      <c r="LH11" s="25"/>
      <c r="LJ11" s="25"/>
      <c r="LK11" s="25"/>
      <c r="LL11" s="25"/>
      <c r="LM11" s="25"/>
      <c r="LN11" s="25"/>
      <c r="LO11" s="25"/>
      <c r="LP11" s="25"/>
      <c r="LQ11" s="25"/>
      <c r="LR11" s="25"/>
      <c r="LS11" s="25"/>
      <c r="LT11" s="25"/>
      <c r="LU11" s="25"/>
      <c r="LV11" s="25"/>
      <c r="LW11" s="25"/>
      <c r="LX11" s="25"/>
      <c r="LY11" s="25"/>
      <c r="LZ11" s="25"/>
      <c r="MA11" s="25"/>
      <c r="MB11" s="25"/>
      <c r="MC11" s="25"/>
      <c r="MD11" s="25"/>
      <c r="ME11" s="25"/>
      <c r="MF11" s="25"/>
      <c r="MG11" s="25"/>
      <c r="MH11" s="25"/>
      <c r="MI11" s="25"/>
      <c r="MJ11" s="25"/>
      <c r="MK11" s="25"/>
      <c r="ML11" s="25"/>
      <c r="MM11" s="25"/>
      <c r="MN11" s="25"/>
      <c r="MP11" s="25"/>
      <c r="MQ11" s="25"/>
      <c r="MR11" s="25"/>
      <c r="MS11" s="25"/>
      <c r="MT11" s="25"/>
      <c r="MU11" s="25"/>
      <c r="MV11" s="25"/>
      <c r="MW11" s="25"/>
      <c r="MX11" s="25"/>
      <c r="MY11" s="25"/>
      <c r="MZ11" s="25"/>
      <c r="NA11" s="25"/>
      <c r="NB11" s="25"/>
      <c r="NC11" s="25"/>
      <c r="ND11" s="25"/>
      <c r="NE11" s="25"/>
      <c r="NF11" s="25"/>
      <c r="NG11" s="25"/>
      <c r="NH11" s="25"/>
      <c r="NI11" s="25"/>
      <c r="NJ11" s="25"/>
      <c r="NK11" s="25"/>
      <c r="NL11" s="25"/>
      <c r="NM11" s="25"/>
      <c r="NN11" s="25"/>
      <c r="NO11" s="25"/>
      <c r="NP11" s="25"/>
      <c r="NQ11" s="25"/>
      <c r="NR11" s="25"/>
      <c r="NS11" s="25"/>
      <c r="NT11" s="25"/>
      <c r="NV11" s="25"/>
      <c r="NW11" s="25"/>
      <c r="NX11" s="25"/>
      <c r="NY11" s="25"/>
      <c r="NZ11" s="25"/>
      <c r="OA11" s="25"/>
      <c r="OB11" s="25"/>
      <c r="OC11" s="25"/>
      <c r="OD11" s="25"/>
      <c r="OE11" s="25"/>
      <c r="OF11" s="25"/>
      <c r="OG11" s="25"/>
      <c r="OH11" s="25"/>
      <c r="OI11" s="25"/>
      <c r="OJ11" s="25"/>
      <c r="OK11" s="25"/>
      <c r="OL11" s="25"/>
      <c r="OM11" s="25"/>
      <c r="ON11" s="25"/>
      <c r="OO11" s="25"/>
      <c r="OP11" s="25"/>
      <c r="OQ11" s="25"/>
      <c r="OR11" s="25"/>
      <c r="OS11" s="25"/>
      <c r="OT11" s="25"/>
      <c r="OU11" s="25"/>
      <c r="OV11" s="25"/>
      <c r="OW11" s="25"/>
      <c r="OX11" s="25"/>
      <c r="OY11" s="25"/>
      <c r="OZ11" s="25"/>
      <c r="PB11" s="29">
        <v>0.85</v>
      </c>
      <c r="PC11" s="29"/>
      <c r="PD11" s="29">
        <v>1</v>
      </c>
      <c r="PE11" s="29"/>
      <c r="PF11" s="29"/>
      <c r="PH11" s="29"/>
      <c r="PI11" s="29"/>
      <c r="PJ11" s="29"/>
      <c r="PK11" s="29"/>
      <c r="PM11" s="29">
        <v>0</v>
      </c>
      <c r="PN11" s="3"/>
      <c r="PO11" s="29">
        <v>1</v>
      </c>
      <c r="PP11" s="93"/>
      <c r="PQ11" s="29">
        <v>1</v>
      </c>
      <c r="PR11" s="3"/>
      <c r="PT11" s="29"/>
      <c r="PU11" s="3"/>
      <c r="PV11" s="29"/>
      <c r="PW11" s="3"/>
      <c r="PZ11" s="35">
        <v>0</v>
      </c>
      <c r="QA11" s="81">
        <v>24</v>
      </c>
      <c r="QB11" s="81">
        <v>5</v>
      </c>
    </row>
    <row r="12" spans="1:444">
      <c r="B12" s="3"/>
      <c r="D12" s="39" t="str">
        <f t="shared" si="11"/>
        <v>-/-</v>
      </c>
      <c r="F12" s="3"/>
      <c r="H12" s="118"/>
      <c r="J12" s="118"/>
      <c r="L12" s="118"/>
      <c r="N12" s="118"/>
      <c r="O12" s="118"/>
      <c r="P12" s="118"/>
      <c r="Q12" s="118"/>
      <c r="R12" s="118"/>
      <c r="S12" s="118"/>
      <c r="U12" s="118"/>
      <c r="V12" s="118"/>
      <c r="W12" s="118"/>
      <c r="X12" s="118"/>
      <c r="Z12" s="118"/>
      <c r="AB12" s="19"/>
      <c r="AC12" s="19"/>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W12" s="25"/>
      <c r="DX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C12" s="25"/>
      <c r="FD12" s="25"/>
      <c r="FE12" s="25"/>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I12" s="25"/>
      <c r="GJ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O12" s="23"/>
      <c r="HP12" s="23"/>
      <c r="HR12" s="25"/>
      <c r="HS12" s="25"/>
      <c r="HT12" s="25"/>
      <c r="HU12" s="25"/>
      <c r="HV12" s="25"/>
      <c r="HW12" s="25"/>
      <c r="HX12" s="25"/>
      <c r="HY12" s="25"/>
      <c r="HZ12" s="25"/>
      <c r="IA12" s="25"/>
      <c r="IB12" s="25"/>
      <c r="IC12" s="25"/>
      <c r="ID12" s="25"/>
      <c r="IE12" s="25"/>
      <c r="IF12" s="25"/>
      <c r="IG12" s="25"/>
      <c r="IH12" s="25"/>
      <c r="II12" s="25"/>
      <c r="IJ12" s="25"/>
      <c r="IK12" s="25"/>
      <c r="IL12" s="25"/>
      <c r="IM12" s="25"/>
      <c r="IN12" s="25"/>
      <c r="IO12" s="25"/>
      <c r="IP12" s="25"/>
      <c r="IQ12" s="25"/>
      <c r="IR12" s="25"/>
      <c r="IS12" s="25"/>
      <c r="IT12" s="25"/>
      <c r="IU12" s="25"/>
      <c r="IV12" s="25"/>
      <c r="IX12" s="25"/>
      <c r="IY12" s="25"/>
      <c r="IZ12" s="25"/>
      <c r="JA12" s="25"/>
      <c r="JB12" s="25"/>
      <c r="JC12" s="25"/>
      <c r="JD12" s="25"/>
      <c r="JE12" s="25"/>
      <c r="JF12" s="25"/>
      <c r="JG12" s="25"/>
      <c r="JH12" s="25"/>
      <c r="JI12" s="25"/>
      <c r="JJ12" s="25"/>
      <c r="JK12" s="25"/>
      <c r="JL12" s="25"/>
      <c r="JM12" s="25"/>
      <c r="JN12" s="25"/>
      <c r="JO12" s="25"/>
      <c r="JP12" s="25"/>
      <c r="JQ12" s="25"/>
      <c r="JR12" s="25"/>
      <c r="JS12" s="25"/>
      <c r="JT12" s="25"/>
      <c r="JU12" s="25"/>
      <c r="JV12" s="25"/>
      <c r="JW12" s="25"/>
      <c r="JX12" s="25"/>
      <c r="JY12" s="25"/>
      <c r="JZ12" s="25"/>
      <c r="KA12" s="25"/>
      <c r="KB12" s="25"/>
      <c r="KD12" s="25"/>
      <c r="KE12" s="25"/>
      <c r="KF12" s="25"/>
      <c r="KG12" s="25"/>
      <c r="KH12" s="25"/>
      <c r="KI12" s="25"/>
      <c r="KJ12" s="25"/>
      <c r="KK12" s="25"/>
      <c r="KL12" s="25"/>
      <c r="KM12" s="25"/>
      <c r="KN12" s="25"/>
      <c r="KO12" s="25"/>
      <c r="KP12" s="25"/>
      <c r="KQ12" s="25"/>
      <c r="KR12" s="25"/>
      <c r="KS12" s="25"/>
      <c r="KT12" s="25"/>
      <c r="KU12" s="25"/>
      <c r="KV12" s="25"/>
      <c r="KW12" s="25"/>
      <c r="KX12" s="25"/>
      <c r="KY12" s="25"/>
      <c r="KZ12" s="25"/>
      <c r="LA12" s="25"/>
      <c r="LB12" s="25"/>
      <c r="LC12" s="25"/>
      <c r="LD12" s="25"/>
      <c r="LE12" s="25"/>
      <c r="LF12" s="25"/>
      <c r="LG12" s="25"/>
      <c r="LH12" s="25"/>
      <c r="LJ12" s="25"/>
      <c r="LK12" s="25"/>
      <c r="LL12" s="25"/>
      <c r="LM12" s="25"/>
      <c r="LN12" s="25"/>
      <c r="LO12" s="25"/>
      <c r="LP12" s="25"/>
      <c r="LQ12" s="25"/>
      <c r="LR12" s="25"/>
      <c r="LS12" s="25"/>
      <c r="LT12" s="25"/>
      <c r="LU12" s="25"/>
      <c r="LV12" s="25"/>
      <c r="LW12" s="25"/>
      <c r="LX12" s="25"/>
      <c r="LY12" s="25"/>
      <c r="LZ12" s="25"/>
      <c r="MA12" s="25"/>
      <c r="MB12" s="25"/>
      <c r="MC12" s="25"/>
      <c r="MD12" s="25"/>
      <c r="ME12" s="25"/>
      <c r="MF12" s="25"/>
      <c r="MG12" s="25"/>
      <c r="MH12" s="25"/>
      <c r="MI12" s="25"/>
      <c r="MJ12" s="25"/>
      <c r="MK12" s="25"/>
      <c r="ML12" s="25"/>
      <c r="MM12" s="25"/>
      <c r="MN12" s="25"/>
      <c r="MP12" s="25"/>
      <c r="MQ12" s="25"/>
      <c r="MR12" s="25"/>
      <c r="MS12" s="25"/>
      <c r="MT12" s="25"/>
      <c r="MU12" s="25"/>
      <c r="MV12" s="25"/>
      <c r="MW12" s="25"/>
      <c r="MX12" s="25"/>
      <c r="MY12" s="25"/>
      <c r="MZ12" s="25"/>
      <c r="NA12" s="25"/>
      <c r="NB12" s="25"/>
      <c r="NC12" s="25"/>
      <c r="ND12" s="25"/>
      <c r="NE12" s="25"/>
      <c r="NF12" s="25"/>
      <c r="NG12" s="25"/>
      <c r="NH12" s="25"/>
      <c r="NI12" s="25"/>
      <c r="NJ12" s="25"/>
      <c r="NK12" s="25"/>
      <c r="NL12" s="25"/>
      <c r="NM12" s="25"/>
      <c r="NN12" s="25"/>
      <c r="NO12" s="25"/>
      <c r="NP12" s="25"/>
      <c r="NQ12" s="25"/>
      <c r="NR12" s="25"/>
      <c r="NS12" s="25"/>
      <c r="NT12" s="25"/>
      <c r="NV12" s="25"/>
      <c r="NW12" s="25"/>
      <c r="NX12" s="25"/>
      <c r="NY12" s="25"/>
      <c r="NZ12" s="25"/>
      <c r="OA12" s="25"/>
      <c r="OB12" s="25"/>
      <c r="OC12" s="25"/>
      <c r="OD12" s="25"/>
      <c r="OE12" s="25"/>
      <c r="OF12" s="25"/>
      <c r="OG12" s="25"/>
      <c r="OH12" s="25"/>
      <c r="OI12" s="25"/>
      <c r="OJ12" s="25"/>
      <c r="OK12" s="25"/>
      <c r="OL12" s="25"/>
      <c r="OM12" s="25"/>
      <c r="ON12" s="25"/>
      <c r="OO12" s="25"/>
      <c r="OP12" s="25"/>
      <c r="OQ12" s="25"/>
      <c r="OR12" s="25"/>
      <c r="OS12" s="25"/>
      <c r="OT12" s="25"/>
      <c r="OU12" s="25"/>
      <c r="OV12" s="25"/>
      <c r="OW12" s="25"/>
      <c r="OX12" s="25"/>
      <c r="OY12" s="25"/>
      <c r="OZ12" s="25"/>
      <c r="PB12" s="29"/>
      <c r="PC12" s="29"/>
      <c r="PD12" s="29"/>
      <c r="PE12" s="29"/>
      <c r="PF12" s="29"/>
      <c r="PH12" s="29"/>
      <c r="PI12" s="29"/>
      <c r="PJ12" s="29"/>
      <c r="PK12" s="29"/>
      <c r="PM12" s="29"/>
      <c r="PN12" s="3"/>
      <c r="PO12" s="29"/>
      <c r="PP12" s="93"/>
      <c r="PQ12" s="29"/>
      <c r="PR12" s="3"/>
      <c r="PT12" s="29"/>
      <c r="PU12" s="3"/>
      <c r="PV12" s="29"/>
      <c r="PW12" s="3"/>
      <c r="PZ12" s="35"/>
      <c r="QA12" s="81"/>
      <c r="QB12" s="81"/>
    </row>
    <row r="13" spans="1:444">
      <c r="B13" s="3"/>
      <c r="D13" s="39" t="str">
        <f t="shared" si="11"/>
        <v>-/-</v>
      </c>
      <c r="F13" s="3"/>
      <c r="H13" s="118"/>
      <c r="J13" s="118"/>
      <c r="L13" s="118"/>
      <c r="N13" s="118"/>
      <c r="O13" s="118"/>
      <c r="P13" s="118"/>
      <c r="Q13" s="118"/>
      <c r="R13" s="118"/>
      <c r="S13" s="118"/>
      <c r="U13" s="118"/>
      <c r="V13" s="118"/>
      <c r="W13" s="118"/>
      <c r="X13" s="118"/>
      <c r="Z13" s="118"/>
      <c r="AB13" s="19"/>
      <c r="AC13" s="19"/>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W13" s="25"/>
      <c r="DX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C13" s="25"/>
      <c r="FD13" s="25"/>
      <c r="FE13" s="25"/>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I13" s="25"/>
      <c r="GJ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O13" s="23"/>
      <c r="HP13" s="23"/>
      <c r="HR13" s="25"/>
      <c r="HS13" s="25"/>
      <c r="HT13" s="25"/>
      <c r="HU13" s="25"/>
      <c r="HV13" s="25"/>
      <c r="HW13" s="25"/>
      <c r="HX13" s="25"/>
      <c r="HY13" s="25"/>
      <c r="HZ13" s="25"/>
      <c r="IA13" s="25"/>
      <c r="IB13" s="25"/>
      <c r="IC13" s="25"/>
      <c r="ID13" s="25"/>
      <c r="IE13" s="25"/>
      <c r="IF13" s="25"/>
      <c r="IG13" s="25"/>
      <c r="IH13" s="25"/>
      <c r="II13" s="25"/>
      <c r="IJ13" s="25"/>
      <c r="IK13" s="25"/>
      <c r="IL13" s="25"/>
      <c r="IM13" s="25"/>
      <c r="IN13" s="25"/>
      <c r="IO13" s="25"/>
      <c r="IP13" s="25"/>
      <c r="IQ13" s="25"/>
      <c r="IR13" s="25"/>
      <c r="IS13" s="25"/>
      <c r="IT13" s="25"/>
      <c r="IU13" s="25"/>
      <c r="IV13" s="25"/>
      <c r="IX13" s="25"/>
      <c r="IY13" s="25"/>
      <c r="IZ13" s="25"/>
      <c r="JA13" s="25"/>
      <c r="JB13" s="25"/>
      <c r="JC13" s="25"/>
      <c r="JD13" s="25"/>
      <c r="JE13" s="25"/>
      <c r="JF13" s="25"/>
      <c r="JG13" s="25"/>
      <c r="JH13" s="25"/>
      <c r="JI13" s="25"/>
      <c r="JJ13" s="25"/>
      <c r="JK13" s="25"/>
      <c r="JL13" s="25"/>
      <c r="JM13" s="25"/>
      <c r="JN13" s="25"/>
      <c r="JO13" s="25"/>
      <c r="JP13" s="25"/>
      <c r="JQ13" s="25"/>
      <c r="JR13" s="25"/>
      <c r="JS13" s="25"/>
      <c r="JT13" s="25"/>
      <c r="JU13" s="25"/>
      <c r="JV13" s="25"/>
      <c r="JW13" s="25"/>
      <c r="JX13" s="25"/>
      <c r="JY13" s="25"/>
      <c r="JZ13" s="25"/>
      <c r="KA13" s="25"/>
      <c r="KB13" s="25"/>
      <c r="KD13" s="25"/>
      <c r="KE13" s="25"/>
      <c r="KF13" s="25"/>
      <c r="KG13" s="25"/>
      <c r="KH13" s="25"/>
      <c r="KI13" s="25"/>
      <c r="KJ13" s="25"/>
      <c r="KK13" s="25"/>
      <c r="KL13" s="25"/>
      <c r="KM13" s="25"/>
      <c r="KN13" s="25"/>
      <c r="KO13" s="25"/>
      <c r="KP13" s="25"/>
      <c r="KQ13" s="25"/>
      <c r="KR13" s="25"/>
      <c r="KS13" s="25"/>
      <c r="KT13" s="25"/>
      <c r="KU13" s="25"/>
      <c r="KV13" s="25"/>
      <c r="KW13" s="25"/>
      <c r="KX13" s="25"/>
      <c r="KY13" s="25"/>
      <c r="KZ13" s="25"/>
      <c r="LA13" s="25"/>
      <c r="LB13" s="25"/>
      <c r="LC13" s="25"/>
      <c r="LD13" s="25"/>
      <c r="LE13" s="25"/>
      <c r="LF13" s="25"/>
      <c r="LG13" s="25"/>
      <c r="LH13" s="25"/>
      <c r="LJ13" s="25"/>
      <c r="LK13" s="25"/>
      <c r="LL13" s="25"/>
      <c r="LM13" s="25"/>
      <c r="LN13" s="25"/>
      <c r="LO13" s="25"/>
      <c r="LP13" s="25"/>
      <c r="LQ13" s="25"/>
      <c r="LR13" s="25"/>
      <c r="LS13" s="25"/>
      <c r="LT13" s="25"/>
      <c r="LU13" s="25"/>
      <c r="LV13" s="25"/>
      <c r="LW13" s="25"/>
      <c r="LX13" s="25"/>
      <c r="LY13" s="25"/>
      <c r="LZ13" s="25"/>
      <c r="MA13" s="25"/>
      <c r="MB13" s="25"/>
      <c r="MC13" s="25"/>
      <c r="MD13" s="25"/>
      <c r="ME13" s="25"/>
      <c r="MF13" s="25"/>
      <c r="MG13" s="25"/>
      <c r="MH13" s="25"/>
      <c r="MI13" s="25"/>
      <c r="MJ13" s="25"/>
      <c r="MK13" s="25"/>
      <c r="ML13" s="25"/>
      <c r="MM13" s="25"/>
      <c r="MN13" s="25"/>
      <c r="MP13" s="25"/>
      <c r="MQ13" s="25"/>
      <c r="MR13" s="25"/>
      <c r="MS13" s="25"/>
      <c r="MT13" s="25"/>
      <c r="MU13" s="25"/>
      <c r="MV13" s="25"/>
      <c r="MW13" s="25"/>
      <c r="MX13" s="25"/>
      <c r="MY13" s="25"/>
      <c r="MZ13" s="25"/>
      <c r="NA13" s="25"/>
      <c r="NB13" s="25"/>
      <c r="NC13" s="25"/>
      <c r="ND13" s="25"/>
      <c r="NE13" s="25"/>
      <c r="NF13" s="25"/>
      <c r="NG13" s="25"/>
      <c r="NH13" s="25"/>
      <c r="NI13" s="25"/>
      <c r="NJ13" s="25"/>
      <c r="NK13" s="25"/>
      <c r="NL13" s="25"/>
      <c r="NM13" s="25"/>
      <c r="NN13" s="25"/>
      <c r="NO13" s="25"/>
      <c r="NP13" s="25"/>
      <c r="NQ13" s="25"/>
      <c r="NR13" s="25"/>
      <c r="NS13" s="25"/>
      <c r="NT13" s="25"/>
      <c r="NV13" s="25"/>
      <c r="NW13" s="25"/>
      <c r="NX13" s="25"/>
      <c r="NY13" s="25"/>
      <c r="NZ13" s="25"/>
      <c r="OA13" s="25"/>
      <c r="OB13" s="25"/>
      <c r="OC13" s="25"/>
      <c r="OD13" s="25"/>
      <c r="OE13" s="25"/>
      <c r="OF13" s="25"/>
      <c r="OG13" s="25"/>
      <c r="OH13" s="25"/>
      <c r="OI13" s="25"/>
      <c r="OJ13" s="25"/>
      <c r="OK13" s="25"/>
      <c r="OL13" s="25"/>
      <c r="OM13" s="25"/>
      <c r="ON13" s="25"/>
      <c r="OO13" s="25"/>
      <c r="OP13" s="25"/>
      <c r="OQ13" s="25"/>
      <c r="OR13" s="25"/>
      <c r="OS13" s="25"/>
      <c r="OT13" s="25"/>
      <c r="OU13" s="25"/>
      <c r="OV13" s="25"/>
      <c r="OW13" s="25"/>
      <c r="OX13" s="25"/>
      <c r="OY13" s="25"/>
      <c r="OZ13" s="25"/>
      <c r="PB13" s="29"/>
      <c r="PC13" s="29"/>
      <c r="PD13" s="29"/>
      <c r="PE13" s="29"/>
      <c r="PF13" s="29"/>
      <c r="PH13" s="29"/>
      <c r="PI13" s="29"/>
      <c r="PJ13" s="29"/>
      <c r="PK13" s="29"/>
      <c r="PM13" s="29"/>
      <c r="PN13" s="3"/>
      <c r="PO13" s="29"/>
      <c r="PP13" s="93"/>
      <c r="PQ13" s="29"/>
      <c r="PR13" s="3"/>
      <c r="PT13" s="29"/>
      <c r="PU13" s="3"/>
      <c r="PV13" s="29"/>
      <c r="PW13" s="3"/>
      <c r="PZ13" s="35"/>
      <c r="QA13" s="81"/>
      <c r="QB13" s="81"/>
    </row>
    <row r="14" spans="1:444">
      <c r="B14" s="3"/>
      <c r="D14" s="39" t="str">
        <f t="shared" si="11"/>
        <v>-/-</v>
      </c>
      <c r="F14" s="3"/>
      <c r="H14" s="118"/>
      <c r="J14" s="118"/>
      <c r="L14" s="118"/>
      <c r="N14" s="118"/>
      <c r="O14" s="118"/>
      <c r="P14" s="118"/>
      <c r="Q14" s="118"/>
      <c r="R14" s="118"/>
      <c r="S14" s="118"/>
      <c r="U14" s="118"/>
      <c r="V14" s="118"/>
      <c r="W14" s="118"/>
      <c r="X14" s="118"/>
      <c r="Z14" s="118"/>
      <c r="AB14" s="19"/>
      <c r="AC14" s="19"/>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C14" s="25"/>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O14" s="23"/>
      <c r="HP14" s="23"/>
      <c r="HR14" s="25"/>
      <c r="HS14" s="25"/>
      <c r="HT14" s="25"/>
      <c r="HU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25"/>
      <c r="IV14" s="25"/>
      <c r="IX14" s="25"/>
      <c r="IY14" s="25"/>
      <c r="IZ14" s="25"/>
      <c r="JA14" s="25"/>
      <c r="JB14" s="25"/>
      <c r="JC14" s="25"/>
      <c r="JD14" s="25"/>
      <c r="JE14" s="25"/>
      <c r="JF14" s="25"/>
      <c r="JG14" s="25"/>
      <c r="JH14" s="25"/>
      <c r="JI14" s="25"/>
      <c r="JJ14" s="25"/>
      <c r="JK14" s="25"/>
      <c r="JL14" s="25"/>
      <c r="JM14" s="25"/>
      <c r="JN14" s="25"/>
      <c r="JO14" s="25"/>
      <c r="JP14" s="25"/>
      <c r="JQ14" s="25"/>
      <c r="JR14" s="25"/>
      <c r="JS14" s="25"/>
      <c r="JT14" s="25"/>
      <c r="JU14" s="25"/>
      <c r="JV14" s="25"/>
      <c r="JW14" s="25"/>
      <c r="JX14" s="25"/>
      <c r="JY14" s="25"/>
      <c r="JZ14" s="25"/>
      <c r="KA14" s="25"/>
      <c r="KB14" s="25"/>
      <c r="KD14" s="25"/>
      <c r="KE14" s="25"/>
      <c r="KF14" s="25"/>
      <c r="KG14" s="25"/>
      <c r="KH14" s="25"/>
      <c r="KI14" s="25"/>
      <c r="KJ14" s="25"/>
      <c r="KK14" s="25"/>
      <c r="KL14" s="25"/>
      <c r="KM14" s="25"/>
      <c r="KN14" s="25"/>
      <c r="KO14" s="25"/>
      <c r="KP14" s="25"/>
      <c r="KQ14" s="25"/>
      <c r="KR14" s="25"/>
      <c r="KS14" s="25"/>
      <c r="KT14" s="25"/>
      <c r="KU14" s="25"/>
      <c r="KV14" s="25"/>
      <c r="KW14" s="25"/>
      <c r="KX14" s="25"/>
      <c r="KY14" s="25"/>
      <c r="KZ14" s="25"/>
      <c r="LA14" s="25"/>
      <c r="LB14" s="25"/>
      <c r="LC14" s="25"/>
      <c r="LD14" s="25"/>
      <c r="LE14" s="25"/>
      <c r="LF14" s="25"/>
      <c r="LG14" s="25"/>
      <c r="LH14" s="25"/>
      <c r="LJ14" s="25"/>
      <c r="LK14" s="25"/>
      <c r="LL14" s="25"/>
      <c r="LM14" s="25"/>
      <c r="LN14" s="25"/>
      <c r="LO14" s="25"/>
      <c r="LP14" s="25"/>
      <c r="LQ14" s="25"/>
      <c r="LR14" s="25"/>
      <c r="LS14" s="25"/>
      <c r="LT14" s="25"/>
      <c r="LU14" s="25"/>
      <c r="LV14" s="25"/>
      <c r="LW14" s="25"/>
      <c r="LX14" s="25"/>
      <c r="LY14" s="25"/>
      <c r="LZ14" s="25"/>
      <c r="MA14" s="25"/>
      <c r="MB14" s="25"/>
      <c r="MC14" s="25"/>
      <c r="MD14" s="25"/>
      <c r="ME14" s="25"/>
      <c r="MF14" s="25"/>
      <c r="MG14" s="25"/>
      <c r="MH14" s="25"/>
      <c r="MI14" s="25"/>
      <c r="MJ14" s="25"/>
      <c r="MK14" s="25"/>
      <c r="ML14" s="25"/>
      <c r="MM14" s="25"/>
      <c r="MN14" s="25"/>
      <c r="MP14" s="25"/>
      <c r="MQ14" s="25"/>
      <c r="MR14" s="25"/>
      <c r="MS14" s="25"/>
      <c r="MT14" s="25"/>
      <c r="MU14" s="25"/>
      <c r="MV14" s="25"/>
      <c r="MW14" s="25"/>
      <c r="MX14" s="25"/>
      <c r="MY14" s="25"/>
      <c r="MZ14" s="25"/>
      <c r="NA14" s="25"/>
      <c r="NB14" s="25"/>
      <c r="NC14" s="25"/>
      <c r="ND14" s="25"/>
      <c r="NE14" s="25"/>
      <c r="NF14" s="25"/>
      <c r="NG14" s="25"/>
      <c r="NH14" s="25"/>
      <c r="NI14" s="25"/>
      <c r="NJ14" s="25"/>
      <c r="NK14" s="25"/>
      <c r="NL14" s="25"/>
      <c r="NM14" s="25"/>
      <c r="NN14" s="25"/>
      <c r="NO14" s="25"/>
      <c r="NP14" s="25"/>
      <c r="NQ14" s="25"/>
      <c r="NR14" s="25"/>
      <c r="NS14" s="25"/>
      <c r="NT14" s="25"/>
      <c r="NV14" s="25"/>
      <c r="NW14" s="25"/>
      <c r="NX14" s="25"/>
      <c r="NY14" s="25"/>
      <c r="NZ14" s="25"/>
      <c r="OA14" s="25"/>
      <c r="OB14" s="25"/>
      <c r="OC14" s="25"/>
      <c r="OD14" s="25"/>
      <c r="OE14" s="25"/>
      <c r="OF14" s="25"/>
      <c r="OG14" s="25"/>
      <c r="OH14" s="25"/>
      <c r="OI14" s="25"/>
      <c r="OJ14" s="25"/>
      <c r="OK14" s="25"/>
      <c r="OL14" s="25"/>
      <c r="OM14" s="25"/>
      <c r="ON14" s="25"/>
      <c r="OO14" s="25"/>
      <c r="OP14" s="25"/>
      <c r="OQ14" s="25"/>
      <c r="OR14" s="25"/>
      <c r="OS14" s="25"/>
      <c r="OT14" s="25"/>
      <c r="OU14" s="25"/>
      <c r="OV14" s="25"/>
      <c r="OW14" s="25"/>
      <c r="OX14" s="25"/>
      <c r="OY14" s="25"/>
      <c r="OZ14" s="25"/>
      <c r="PB14" s="29"/>
      <c r="PC14" s="29"/>
      <c r="PD14" s="29"/>
      <c r="PE14" s="29"/>
      <c r="PF14" s="29"/>
      <c r="PH14" s="29"/>
      <c r="PI14" s="29"/>
      <c r="PJ14" s="29"/>
      <c r="PK14" s="29"/>
      <c r="PM14" s="29"/>
      <c r="PN14" s="3"/>
      <c r="PO14" s="29"/>
      <c r="PP14" s="93"/>
      <c r="PQ14" s="29"/>
      <c r="PR14" s="3"/>
      <c r="PT14" s="29"/>
      <c r="PU14" s="3"/>
      <c r="PV14" s="29"/>
      <c r="PW14" s="3"/>
      <c r="PZ14" s="35"/>
      <c r="QA14" s="81"/>
      <c r="QB14" s="81"/>
    </row>
    <row r="15" spans="1:444">
      <c r="B15" s="3"/>
      <c r="D15" s="39" t="str">
        <f t="shared" si="11"/>
        <v>-/-</v>
      </c>
      <c r="F15" s="3"/>
      <c r="H15" s="118"/>
      <c r="J15" s="118"/>
      <c r="L15" s="118"/>
      <c r="N15" s="118"/>
      <c r="O15" s="118"/>
      <c r="P15" s="118"/>
      <c r="Q15" s="118"/>
      <c r="R15" s="118"/>
      <c r="S15" s="118"/>
      <c r="U15" s="118"/>
      <c r="V15" s="118"/>
      <c r="W15" s="118"/>
      <c r="X15" s="118"/>
      <c r="Z15" s="118"/>
      <c r="AB15" s="19"/>
      <c r="AC15" s="19"/>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W15" s="25"/>
      <c r="DX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C15" s="25"/>
      <c r="FD15" s="25"/>
      <c r="FE15" s="25"/>
      <c r="FF15" s="25"/>
      <c r="FG15" s="25"/>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I15" s="25"/>
      <c r="GJ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O15" s="23"/>
      <c r="HP15" s="23"/>
      <c r="HR15" s="25"/>
      <c r="HS15" s="25"/>
      <c r="HT15" s="25"/>
      <c r="HU15" s="25"/>
      <c r="HV15" s="25"/>
      <c r="HW15" s="25"/>
      <c r="HX15" s="25"/>
      <c r="HY15" s="25"/>
      <c r="HZ15" s="25"/>
      <c r="IA15" s="25"/>
      <c r="IB15" s="25"/>
      <c r="IC15" s="25"/>
      <c r="ID15" s="25"/>
      <c r="IE15" s="25"/>
      <c r="IF15" s="25"/>
      <c r="IG15" s="25"/>
      <c r="IH15" s="25"/>
      <c r="II15" s="25"/>
      <c r="IJ15" s="25"/>
      <c r="IK15" s="25"/>
      <c r="IL15" s="25"/>
      <c r="IM15" s="25"/>
      <c r="IN15" s="25"/>
      <c r="IO15" s="25"/>
      <c r="IP15" s="25"/>
      <c r="IQ15" s="25"/>
      <c r="IR15" s="25"/>
      <c r="IS15" s="25"/>
      <c r="IT15" s="25"/>
      <c r="IU15" s="25"/>
      <c r="IV15" s="25"/>
      <c r="IX15" s="25"/>
      <c r="IY15" s="25"/>
      <c r="IZ15" s="25"/>
      <c r="JA15" s="25"/>
      <c r="JB15" s="25"/>
      <c r="JC15" s="25"/>
      <c r="JD15" s="25"/>
      <c r="JE15" s="25"/>
      <c r="JF15" s="25"/>
      <c r="JG15" s="25"/>
      <c r="JH15" s="25"/>
      <c r="JI15" s="25"/>
      <c r="JJ15" s="25"/>
      <c r="JK15" s="25"/>
      <c r="JL15" s="25"/>
      <c r="JM15" s="25"/>
      <c r="JN15" s="25"/>
      <c r="JO15" s="25"/>
      <c r="JP15" s="25"/>
      <c r="JQ15" s="25"/>
      <c r="JR15" s="25"/>
      <c r="JS15" s="25"/>
      <c r="JT15" s="25"/>
      <c r="JU15" s="25"/>
      <c r="JV15" s="25"/>
      <c r="JW15" s="25"/>
      <c r="JX15" s="25"/>
      <c r="JY15" s="25"/>
      <c r="JZ15" s="25"/>
      <c r="KA15" s="25"/>
      <c r="KB15" s="25"/>
      <c r="KD15" s="25"/>
      <c r="KE15" s="25"/>
      <c r="KF15" s="25"/>
      <c r="KG15" s="25"/>
      <c r="KH15" s="25"/>
      <c r="KI15" s="25"/>
      <c r="KJ15" s="25"/>
      <c r="KK15" s="25"/>
      <c r="KL15" s="25"/>
      <c r="KM15" s="25"/>
      <c r="KN15" s="25"/>
      <c r="KO15" s="25"/>
      <c r="KP15" s="25"/>
      <c r="KQ15" s="25"/>
      <c r="KR15" s="25"/>
      <c r="KS15" s="25"/>
      <c r="KT15" s="25"/>
      <c r="KU15" s="25"/>
      <c r="KV15" s="25"/>
      <c r="KW15" s="25"/>
      <c r="KX15" s="25"/>
      <c r="KY15" s="25"/>
      <c r="KZ15" s="25"/>
      <c r="LA15" s="25"/>
      <c r="LB15" s="25"/>
      <c r="LC15" s="25"/>
      <c r="LD15" s="25"/>
      <c r="LE15" s="25"/>
      <c r="LF15" s="25"/>
      <c r="LG15" s="25"/>
      <c r="LH15" s="25"/>
      <c r="LJ15" s="25"/>
      <c r="LK15" s="25"/>
      <c r="LL15" s="25"/>
      <c r="LM15" s="25"/>
      <c r="LN15" s="25"/>
      <c r="LO15" s="25"/>
      <c r="LP15" s="25"/>
      <c r="LQ15" s="25"/>
      <c r="LR15" s="25"/>
      <c r="LS15" s="25"/>
      <c r="LT15" s="25"/>
      <c r="LU15" s="25"/>
      <c r="LV15" s="25"/>
      <c r="LW15" s="25"/>
      <c r="LX15" s="25"/>
      <c r="LY15" s="25"/>
      <c r="LZ15" s="25"/>
      <c r="MA15" s="25"/>
      <c r="MB15" s="25"/>
      <c r="MC15" s="25"/>
      <c r="MD15" s="25"/>
      <c r="ME15" s="25"/>
      <c r="MF15" s="25"/>
      <c r="MG15" s="25"/>
      <c r="MH15" s="25"/>
      <c r="MI15" s="25"/>
      <c r="MJ15" s="25"/>
      <c r="MK15" s="25"/>
      <c r="ML15" s="25"/>
      <c r="MM15" s="25"/>
      <c r="MN15" s="25"/>
      <c r="MP15" s="25"/>
      <c r="MQ15" s="25"/>
      <c r="MR15" s="25"/>
      <c r="MS15" s="25"/>
      <c r="MT15" s="25"/>
      <c r="MU15" s="25"/>
      <c r="MV15" s="25"/>
      <c r="MW15" s="25"/>
      <c r="MX15" s="25"/>
      <c r="MY15" s="25"/>
      <c r="MZ15" s="25"/>
      <c r="NA15" s="25"/>
      <c r="NB15" s="25"/>
      <c r="NC15" s="25"/>
      <c r="ND15" s="25"/>
      <c r="NE15" s="25"/>
      <c r="NF15" s="25"/>
      <c r="NG15" s="25"/>
      <c r="NH15" s="25"/>
      <c r="NI15" s="25"/>
      <c r="NJ15" s="25"/>
      <c r="NK15" s="25"/>
      <c r="NL15" s="25"/>
      <c r="NM15" s="25"/>
      <c r="NN15" s="25"/>
      <c r="NO15" s="25"/>
      <c r="NP15" s="25"/>
      <c r="NQ15" s="25"/>
      <c r="NR15" s="25"/>
      <c r="NS15" s="25"/>
      <c r="NT15" s="25"/>
      <c r="NV15" s="25"/>
      <c r="NW15" s="25"/>
      <c r="NX15" s="25"/>
      <c r="NY15" s="25"/>
      <c r="NZ15" s="25"/>
      <c r="OA15" s="25"/>
      <c r="OB15" s="25"/>
      <c r="OC15" s="25"/>
      <c r="OD15" s="25"/>
      <c r="OE15" s="25"/>
      <c r="OF15" s="25"/>
      <c r="OG15" s="25"/>
      <c r="OH15" s="25"/>
      <c r="OI15" s="25"/>
      <c r="OJ15" s="25"/>
      <c r="OK15" s="25"/>
      <c r="OL15" s="25"/>
      <c r="OM15" s="25"/>
      <c r="ON15" s="25"/>
      <c r="OO15" s="25"/>
      <c r="OP15" s="25"/>
      <c r="OQ15" s="25"/>
      <c r="OR15" s="25"/>
      <c r="OS15" s="25"/>
      <c r="OT15" s="25"/>
      <c r="OU15" s="25"/>
      <c r="OV15" s="25"/>
      <c r="OW15" s="25"/>
      <c r="OX15" s="25"/>
      <c r="OY15" s="25"/>
      <c r="OZ15" s="25"/>
      <c r="PB15" s="29"/>
      <c r="PC15" s="29"/>
      <c r="PD15" s="29"/>
      <c r="PE15" s="29"/>
      <c r="PF15" s="29"/>
      <c r="PH15" s="29"/>
      <c r="PI15" s="29"/>
      <c r="PJ15" s="29"/>
      <c r="PK15" s="29"/>
      <c r="PM15" s="29"/>
      <c r="PN15" s="3"/>
      <c r="PO15" s="29"/>
      <c r="PP15" s="93"/>
      <c r="PQ15" s="29"/>
      <c r="PR15" s="3"/>
      <c r="PT15" s="29"/>
      <c r="PU15" s="3"/>
      <c r="PV15" s="29"/>
      <c r="PW15" s="3"/>
      <c r="PZ15" s="35"/>
      <c r="QA15" s="81"/>
      <c r="QB15" s="81"/>
    </row>
    <row r="16" spans="1:444">
      <c r="B16" s="3"/>
      <c r="D16" s="39" t="str">
        <f t="shared" si="11"/>
        <v>-/-</v>
      </c>
      <c r="F16" s="3"/>
      <c r="H16" s="118"/>
      <c r="J16" s="118"/>
      <c r="L16" s="118"/>
      <c r="N16" s="118"/>
      <c r="O16" s="118"/>
      <c r="P16" s="118"/>
      <c r="Q16" s="118"/>
      <c r="R16" s="118"/>
      <c r="S16" s="118"/>
      <c r="U16" s="118"/>
      <c r="V16" s="118"/>
      <c r="W16" s="118"/>
      <c r="X16" s="118"/>
      <c r="Z16" s="118"/>
      <c r="AB16" s="19"/>
      <c r="AC16" s="19"/>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C16" s="25"/>
      <c r="FD16" s="25"/>
      <c r="FE16" s="25"/>
      <c r="FF16" s="25"/>
      <c r="FG16" s="25"/>
      <c r="FH16" s="25"/>
      <c r="FI16" s="25"/>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I16" s="25"/>
      <c r="GJ16" s="25"/>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O16" s="23"/>
      <c r="HP16" s="23"/>
      <c r="HR16" s="25"/>
      <c r="HS16" s="25"/>
      <c r="HT16" s="25"/>
      <c r="HU16" s="25"/>
      <c r="HV16" s="25"/>
      <c r="HW16" s="25"/>
      <c r="HX16" s="25"/>
      <c r="HY16" s="25"/>
      <c r="HZ16" s="25"/>
      <c r="IA16" s="25"/>
      <c r="IB16" s="25"/>
      <c r="IC16" s="25"/>
      <c r="ID16" s="25"/>
      <c r="IE16" s="25"/>
      <c r="IF16" s="25"/>
      <c r="IG16" s="25"/>
      <c r="IH16" s="25"/>
      <c r="II16" s="25"/>
      <c r="IJ16" s="25"/>
      <c r="IK16" s="25"/>
      <c r="IL16" s="25"/>
      <c r="IM16" s="25"/>
      <c r="IN16" s="25"/>
      <c r="IO16" s="25"/>
      <c r="IP16" s="25"/>
      <c r="IQ16" s="25"/>
      <c r="IR16" s="25"/>
      <c r="IS16" s="25"/>
      <c r="IT16" s="25"/>
      <c r="IU16" s="25"/>
      <c r="IV16" s="25"/>
      <c r="IX16" s="25"/>
      <c r="IY16" s="25"/>
      <c r="IZ16" s="25"/>
      <c r="JA16" s="25"/>
      <c r="JB16" s="25"/>
      <c r="JC16" s="25"/>
      <c r="JD16" s="25"/>
      <c r="JE16" s="25"/>
      <c r="JF16" s="25"/>
      <c r="JG16" s="25"/>
      <c r="JH16" s="25"/>
      <c r="JI16" s="25"/>
      <c r="JJ16" s="25"/>
      <c r="JK16" s="25"/>
      <c r="JL16" s="25"/>
      <c r="JM16" s="25"/>
      <c r="JN16" s="25"/>
      <c r="JO16" s="25"/>
      <c r="JP16" s="25"/>
      <c r="JQ16" s="25"/>
      <c r="JR16" s="25"/>
      <c r="JS16" s="25"/>
      <c r="JT16" s="25"/>
      <c r="JU16" s="25"/>
      <c r="JV16" s="25"/>
      <c r="JW16" s="25"/>
      <c r="JX16" s="25"/>
      <c r="JY16" s="25"/>
      <c r="JZ16" s="25"/>
      <c r="KA16" s="25"/>
      <c r="KB16" s="25"/>
      <c r="KD16" s="25"/>
      <c r="KE16" s="25"/>
      <c r="KF16" s="25"/>
      <c r="KG16" s="25"/>
      <c r="KH16" s="25"/>
      <c r="KI16" s="25"/>
      <c r="KJ16" s="25"/>
      <c r="KK16" s="25"/>
      <c r="KL16" s="25"/>
      <c r="KM16" s="25"/>
      <c r="KN16" s="25"/>
      <c r="KO16" s="25"/>
      <c r="KP16" s="25"/>
      <c r="KQ16" s="25"/>
      <c r="KR16" s="25"/>
      <c r="KS16" s="25"/>
      <c r="KT16" s="25"/>
      <c r="KU16" s="25"/>
      <c r="KV16" s="25"/>
      <c r="KW16" s="25"/>
      <c r="KX16" s="25"/>
      <c r="KY16" s="25"/>
      <c r="KZ16" s="25"/>
      <c r="LA16" s="25"/>
      <c r="LB16" s="25"/>
      <c r="LC16" s="25"/>
      <c r="LD16" s="25"/>
      <c r="LE16" s="25"/>
      <c r="LF16" s="25"/>
      <c r="LG16" s="25"/>
      <c r="LH16" s="25"/>
      <c r="LJ16" s="25"/>
      <c r="LK16" s="25"/>
      <c r="LL16" s="25"/>
      <c r="LM16" s="25"/>
      <c r="LN16" s="25"/>
      <c r="LO16" s="25"/>
      <c r="LP16" s="25"/>
      <c r="LQ16" s="25"/>
      <c r="LR16" s="25"/>
      <c r="LS16" s="25"/>
      <c r="LT16" s="25"/>
      <c r="LU16" s="25"/>
      <c r="LV16" s="25"/>
      <c r="LW16" s="25"/>
      <c r="LX16" s="25"/>
      <c r="LY16" s="25"/>
      <c r="LZ16" s="25"/>
      <c r="MA16" s="25"/>
      <c r="MB16" s="25"/>
      <c r="MC16" s="25"/>
      <c r="MD16" s="25"/>
      <c r="ME16" s="25"/>
      <c r="MF16" s="25"/>
      <c r="MG16" s="25"/>
      <c r="MH16" s="25"/>
      <c r="MI16" s="25"/>
      <c r="MJ16" s="25"/>
      <c r="MK16" s="25"/>
      <c r="ML16" s="25"/>
      <c r="MM16" s="25"/>
      <c r="MN16" s="25"/>
      <c r="MP16" s="25"/>
      <c r="MQ16" s="25"/>
      <c r="MR16" s="25"/>
      <c r="MS16" s="25"/>
      <c r="MT16" s="25"/>
      <c r="MU16" s="25"/>
      <c r="MV16" s="25"/>
      <c r="MW16" s="25"/>
      <c r="MX16" s="25"/>
      <c r="MY16" s="25"/>
      <c r="MZ16" s="25"/>
      <c r="NA16" s="25"/>
      <c r="NB16" s="25"/>
      <c r="NC16" s="25"/>
      <c r="ND16" s="25"/>
      <c r="NE16" s="25"/>
      <c r="NF16" s="25"/>
      <c r="NG16" s="25"/>
      <c r="NH16" s="25"/>
      <c r="NI16" s="25"/>
      <c r="NJ16" s="25"/>
      <c r="NK16" s="25"/>
      <c r="NL16" s="25"/>
      <c r="NM16" s="25"/>
      <c r="NN16" s="25"/>
      <c r="NO16" s="25"/>
      <c r="NP16" s="25"/>
      <c r="NQ16" s="25"/>
      <c r="NR16" s="25"/>
      <c r="NS16" s="25"/>
      <c r="NT16" s="25"/>
      <c r="NV16" s="25"/>
      <c r="NW16" s="25"/>
      <c r="NX16" s="25"/>
      <c r="NY16" s="25"/>
      <c r="NZ16" s="25"/>
      <c r="OA16" s="25"/>
      <c r="OB16" s="25"/>
      <c r="OC16" s="25"/>
      <c r="OD16" s="25"/>
      <c r="OE16" s="25"/>
      <c r="OF16" s="25"/>
      <c r="OG16" s="25"/>
      <c r="OH16" s="25"/>
      <c r="OI16" s="25"/>
      <c r="OJ16" s="25"/>
      <c r="OK16" s="25"/>
      <c r="OL16" s="25"/>
      <c r="OM16" s="25"/>
      <c r="ON16" s="25"/>
      <c r="OO16" s="25"/>
      <c r="OP16" s="25"/>
      <c r="OQ16" s="25"/>
      <c r="OR16" s="25"/>
      <c r="OS16" s="25"/>
      <c r="OT16" s="25"/>
      <c r="OU16" s="25"/>
      <c r="OV16" s="25"/>
      <c r="OW16" s="25"/>
      <c r="OX16" s="25"/>
      <c r="OY16" s="25"/>
      <c r="OZ16" s="25"/>
      <c r="PB16" s="29"/>
      <c r="PC16" s="29"/>
      <c r="PD16" s="29"/>
      <c r="PE16" s="29"/>
      <c r="PF16" s="29"/>
      <c r="PH16" s="29"/>
      <c r="PI16" s="29"/>
      <c r="PJ16" s="29"/>
      <c r="PK16" s="29"/>
      <c r="PM16" s="29"/>
      <c r="PN16" s="3"/>
      <c r="PO16" s="29"/>
      <c r="PP16" s="93"/>
      <c r="PQ16" s="29"/>
      <c r="PR16" s="3"/>
      <c r="PT16" s="29"/>
      <c r="PU16" s="3"/>
      <c r="PV16" s="29"/>
      <c r="PW16" s="3"/>
      <c r="PZ16" s="35"/>
      <c r="QA16" s="81"/>
      <c r="QB16" s="81"/>
    </row>
    <row r="17" spans="2:444">
      <c r="B17" s="3"/>
      <c r="D17" s="39" t="str">
        <f t="shared" si="11"/>
        <v>-/-</v>
      </c>
      <c r="F17" s="3"/>
      <c r="H17" s="118"/>
      <c r="J17" s="118"/>
      <c r="L17" s="118"/>
      <c r="N17" s="118"/>
      <c r="O17" s="118"/>
      <c r="P17" s="118"/>
      <c r="Q17" s="118"/>
      <c r="R17" s="118"/>
      <c r="S17" s="118"/>
      <c r="U17" s="118"/>
      <c r="V17" s="118"/>
      <c r="W17" s="118"/>
      <c r="X17" s="118"/>
      <c r="Z17" s="118"/>
      <c r="AB17" s="19"/>
      <c r="AC17" s="19"/>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Q17" s="25"/>
      <c r="CR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W17" s="25"/>
      <c r="DX17" s="25"/>
      <c r="DY17" s="25"/>
      <c r="DZ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C17" s="25"/>
      <c r="FD17" s="25"/>
      <c r="FE17" s="25"/>
      <c r="FF17" s="25"/>
      <c r="FG17" s="25"/>
      <c r="FH17" s="25"/>
      <c r="FI17" s="25"/>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I17" s="25"/>
      <c r="GJ17" s="25"/>
      <c r="GK17" s="25"/>
      <c r="GL17" s="25"/>
      <c r="GM17" s="25"/>
      <c r="GN17" s="25"/>
      <c r="GO17" s="25"/>
      <c r="GP17" s="25"/>
      <c r="GQ17" s="25"/>
      <c r="GR17" s="25"/>
      <c r="GS17" s="25"/>
      <c r="GT17" s="25"/>
      <c r="GU17" s="25"/>
      <c r="GV17" s="25"/>
      <c r="GW17" s="25"/>
      <c r="GX17" s="25"/>
      <c r="GY17" s="25"/>
      <c r="GZ17" s="25"/>
      <c r="HA17" s="25"/>
      <c r="HB17" s="25"/>
      <c r="HC17" s="25"/>
      <c r="HD17" s="25"/>
      <c r="HE17" s="25"/>
      <c r="HF17" s="25"/>
      <c r="HG17" s="25"/>
      <c r="HH17" s="25"/>
      <c r="HI17" s="25"/>
      <c r="HJ17" s="25"/>
      <c r="HK17" s="25"/>
      <c r="HL17" s="25"/>
      <c r="HM17" s="25"/>
      <c r="HO17" s="23"/>
      <c r="HP17" s="23"/>
      <c r="HR17" s="25"/>
      <c r="HS17" s="25"/>
      <c r="HT17" s="25"/>
      <c r="HU17" s="25"/>
      <c r="HV17" s="25"/>
      <c r="HW17" s="25"/>
      <c r="HX17" s="25"/>
      <c r="HY17" s="25"/>
      <c r="HZ17" s="25"/>
      <c r="IA17" s="25"/>
      <c r="IB17" s="25"/>
      <c r="IC17" s="25"/>
      <c r="ID17" s="25"/>
      <c r="IE17" s="25"/>
      <c r="IF17" s="25"/>
      <c r="IG17" s="25"/>
      <c r="IH17" s="25"/>
      <c r="II17" s="25"/>
      <c r="IJ17" s="25"/>
      <c r="IK17" s="25"/>
      <c r="IL17" s="25"/>
      <c r="IM17" s="25"/>
      <c r="IN17" s="25"/>
      <c r="IO17" s="25"/>
      <c r="IP17" s="25"/>
      <c r="IQ17" s="25"/>
      <c r="IR17" s="25"/>
      <c r="IS17" s="25"/>
      <c r="IT17" s="25"/>
      <c r="IU17" s="25"/>
      <c r="IV17" s="25"/>
      <c r="IX17" s="25"/>
      <c r="IY17" s="25"/>
      <c r="IZ17" s="25"/>
      <c r="JA17" s="25"/>
      <c r="JB17" s="25"/>
      <c r="JC17" s="25"/>
      <c r="JD17" s="25"/>
      <c r="JE17" s="25"/>
      <c r="JF17" s="25"/>
      <c r="JG17" s="25"/>
      <c r="JH17" s="25"/>
      <c r="JI17" s="25"/>
      <c r="JJ17" s="25"/>
      <c r="JK17" s="25"/>
      <c r="JL17" s="25"/>
      <c r="JM17" s="25"/>
      <c r="JN17" s="25"/>
      <c r="JO17" s="25"/>
      <c r="JP17" s="25"/>
      <c r="JQ17" s="25"/>
      <c r="JR17" s="25"/>
      <c r="JS17" s="25"/>
      <c r="JT17" s="25"/>
      <c r="JU17" s="25"/>
      <c r="JV17" s="25"/>
      <c r="JW17" s="25"/>
      <c r="JX17" s="25"/>
      <c r="JY17" s="25"/>
      <c r="JZ17" s="25"/>
      <c r="KA17" s="25"/>
      <c r="KB17" s="25"/>
      <c r="KD17" s="25"/>
      <c r="KE17" s="25"/>
      <c r="KF17" s="25"/>
      <c r="KG17" s="25"/>
      <c r="KH17" s="25"/>
      <c r="KI17" s="25"/>
      <c r="KJ17" s="25"/>
      <c r="KK17" s="25"/>
      <c r="KL17" s="25"/>
      <c r="KM17" s="25"/>
      <c r="KN17" s="25"/>
      <c r="KO17" s="25"/>
      <c r="KP17" s="25"/>
      <c r="KQ17" s="25"/>
      <c r="KR17" s="25"/>
      <c r="KS17" s="25"/>
      <c r="KT17" s="25"/>
      <c r="KU17" s="25"/>
      <c r="KV17" s="25"/>
      <c r="KW17" s="25"/>
      <c r="KX17" s="25"/>
      <c r="KY17" s="25"/>
      <c r="KZ17" s="25"/>
      <c r="LA17" s="25"/>
      <c r="LB17" s="25"/>
      <c r="LC17" s="25"/>
      <c r="LD17" s="25"/>
      <c r="LE17" s="25"/>
      <c r="LF17" s="25"/>
      <c r="LG17" s="25"/>
      <c r="LH17" s="25"/>
      <c r="LJ17" s="25"/>
      <c r="LK17" s="25"/>
      <c r="LL17" s="25"/>
      <c r="LM17" s="25"/>
      <c r="LN17" s="25"/>
      <c r="LO17" s="25"/>
      <c r="LP17" s="25"/>
      <c r="LQ17" s="25"/>
      <c r="LR17" s="25"/>
      <c r="LS17" s="25"/>
      <c r="LT17" s="25"/>
      <c r="LU17" s="25"/>
      <c r="LV17" s="25"/>
      <c r="LW17" s="25"/>
      <c r="LX17" s="25"/>
      <c r="LY17" s="25"/>
      <c r="LZ17" s="25"/>
      <c r="MA17" s="25"/>
      <c r="MB17" s="25"/>
      <c r="MC17" s="25"/>
      <c r="MD17" s="25"/>
      <c r="ME17" s="25"/>
      <c r="MF17" s="25"/>
      <c r="MG17" s="25"/>
      <c r="MH17" s="25"/>
      <c r="MI17" s="25"/>
      <c r="MJ17" s="25"/>
      <c r="MK17" s="25"/>
      <c r="ML17" s="25"/>
      <c r="MM17" s="25"/>
      <c r="MN17" s="25"/>
      <c r="MP17" s="25"/>
      <c r="MQ17" s="25"/>
      <c r="MR17" s="25"/>
      <c r="MS17" s="25"/>
      <c r="MT17" s="25"/>
      <c r="MU17" s="25"/>
      <c r="MV17" s="25"/>
      <c r="MW17" s="25"/>
      <c r="MX17" s="25"/>
      <c r="MY17" s="25"/>
      <c r="MZ17" s="25"/>
      <c r="NA17" s="25"/>
      <c r="NB17" s="25"/>
      <c r="NC17" s="25"/>
      <c r="ND17" s="25"/>
      <c r="NE17" s="25"/>
      <c r="NF17" s="25"/>
      <c r="NG17" s="25"/>
      <c r="NH17" s="25"/>
      <c r="NI17" s="25"/>
      <c r="NJ17" s="25"/>
      <c r="NK17" s="25"/>
      <c r="NL17" s="25"/>
      <c r="NM17" s="25"/>
      <c r="NN17" s="25"/>
      <c r="NO17" s="25"/>
      <c r="NP17" s="25"/>
      <c r="NQ17" s="25"/>
      <c r="NR17" s="25"/>
      <c r="NS17" s="25"/>
      <c r="NT17" s="25"/>
      <c r="NV17" s="25"/>
      <c r="NW17" s="25"/>
      <c r="NX17" s="25"/>
      <c r="NY17" s="25"/>
      <c r="NZ17" s="25"/>
      <c r="OA17" s="25"/>
      <c r="OB17" s="25"/>
      <c r="OC17" s="25"/>
      <c r="OD17" s="25"/>
      <c r="OE17" s="25"/>
      <c r="OF17" s="25"/>
      <c r="OG17" s="25"/>
      <c r="OH17" s="25"/>
      <c r="OI17" s="25"/>
      <c r="OJ17" s="25"/>
      <c r="OK17" s="25"/>
      <c r="OL17" s="25"/>
      <c r="OM17" s="25"/>
      <c r="ON17" s="25"/>
      <c r="OO17" s="25"/>
      <c r="OP17" s="25"/>
      <c r="OQ17" s="25"/>
      <c r="OR17" s="25"/>
      <c r="OS17" s="25"/>
      <c r="OT17" s="25"/>
      <c r="OU17" s="25"/>
      <c r="OV17" s="25"/>
      <c r="OW17" s="25"/>
      <c r="OX17" s="25"/>
      <c r="OY17" s="25"/>
      <c r="OZ17" s="25"/>
      <c r="PB17" s="29"/>
      <c r="PC17" s="29"/>
      <c r="PD17" s="29"/>
      <c r="PE17" s="29"/>
      <c r="PF17" s="29"/>
      <c r="PH17" s="29"/>
      <c r="PI17" s="29"/>
      <c r="PJ17" s="29"/>
      <c r="PK17" s="29"/>
      <c r="PM17" s="29"/>
      <c r="PN17" s="3"/>
      <c r="PO17" s="29"/>
      <c r="PP17" s="93"/>
      <c r="PQ17" s="29"/>
      <c r="PR17" s="3"/>
      <c r="PT17" s="29"/>
      <c r="PU17" s="3"/>
      <c r="PV17" s="29"/>
      <c r="PW17" s="3"/>
      <c r="PZ17" s="35"/>
      <c r="QA17" s="81"/>
      <c r="QB17" s="81"/>
    </row>
    <row r="18" spans="2:444">
      <c r="B18" s="3"/>
      <c r="D18" s="39" t="str">
        <f t="shared" si="11"/>
        <v>-/-</v>
      </c>
      <c r="F18" s="3"/>
      <c r="H18" s="118"/>
      <c r="J18" s="118"/>
      <c r="L18" s="118"/>
      <c r="N18" s="118"/>
      <c r="O18" s="118"/>
      <c r="P18" s="118"/>
      <c r="Q18" s="118"/>
      <c r="R18" s="118"/>
      <c r="S18" s="118"/>
      <c r="U18" s="118"/>
      <c r="V18" s="118"/>
      <c r="W18" s="118"/>
      <c r="X18" s="118"/>
      <c r="Z18" s="118"/>
      <c r="AB18" s="19"/>
      <c r="AC18" s="19"/>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O18" s="23"/>
      <c r="HP18" s="23"/>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X18" s="25"/>
      <c r="IY18" s="25"/>
      <c r="IZ18" s="25"/>
      <c r="JA18" s="25"/>
      <c r="JB18" s="25"/>
      <c r="JC18" s="25"/>
      <c r="JD18" s="25"/>
      <c r="JE18" s="25"/>
      <c r="JF18" s="25"/>
      <c r="JG18" s="25"/>
      <c r="JH18" s="25"/>
      <c r="JI18" s="25"/>
      <c r="JJ18" s="25"/>
      <c r="JK18" s="25"/>
      <c r="JL18" s="25"/>
      <c r="JM18" s="25"/>
      <c r="JN18" s="25"/>
      <c r="JO18" s="25"/>
      <c r="JP18" s="25"/>
      <c r="JQ18" s="25"/>
      <c r="JR18" s="25"/>
      <c r="JS18" s="25"/>
      <c r="JT18" s="25"/>
      <c r="JU18" s="25"/>
      <c r="JV18" s="25"/>
      <c r="JW18" s="25"/>
      <c r="JX18" s="25"/>
      <c r="JY18" s="25"/>
      <c r="JZ18" s="25"/>
      <c r="KA18" s="25"/>
      <c r="KB18" s="25"/>
      <c r="KD18" s="25"/>
      <c r="KE18" s="25"/>
      <c r="KF18" s="25"/>
      <c r="KG18" s="25"/>
      <c r="KH18" s="25"/>
      <c r="KI18" s="25"/>
      <c r="KJ18" s="25"/>
      <c r="KK18" s="25"/>
      <c r="KL18" s="25"/>
      <c r="KM18" s="25"/>
      <c r="KN18" s="25"/>
      <c r="KO18" s="25"/>
      <c r="KP18" s="25"/>
      <c r="KQ18" s="25"/>
      <c r="KR18" s="25"/>
      <c r="KS18" s="25"/>
      <c r="KT18" s="25"/>
      <c r="KU18" s="25"/>
      <c r="KV18" s="25"/>
      <c r="KW18" s="25"/>
      <c r="KX18" s="25"/>
      <c r="KY18" s="25"/>
      <c r="KZ18" s="25"/>
      <c r="LA18" s="25"/>
      <c r="LB18" s="25"/>
      <c r="LC18" s="25"/>
      <c r="LD18" s="25"/>
      <c r="LE18" s="25"/>
      <c r="LF18" s="25"/>
      <c r="LG18" s="25"/>
      <c r="LH18" s="25"/>
      <c r="LJ18" s="25"/>
      <c r="LK18" s="25"/>
      <c r="LL18" s="25"/>
      <c r="LM18" s="25"/>
      <c r="LN18" s="25"/>
      <c r="LO18" s="25"/>
      <c r="LP18" s="25"/>
      <c r="LQ18" s="25"/>
      <c r="LR18" s="25"/>
      <c r="LS18" s="25"/>
      <c r="LT18" s="25"/>
      <c r="LU18" s="25"/>
      <c r="LV18" s="25"/>
      <c r="LW18" s="25"/>
      <c r="LX18" s="25"/>
      <c r="LY18" s="25"/>
      <c r="LZ18" s="25"/>
      <c r="MA18" s="25"/>
      <c r="MB18" s="25"/>
      <c r="MC18" s="25"/>
      <c r="MD18" s="25"/>
      <c r="ME18" s="25"/>
      <c r="MF18" s="25"/>
      <c r="MG18" s="25"/>
      <c r="MH18" s="25"/>
      <c r="MI18" s="25"/>
      <c r="MJ18" s="25"/>
      <c r="MK18" s="25"/>
      <c r="ML18" s="25"/>
      <c r="MM18" s="25"/>
      <c r="MN18" s="25"/>
      <c r="MP18" s="25"/>
      <c r="MQ18" s="25"/>
      <c r="MR18" s="25"/>
      <c r="MS18" s="25"/>
      <c r="MT18" s="25"/>
      <c r="MU18" s="25"/>
      <c r="MV18" s="25"/>
      <c r="MW18" s="25"/>
      <c r="MX18" s="25"/>
      <c r="MY18" s="25"/>
      <c r="MZ18" s="25"/>
      <c r="NA18" s="25"/>
      <c r="NB18" s="25"/>
      <c r="NC18" s="25"/>
      <c r="ND18" s="25"/>
      <c r="NE18" s="25"/>
      <c r="NF18" s="25"/>
      <c r="NG18" s="25"/>
      <c r="NH18" s="25"/>
      <c r="NI18" s="25"/>
      <c r="NJ18" s="25"/>
      <c r="NK18" s="25"/>
      <c r="NL18" s="25"/>
      <c r="NM18" s="25"/>
      <c r="NN18" s="25"/>
      <c r="NO18" s="25"/>
      <c r="NP18" s="25"/>
      <c r="NQ18" s="25"/>
      <c r="NR18" s="25"/>
      <c r="NS18" s="25"/>
      <c r="NT18" s="25"/>
      <c r="NV18" s="25"/>
      <c r="NW18" s="25"/>
      <c r="NX18" s="25"/>
      <c r="NY18" s="25"/>
      <c r="NZ18" s="25"/>
      <c r="OA18" s="25"/>
      <c r="OB18" s="25"/>
      <c r="OC18" s="25"/>
      <c r="OD18" s="25"/>
      <c r="OE18" s="25"/>
      <c r="OF18" s="25"/>
      <c r="OG18" s="25"/>
      <c r="OH18" s="25"/>
      <c r="OI18" s="25"/>
      <c r="OJ18" s="25"/>
      <c r="OK18" s="25"/>
      <c r="OL18" s="25"/>
      <c r="OM18" s="25"/>
      <c r="ON18" s="25"/>
      <c r="OO18" s="25"/>
      <c r="OP18" s="25"/>
      <c r="OQ18" s="25"/>
      <c r="OR18" s="25"/>
      <c r="OS18" s="25"/>
      <c r="OT18" s="25"/>
      <c r="OU18" s="25"/>
      <c r="OV18" s="25"/>
      <c r="OW18" s="25"/>
      <c r="OX18" s="25"/>
      <c r="OY18" s="25"/>
      <c r="OZ18" s="25"/>
      <c r="PB18" s="29"/>
      <c r="PC18" s="29"/>
      <c r="PD18" s="29"/>
      <c r="PE18" s="29"/>
      <c r="PF18" s="29"/>
      <c r="PH18" s="29"/>
      <c r="PI18" s="29"/>
      <c r="PJ18" s="29"/>
      <c r="PK18" s="29"/>
      <c r="PM18" s="29"/>
      <c r="PN18" s="3"/>
      <c r="PO18" s="29"/>
      <c r="PP18" s="93"/>
      <c r="PQ18" s="29"/>
      <c r="PR18" s="3"/>
      <c r="PT18" s="29"/>
      <c r="PU18" s="3"/>
      <c r="PV18" s="29"/>
      <c r="PW18" s="3"/>
      <c r="PZ18" s="35"/>
      <c r="QA18" s="81"/>
      <c r="QB18" s="81"/>
    </row>
    <row r="19" spans="2:444">
      <c r="B19" s="3"/>
      <c r="D19" s="39" t="str">
        <f t="shared" si="11"/>
        <v>-/-</v>
      </c>
      <c r="F19" s="3"/>
      <c r="H19" s="118"/>
      <c r="J19" s="118"/>
      <c r="L19" s="118"/>
      <c r="N19" s="118"/>
      <c r="O19" s="118"/>
      <c r="P19" s="118"/>
      <c r="Q19" s="118"/>
      <c r="R19" s="118"/>
      <c r="S19" s="118"/>
      <c r="U19" s="118"/>
      <c r="V19" s="118"/>
      <c r="W19" s="118"/>
      <c r="X19" s="118"/>
      <c r="Z19" s="118"/>
      <c r="AB19" s="19"/>
      <c r="AC19" s="19"/>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Q19" s="25"/>
      <c r="CR19" s="25"/>
      <c r="CS19" s="25"/>
      <c r="CT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W19" s="25"/>
      <c r="DX19" s="25"/>
      <c r="DY19" s="25"/>
      <c r="DZ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C19" s="25"/>
      <c r="FD19" s="25"/>
      <c r="FE19" s="25"/>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I19" s="25"/>
      <c r="GJ19" s="25"/>
      <c r="GK19" s="25"/>
      <c r="GL19" s="25"/>
      <c r="GM19" s="25"/>
      <c r="GN19" s="25"/>
      <c r="GO19" s="25"/>
      <c r="GP19" s="25"/>
      <c r="GQ19" s="25"/>
      <c r="GR19" s="25"/>
      <c r="GS19" s="25"/>
      <c r="GT19" s="25"/>
      <c r="GU19" s="25"/>
      <c r="GV19" s="25"/>
      <c r="GW19" s="25"/>
      <c r="GX19" s="25"/>
      <c r="GY19" s="25"/>
      <c r="GZ19" s="25"/>
      <c r="HA19" s="25"/>
      <c r="HB19" s="25"/>
      <c r="HC19" s="25"/>
      <c r="HD19" s="25"/>
      <c r="HE19" s="25"/>
      <c r="HF19" s="25"/>
      <c r="HG19" s="25"/>
      <c r="HH19" s="25"/>
      <c r="HI19" s="25"/>
      <c r="HJ19" s="25"/>
      <c r="HK19" s="25"/>
      <c r="HL19" s="25"/>
      <c r="HM19" s="25"/>
      <c r="HO19" s="23"/>
      <c r="HP19" s="23"/>
      <c r="HR19" s="25"/>
      <c r="HS19" s="25"/>
      <c r="HT19" s="25"/>
      <c r="HU19" s="25"/>
      <c r="HV19" s="25"/>
      <c r="HW19" s="25"/>
      <c r="HX19" s="25"/>
      <c r="HY19" s="25"/>
      <c r="HZ19" s="25"/>
      <c r="IA19" s="25"/>
      <c r="IB19" s="25"/>
      <c r="IC19" s="25"/>
      <c r="ID19" s="25"/>
      <c r="IE19" s="25"/>
      <c r="IF19" s="25"/>
      <c r="IG19" s="25"/>
      <c r="IH19" s="25"/>
      <c r="II19" s="25"/>
      <c r="IJ19" s="25"/>
      <c r="IK19" s="25"/>
      <c r="IL19" s="25"/>
      <c r="IM19" s="25"/>
      <c r="IN19" s="25"/>
      <c r="IO19" s="25"/>
      <c r="IP19" s="25"/>
      <c r="IQ19" s="25"/>
      <c r="IR19" s="25"/>
      <c r="IS19" s="25"/>
      <c r="IT19" s="25"/>
      <c r="IU19" s="25"/>
      <c r="IV19" s="25"/>
      <c r="IX19" s="25"/>
      <c r="IY19" s="25"/>
      <c r="IZ19" s="25"/>
      <c r="JA19" s="25"/>
      <c r="JB19" s="25"/>
      <c r="JC19" s="25"/>
      <c r="JD19" s="25"/>
      <c r="JE19" s="25"/>
      <c r="JF19" s="25"/>
      <c r="JG19" s="25"/>
      <c r="JH19" s="25"/>
      <c r="JI19" s="25"/>
      <c r="JJ19" s="25"/>
      <c r="JK19" s="25"/>
      <c r="JL19" s="25"/>
      <c r="JM19" s="25"/>
      <c r="JN19" s="25"/>
      <c r="JO19" s="25"/>
      <c r="JP19" s="25"/>
      <c r="JQ19" s="25"/>
      <c r="JR19" s="25"/>
      <c r="JS19" s="25"/>
      <c r="JT19" s="25"/>
      <c r="JU19" s="25"/>
      <c r="JV19" s="25"/>
      <c r="JW19" s="25"/>
      <c r="JX19" s="25"/>
      <c r="JY19" s="25"/>
      <c r="JZ19" s="25"/>
      <c r="KA19" s="25"/>
      <c r="KB19" s="25"/>
      <c r="KD19" s="25"/>
      <c r="KE19" s="25"/>
      <c r="KF19" s="25"/>
      <c r="KG19" s="25"/>
      <c r="KH19" s="25"/>
      <c r="KI19" s="25"/>
      <c r="KJ19" s="25"/>
      <c r="KK19" s="25"/>
      <c r="KL19" s="25"/>
      <c r="KM19" s="25"/>
      <c r="KN19" s="25"/>
      <c r="KO19" s="25"/>
      <c r="KP19" s="25"/>
      <c r="KQ19" s="25"/>
      <c r="KR19" s="25"/>
      <c r="KS19" s="25"/>
      <c r="KT19" s="25"/>
      <c r="KU19" s="25"/>
      <c r="KV19" s="25"/>
      <c r="KW19" s="25"/>
      <c r="KX19" s="25"/>
      <c r="KY19" s="25"/>
      <c r="KZ19" s="25"/>
      <c r="LA19" s="25"/>
      <c r="LB19" s="25"/>
      <c r="LC19" s="25"/>
      <c r="LD19" s="25"/>
      <c r="LE19" s="25"/>
      <c r="LF19" s="25"/>
      <c r="LG19" s="25"/>
      <c r="LH19" s="25"/>
      <c r="LJ19" s="25"/>
      <c r="LK19" s="25"/>
      <c r="LL19" s="25"/>
      <c r="LM19" s="25"/>
      <c r="LN19" s="25"/>
      <c r="LO19" s="25"/>
      <c r="LP19" s="25"/>
      <c r="LQ19" s="25"/>
      <c r="LR19" s="25"/>
      <c r="LS19" s="25"/>
      <c r="LT19" s="25"/>
      <c r="LU19" s="25"/>
      <c r="LV19" s="25"/>
      <c r="LW19" s="25"/>
      <c r="LX19" s="25"/>
      <c r="LY19" s="25"/>
      <c r="LZ19" s="25"/>
      <c r="MA19" s="25"/>
      <c r="MB19" s="25"/>
      <c r="MC19" s="25"/>
      <c r="MD19" s="25"/>
      <c r="ME19" s="25"/>
      <c r="MF19" s="25"/>
      <c r="MG19" s="25"/>
      <c r="MH19" s="25"/>
      <c r="MI19" s="25"/>
      <c r="MJ19" s="25"/>
      <c r="MK19" s="25"/>
      <c r="ML19" s="25"/>
      <c r="MM19" s="25"/>
      <c r="MN19" s="25"/>
      <c r="MP19" s="25"/>
      <c r="MQ19" s="25"/>
      <c r="MR19" s="25"/>
      <c r="MS19" s="25"/>
      <c r="MT19" s="25"/>
      <c r="MU19" s="25"/>
      <c r="MV19" s="25"/>
      <c r="MW19" s="25"/>
      <c r="MX19" s="25"/>
      <c r="MY19" s="25"/>
      <c r="MZ19" s="25"/>
      <c r="NA19" s="25"/>
      <c r="NB19" s="25"/>
      <c r="NC19" s="25"/>
      <c r="ND19" s="25"/>
      <c r="NE19" s="25"/>
      <c r="NF19" s="25"/>
      <c r="NG19" s="25"/>
      <c r="NH19" s="25"/>
      <c r="NI19" s="25"/>
      <c r="NJ19" s="25"/>
      <c r="NK19" s="25"/>
      <c r="NL19" s="25"/>
      <c r="NM19" s="25"/>
      <c r="NN19" s="25"/>
      <c r="NO19" s="25"/>
      <c r="NP19" s="25"/>
      <c r="NQ19" s="25"/>
      <c r="NR19" s="25"/>
      <c r="NS19" s="25"/>
      <c r="NT19" s="25"/>
      <c r="NV19" s="25"/>
      <c r="NW19" s="25"/>
      <c r="NX19" s="25"/>
      <c r="NY19" s="25"/>
      <c r="NZ19" s="25"/>
      <c r="OA19" s="25"/>
      <c r="OB19" s="25"/>
      <c r="OC19" s="25"/>
      <c r="OD19" s="25"/>
      <c r="OE19" s="25"/>
      <c r="OF19" s="25"/>
      <c r="OG19" s="25"/>
      <c r="OH19" s="25"/>
      <c r="OI19" s="25"/>
      <c r="OJ19" s="25"/>
      <c r="OK19" s="25"/>
      <c r="OL19" s="25"/>
      <c r="OM19" s="25"/>
      <c r="ON19" s="25"/>
      <c r="OO19" s="25"/>
      <c r="OP19" s="25"/>
      <c r="OQ19" s="25"/>
      <c r="OR19" s="25"/>
      <c r="OS19" s="25"/>
      <c r="OT19" s="25"/>
      <c r="OU19" s="25"/>
      <c r="OV19" s="25"/>
      <c r="OW19" s="25"/>
      <c r="OX19" s="25"/>
      <c r="OY19" s="25"/>
      <c r="OZ19" s="25"/>
      <c r="PB19" s="29"/>
      <c r="PC19" s="29"/>
      <c r="PD19" s="29"/>
      <c r="PE19" s="29"/>
      <c r="PF19" s="29"/>
      <c r="PH19" s="29"/>
      <c r="PI19" s="29"/>
      <c r="PJ19" s="29"/>
      <c r="PK19" s="29"/>
      <c r="PM19" s="29"/>
      <c r="PN19" s="3"/>
      <c r="PO19" s="29"/>
      <c r="PP19" s="93"/>
      <c r="PQ19" s="29"/>
      <c r="PR19" s="3"/>
      <c r="PT19" s="29"/>
      <c r="PU19" s="3"/>
      <c r="PV19" s="29"/>
      <c r="PW19" s="3"/>
      <c r="PZ19" s="35"/>
      <c r="QA19" s="81"/>
      <c r="QB19" s="81"/>
    </row>
    <row r="20" spans="2:444">
      <c r="B20" s="3"/>
      <c r="D20" s="39" t="str">
        <f t="shared" si="11"/>
        <v>-/-</v>
      </c>
      <c r="F20" s="3"/>
      <c r="H20" s="118"/>
      <c r="J20" s="118"/>
      <c r="L20" s="118"/>
      <c r="N20" s="118"/>
      <c r="O20" s="118"/>
      <c r="P20" s="118"/>
      <c r="Q20" s="118"/>
      <c r="R20" s="118"/>
      <c r="S20" s="118"/>
      <c r="U20" s="118"/>
      <c r="V20" s="118"/>
      <c r="W20" s="118"/>
      <c r="X20" s="118"/>
      <c r="Z20" s="118"/>
      <c r="AB20" s="19"/>
      <c r="AC20" s="19"/>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Q20" s="25"/>
      <c r="CR20" s="25"/>
      <c r="CS20" s="25"/>
      <c r="CT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W20" s="25"/>
      <c r="DX20" s="25"/>
      <c r="DY20" s="25"/>
      <c r="DZ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C20" s="25"/>
      <c r="FD20" s="25"/>
      <c r="FE20" s="25"/>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I20" s="25"/>
      <c r="GJ20" s="25"/>
      <c r="GK20" s="25"/>
      <c r="GL20" s="25"/>
      <c r="GM20" s="25"/>
      <c r="GN20" s="25"/>
      <c r="GO20" s="25"/>
      <c r="GP20" s="25"/>
      <c r="GQ20" s="25"/>
      <c r="GR20" s="25"/>
      <c r="GS20" s="25"/>
      <c r="GT20" s="25"/>
      <c r="GU20" s="25"/>
      <c r="GV20" s="25"/>
      <c r="GW20" s="25"/>
      <c r="GX20" s="25"/>
      <c r="GY20" s="25"/>
      <c r="GZ20" s="25"/>
      <c r="HA20" s="25"/>
      <c r="HB20" s="25"/>
      <c r="HC20" s="25"/>
      <c r="HD20" s="25"/>
      <c r="HE20" s="25"/>
      <c r="HF20" s="25"/>
      <c r="HG20" s="25"/>
      <c r="HH20" s="25"/>
      <c r="HI20" s="25"/>
      <c r="HJ20" s="25"/>
      <c r="HK20" s="25"/>
      <c r="HL20" s="25"/>
      <c r="HM20" s="25"/>
      <c r="HO20" s="23"/>
      <c r="HP20" s="23"/>
      <c r="HR20" s="25"/>
      <c r="HS20" s="25"/>
      <c r="HT20" s="25"/>
      <c r="HU20" s="25"/>
      <c r="HV20" s="25"/>
      <c r="HW20" s="25"/>
      <c r="HX20" s="25"/>
      <c r="HY20" s="25"/>
      <c r="HZ20" s="25"/>
      <c r="IA20" s="25"/>
      <c r="IB20" s="25"/>
      <c r="IC20" s="25"/>
      <c r="ID20" s="25"/>
      <c r="IE20" s="25"/>
      <c r="IF20" s="25"/>
      <c r="IG20" s="25"/>
      <c r="IH20" s="25"/>
      <c r="II20" s="25"/>
      <c r="IJ20" s="25"/>
      <c r="IK20" s="25"/>
      <c r="IL20" s="25"/>
      <c r="IM20" s="25"/>
      <c r="IN20" s="25"/>
      <c r="IO20" s="25"/>
      <c r="IP20" s="25"/>
      <c r="IQ20" s="25"/>
      <c r="IR20" s="25"/>
      <c r="IS20" s="25"/>
      <c r="IT20" s="25"/>
      <c r="IU20" s="25"/>
      <c r="IV20" s="25"/>
      <c r="IX20" s="25"/>
      <c r="IY20" s="25"/>
      <c r="IZ20" s="25"/>
      <c r="JA20" s="25"/>
      <c r="JB20" s="25"/>
      <c r="JC20" s="25"/>
      <c r="JD20" s="25"/>
      <c r="JE20" s="25"/>
      <c r="JF20" s="25"/>
      <c r="JG20" s="25"/>
      <c r="JH20" s="25"/>
      <c r="JI20" s="25"/>
      <c r="JJ20" s="25"/>
      <c r="JK20" s="25"/>
      <c r="JL20" s="25"/>
      <c r="JM20" s="25"/>
      <c r="JN20" s="25"/>
      <c r="JO20" s="25"/>
      <c r="JP20" s="25"/>
      <c r="JQ20" s="25"/>
      <c r="JR20" s="25"/>
      <c r="JS20" s="25"/>
      <c r="JT20" s="25"/>
      <c r="JU20" s="25"/>
      <c r="JV20" s="25"/>
      <c r="JW20" s="25"/>
      <c r="JX20" s="25"/>
      <c r="JY20" s="25"/>
      <c r="JZ20" s="25"/>
      <c r="KA20" s="25"/>
      <c r="KB20" s="25"/>
      <c r="KD20" s="25"/>
      <c r="KE20" s="25"/>
      <c r="KF20" s="25"/>
      <c r="KG20" s="25"/>
      <c r="KH20" s="25"/>
      <c r="KI20" s="25"/>
      <c r="KJ20" s="25"/>
      <c r="KK20" s="25"/>
      <c r="KL20" s="25"/>
      <c r="KM20" s="25"/>
      <c r="KN20" s="25"/>
      <c r="KO20" s="25"/>
      <c r="KP20" s="25"/>
      <c r="KQ20" s="25"/>
      <c r="KR20" s="25"/>
      <c r="KS20" s="25"/>
      <c r="KT20" s="25"/>
      <c r="KU20" s="25"/>
      <c r="KV20" s="25"/>
      <c r="KW20" s="25"/>
      <c r="KX20" s="25"/>
      <c r="KY20" s="25"/>
      <c r="KZ20" s="25"/>
      <c r="LA20" s="25"/>
      <c r="LB20" s="25"/>
      <c r="LC20" s="25"/>
      <c r="LD20" s="25"/>
      <c r="LE20" s="25"/>
      <c r="LF20" s="25"/>
      <c r="LG20" s="25"/>
      <c r="LH20" s="25"/>
      <c r="LJ20" s="25"/>
      <c r="LK20" s="25"/>
      <c r="LL20" s="25"/>
      <c r="LM20" s="25"/>
      <c r="LN20" s="25"/>
      <c r="LO20" s="25"/>
      <c r="LP20" s="25"/>
      <c r="LQ20" s="25"/>
      <c r="LR20" s="25"/>
      <c r="LS20" s="25"/>
      <c r="LT20" s="25"/>
      <c r="LU20" s="25"/>
      <c r="LV20" s="25"/>
      <c r="LW20" s="25"/>
      <c r="LX20" s="25"/>
      <c r="LY20" s="25"/>
      <c r="LZ20" s="25"/>
      <c r="MA20" s="25"/>
      <c r="MB20" s="25"/>
      <c r="MC20" s="25"/>
      <c r="MD20" s="25"/>
      <c r="ME20" s="25"/>
      <c r="MF20" s="25"/>
      <c r="MG20" s="25"/>
      <c r="MH20" s="25"/>
      <c r="MI20" s="25"/>
      <c r="MJ20" s="25"/>
      <c r="MK20" s="25"/>
      <c r="ML20" s="25"/>
      <c r="MM20" s="25"/>
      <c r="MN20" s="25"/>
      <c r="MP20" s="25"/>
      <c r="MQ20" s="25"/>
      <c r="MR20" s="25"/>
      <c r="MS20" s="25"/>
      <c r="MT20" s="25"/>
      <c r="MU20" s="25"/>
      <c r="MV20" s="25"/>
      <c r="MW20" s="25"/>
      <c r="MX20" s="25"/>
      <c r="MY20" s="25"/>
      <c r="MZ20" s="25"/>
      <c r="NA20" s="25"/>
      <c r="NB20" s="25"/>
      <c r="NC20" s="25"/>
      <c r="ND20" s="25"/>
      <c r="NE20" s="25"/>
      <c r="NF20" s="25"/>
      <c r="NG20" s="25"/>
      <c r="NH20" s="25"/>
      <c r="NI20" s="25"/>
      <c r="NJ20" s="25"/>
      <c r="NK20" s="25"/>
      <c r="NL20" s="25"/>
      <c r="NM20" s="25"/>
      <c r="NN20" s="25"/>
      <c r="NO20" s="25"/>
      <c r="NP20" s="25"/>
      <c r="NQ20" s="25"/>
      <c r="NR20" s="25"/>
      <c r="NS20" s="25"/>
      <c r="NT20" s="25"/>
      <c r="NV20" s="25"/>
      <c r="NW20" s="25"/>
      <c r="NX20" s="25"/>
      <c r="NY20" s="25"/>
      <c r="NZ20" s="25"/>
      <c r="OA20" s="25"/>
      <c r="OB20" s="25"/>
      <c r="OC20" s="25"/>
      <c r="OD20" s="25"/>
      <c r="OE20" s="25"/>
      <c r="OF20" s="25"/>
      <c r="OG20" s="25"/>
      <c r="OH20" s="25"/>
      <c r="OI20" s="25"/>
      <c r="OJ20" s="25"/>
      <c r="OK20" s="25"/>
      <c r="OL20" s="25"/>
      <c r="OM20" s="25"/>
      <c r="ON20" s="25"/>
      <c r="OO20" s="25"/>
      <c r="OP20" s="25"/>
      <c r="OQ20" s="25"/>
      <c r="OR20" s="25"/>
      <c r="OS20" s="25"/>
      <c r="OT20" s="25"/>
      <c r="OU20" s="25"/>
      <c r="OV20" s="25"/>
      <c r="OW20" s="25"/>
      <c r="OX20" s="25"/>
      <c r="OY20" s="25"/>
      <c r="OZ20" s="25"/>
      <c r="PB20" s="29"/>
      <c r="PC20" s="29"/>
      <c r="PD20" s="29"/>
      <c r="PE20" s="29"/>
      <c r="PF20" s="29"/>
      <c r="PH20" s="29"/>
      <c r="PI20" s="29"/>
      <c r="PJ20" s="29"/>
      <c r="PK20" s="29"/>
      <c r="PM20" s="29"/>
      <c r="PN20" s="3"/>
      <c r="PO20" s="29"/>
      <c r="PP20" s="93"/>
      <c r="PQ20" s="29"/>
      <c r="PR20" s="3"/>
      <c r="PT20" s="29"/>
      <c r="PU20" s="3"/>
      <c r="PV20" s="29"/>
      <c r="PW20" s="3"/>
      <c r="PZ20" s="35"/>
      <c r="QA20" s="81"/>
      <c r="QB20" s="81"/>
    </row>
    <row r="23" spans="2:444" ht="18" thickBot="1">
      <c r="B23" s="130" t="s">
        <v>519</v>
      </c>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row>
    <row r="25" spans="2:444" ht="28">
      <c r="AC25" s="11" t="s">
        <v>837</v>
      </c>
      <c r="AE25" s="6" t="s">
        <v>859</v>
      </c>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row>
    <row r="26" spans="2:444" outlineLevel="1">
      <c r="B26" s="27" t="s">
        <v>237</v>
      </c>
      <c r="C26" s="27" t="s">
        <v>221</v>
      </c>
      <c r="AC26" s="27" t="s">
        <v>520</v>
      </c>
      <c r="AE26" s="27" t="s">
        <v>521</v>
      </c>
      <c r="AF26" s="27" t="s">
        <v>521</v>
      </c>
      <c r="AG26" s="27" t="s">
        <v>521</v>
      </c>
      <c r="AH26" s="27" t="s">
        <v>521</v>
      </c>
      <c r="AI26" s="27" t="s">
        <v>521</v>
      </c>
      <c r="AJ26" s="27" t="s">
        <v>521</v>
      </c>
      <c r="AK26" s="27" t="s">
        <v>521</v>
      </c>
      <c r="AL26" s="27" t="s">
        <v>521</v>
      </c>
      <c r="AM26" s="27" t="s">
        <v>521</v>
      </c>
      <c r="AN26" s="27" t="s">
        <v>521</v>
      </c>
      <c r="AO26" s="27" t="s">
        <v>521</v>
      </c>
      <c r="AP26" s="27" t="s">
        <v>521</v>
      </c>
      <c r="AQ26" s="27" t="s">
        <v>521</v>
      </c>
      <c r="AR26" s="27" t="s">
        <v>521</v>
      </c>
      <c r="AS26" s="27" t="s">
        <v>521</v>
      </c>
      <c r="AT26" s="27" t="s">
        <v>521</v>
      </c>
      <c r="AU26" s="27" t="s">
        <v>521</v>
      </c>
      <c r="AV26" s="27" t="s">
        <v>521</v>
      </c>
      <c r="AW26" s="27" t="s">
        <v>521</v>
      </c>
      <c r="AX26" s="27" t="s">
        <v>521</v>
      </c>
      <c r="AY26" s="27" t="s">
        <v>521</v>
      </c>
      <c r="AZ26" s="27" t="s">
        <v>521</v>
      </c>
      <c r="BA26" s="27" t="s">
        <v>521</v>
      </c>
      <c r="BB26" s="27" t="s">
        <v>521</v>
      </c>
      <c r="BC26" s="27" t="s">
        <v>521</v>
      </c>
      <c r="BD26" s="27" t="s">
        <v>521</v>
      </c>
      <c r="BE26" s="27" t="s">
        <v>521</v>
      </c>
      <c r="BF26" s="27" t="s">
        <v>521</v>
      </c>
      <c r="BG26" s="27" t="s">
        <v>521</v>
      </c>
      <c r="BH26" s="27" t="s">
        <v>521</v>
      </c>
      <c r="BI26" s="27" t="s">
        <v>521</v>
      </c>
    </row>
    <row r="27" spans="2:444" ht="14">
      <c r="B27" s="6"/>
      <c r="C27" s="6"/>
      <c r="F27" s="11" t="s">
        <v>251</v>
      </c>
      <c r="AC27" s="59"/>
      <c r="AE27" s="59">
        <f>start_year</f>
        <v>43831</v>
      </c>
      <c r="AF27" s="59">
        <f>EDATE(AE27,12)</f>
        <v>44197</v>
      </c>
      <c r="AG27" s="59">
        <f>EDATE(AF27,12)</f>
        <v>44562</v>
      </c>
      <c r="AH27" s="59">
        <f>EDATE(AG27,12)</f>
        <v>44927</v>
      </c>
      <c r="AI27" s="59">
        <f t="shared" ref="AI27:BH27" si="12">EDATE(AH27,12)</f>
        <v>45292</v>
      </c>
      <c r="AJ27" s="59">
        <f t="shared" si="12"/>
        <v>45658</v>
      </c>
      <c r="AK27" s="59">
        <f t="shared" si="12"/>
        <v>46023</v>
      </c>
      <c r="AL27" s="59">
        <f t="shared" si="12"/>
        <v>46388</v>
      </c>
      <c r="AM27" s="59">
        <f t="shared" si="12"/>
        <v>46753</v>
      </c>
      <c r="AN27" s="59">
        <f t="shared" si="12"/>
        <v>47119</v>
      </c>
      <c r="AO27" s="59">
        <f t="shared" si="12"/>
        <v>47484</v>
      </c>
      <c r="AP27" s="59">
        <f t="shared" si="12"/>
        <v>47849</v>
      </c>
      <c r="AQ27" s="59">
        <f t="shared" si="12"/>
        <v>48214</v>
      </c>
      <c r="AR27" s="59">
        <f t="shared" si="12"/>
        <v>48580</v>
      </c>
      <c r="AS27" s="59">
        <f t="shared" si="12"/>
        <v>48945</v>
      </c>
      <c r="AT27" s="59">
        <f t="shared" si="12"/>
        <v>49310</v>
      </c>
      <c r="AU27" s="59">
        <f t="shared" si="12"/>
        <v>49675</v>
      </c>
      <c r="AV27" s="59">
        <f t="shared" si="12"/>
        <v>50041</v>
      </c>
      <c r="AW27" s="59">
        <f t="shared" si="12"/>
        <v>50406</v>
      </c>
      <c r="AX27" s="59">
        <f t="shared" si="12"/>
        <v>50771</v>
      </c>
      <c r="AY27" s="59">
        <f t="shared" si="12"/>
        <v>51136</v>
      </c>
      <c r="AZ27" s="59">
        <f t="shared" si="12"/>
        <v>51502</v>
      </c>
      <c r="BA27" s="59">
        <f t="shared" si="12"/>
        <v>51867</v>
      </c>
      <c r="BB27" s="59">
        <f t="shared" si="12"/>
        <v>52232</v>
      </c>
      <c r="BC27" s="59">
        <f t="shared" si="12"/>
        <v>52597</v>
      </c>
      <c r="BD27" s="59">
        <f t="shared" si="12"/>
        <v>52963</v>
      </c>
      <c r="BE27" s="59">
        <f t="shared" si="12"/>
        <v>53328</v>
      </c>
      <c r="BF27" s="59">
        <f t="shared" si="12"/>
        <v>53693</v>
      </c>
      <c r="BG27" s="59">
        <f t="shared" si="12"/>
        <v>54058</v>
      </c>
      <c r="BH27" s="59">
        <f t="shared" si="12"/>
        <v>54424</v>
      </c>
      <c r="BI27" s="59">
        <f>EDATE(BH27,12)</f>
        <v>54789</v>
      </c>
    </row>
    <row r="28" spans="2:444">
      <c r="B28" s="19" t="s">
        <v>238</v>
      </c>
      <c r="C28" s="129" t="s">
        <v>240</v>
      </c>
      <c r="F28" s="3"/>
      <c r="AC28" s="88" t="b">
        <v>0</v>
      </c>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v>100</v>
      </c>
    </row>
    <row r="29" spans="2:444">
      <c r="B29" s="19"/>
      <c r="C29" s="129"/>
      <c r="F29" s="3"/>
      <c r="AC29" s="88"/>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2:444">
      <c r="B30" s="19"/>
      <c r="C30" s="129"/>
      <c r="F30" s="3"/>
      <c r="AC30" s="88"/>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row>
    <row r="31" spans="2:444">
      <c r="B31" s="19"/>
      <c r="C31" s="129"/>
      <c r="F31" s="3"/>
      <c r="AC31" s="88"/>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row>
    <row r="32" spans="2:444">
      <c r="B32" s="19"/>
      <c r="C32" s="129"/>
      <c r="F32" s="3"/>
      <c r="AC32" s="88"/>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2:61">
      <c r="B33" s="19"/>
      <c r="C33" s="129"/>
      <c r="F33" s="3"/>
      <c r="AC33" s="88"/>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2:61">
      <c r="B34" s="19"/>
      <c r="C34" s="129"/>
      <c r="F34" s="3"/>
      <c r="AC34" s="88"/>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row>
    <row r="35" spans="2:61">
      <c r="B35" s="19"/>
      <c r="C35" s="129"/>
      <c r="F35" s="3"/>
      <c r="AC35" s="88"/>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row>
    <row r="36" spans="2:61">
      <c r="B36" s="19"/>
      <c r="C36" s="129"/>
      <c r="F36" s="3"/>
      <c r="AC36" s="88"/>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row>
    <row r="37" spans="2:61">
      <c r="B37" s="19"/>
      <c r="C37" s="129"/>
      <c r="F37" s="3"/>
      <c r="AC37" s="88"/>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2:61">
      <c r="B38" s="19"/>
      <c r="C38" s="129"/>
      <c r="F38" s="3"/>
      <c r="AC38" s="88"/>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row>
    <row r="39" spans="2:61">
      <c r="B39" s="19"/>
      <c r="C39" s="129"/>
      <c r="F39" s="3"/>
      <c r="AC39" s="88"/>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row>
    <row r="40" spans="2:61">
      <c r="B40" s="19"/>
      <c r="C40" s="129"/>
      <c r="F40" s="3"/>
      <c r="AC40" s="88"/>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row>
  </sheetData>
  <conditionalFormatting sqref="PR11:PR20 PW11:PW20 PU11:PU20 PP11:PP20 PN11:PN20">
    <cfRule type="expression" dxfId="20" priority="3">
      <formula>NOT(ISBLANK(PM11))</formula>
    </cfRule>
  </conditionalFormatting>
  <conditionalFormatting sqref="PM11:PM20 PV11:PV20 PT11:PT20 PO11:PO20 PQ11:PQ20">
    <cfRule type="expression" dxfId="19" priority="4">
      <formula>NOT(ISBLANK(PN11))</formula>
    </cfRule>
  </conditionalFormatting>
  <conditionalFormatting sqref="D11:D20">
    <cfRule type="cellIs" dxfId="18" priority="2" operator="equal">
      <formula>FALSE</formula>
    </cfRule>
  </conditionalFormatting>
  <conditionalFormatting sqref="A11:A20">
    <cfRule type="duplicateValues" dxfId="17" priority="1765"/>
  </conditionalFormatting>
  <dataValidations count="10">
    <dataValidation type="list" allowBlank="1" showInputMessage="1" showErrorMessage="1" sqref="J11:L20" xr:uid="{68EADB4A-26AD-4AA3-81CF-278D652B5948}">
      <formula1>ResourceGroup</formula1>
    </dataValidation>
    <dataValidation type="list" allowBlank="1" showInputMessage="1" showErrorMessage="1" sqref="L11:L20" xr:uid="{ED4BBBA6-59F0-45B6-AAA6-DB17052ED9DA}">
      <formula1>OFFSET(lists_outage_distributions,,,COUNTA(lists_outage_distributions))</formula1>
    </dataValidation>
    <dataValidation type="list" allowBlank="1" showInputMessage="1" showErrorMessage="1" sqref="Z11:Z20" xr:uid="{1F10E20F-9B56-4CA3-B64E-549EA3278809}">
      <formula1>OFFSET(lists_elcc_surfaces,,,COUNTA(lists_elcc_surfaces))</formula1>
    </dataValidation>
    <dataValidation type="list" allowBlank="1" showInputMessage="1" showErrorMessage="1" sqref="H11:H20" xr:uid="{12DCDFE1-042B-4999-BF35-ECA29487E777}">
      <formula1>OFFSET(lists_zones,,,COUNTA(lists_zones))</formula1>
    </dataValidation>
    <dataValidation type="list" allowBlank="1" showInputMessage="1" showErrorMessage="1" sqref="AB11:AC20 U11:X20 N11:S20" xr:uid="{A2595DD2-56A0-4BEC-BE1A-7AF99BDF077D}">
      <formula1>"TRUE,FALSE"</formula1>
    </dataValidation>
    <dataValidation type="list" allowBlank="1" showInputMessage="1" showErrorMessage="1" sqref="C41" xr:uid="{882BEF01-B8DF-4364-8F6D-DC00C8CC7E2D}">
      <formula1>OFFSET(lists_resources,0,0,COUNTA(lists_resources))</formula1>
    </dataValidation>
    <dataValidation type="list" allowBlank="1" showInputMessage="1" showErrorMessage="1" sqref="D41" xr:uid="{0E4250DA-F30F-4530-AA01-799CD9335500}">
      <formula1>OFFSET(lists_reserves,0,0,COUNTA(lists_reserves))</formula1>
    </dataValidation>
    <dataValidation type="list" allowBlank="1" showInputMessage="1" showErrorMessage="1" sqref="AC28:AC40" xr:uid="{CE49269C-EC40-456D-8458-3EC084ECE4E5}">
      <formula1>"True,False"</formula1>
    </dataValidation>
    <dataValidation type="list" allowBlank="1" showInputMessage="1" showErrorMessage="1" sqref="C28:C40" xr:uid="{1763F074-387F-1043-9865-38664C2EBC9F}">
      <formula1>OFFSET(list_hybridvariable_resources,,,COUNTA(list_hybridvariable_resources))</formula1>
    </dataValidation>
    <dataValidation type="list" allowBlank="1" showInputMessage="1" showErrorMessage="1" sqref="B28:B40" xr:uid="{E9783F5D-1FB1-F742-A89F-B81EF9BB65D7}">
      <formula1>OFFSET(list_hybridstorage_resources,,,COUNTA(list_hybridstorage_resources))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6" id="{6A1B669F-3E69-4001-9753-A8CEADD27D62}">
            <xm:f>ISNUMBER(MATCH(F11,'RESOLVE Case Settings'!$C$19:$C$42,0))</xm:f>
            <x14:dxf>
              <font>
                <color rgb="FF006100"/>
              </font>
              <fill>
                <patternFill>
                  <bgColor rgb="FFC6EFCE"/>
                </patternFill>
              </fill>
            </x14:dxf>
          </x14:cfRule>
          <xm:sqref>F11:F20 H41 F28:F40</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D0AA5-08BA-E24C-B739-09C57815C25E}">
  <sheetPr codeName="Sheet27">
    <tabColor theme="7" tint="0.79998168889431442"/>
  </sheetPr>
  <dimension ref="A1:JT35"/>
  <sheetViews>
    <sheetView showGridLines="0" zoomScaleNormal="100" workbookViewId="0">
      <pane xSplit="7" ySplit="10" topLeftCell="JK11" activePane="bottomRight" state="frozen"/>
      <selection pane="topRight" activeCell="N35" sqref="N35"/>
      <selection pane="bottomLeft" activeCell="N35" sqref="N35"/>
      <selection pane="bottomRight" activeCell="JS10" sqref="JS10:JT10"/>
    </sheetView>
  </sheetViews>
  <sheetFormatPr baseColWidth="10" defaultColWidth="11" defaultRowHeight="12" outlineLevelRow="1" outlineLevelCol="1"/>
  <cols>
    <col min="2" max="2" width="43.59765625" customWidth="1"/>
    <col min="3" max="3" width="3" customWidth="1" outlineLevel="1"/>
    <col min="4" max="4" width="25" customWidth="1" outlineLevel="1"/>
    <col min="5" max="5" width="3" customWidth="1" outlineLevel="1"/>
    <col min="6" max="6" width="30.3984375" customWidth="1" outlineLevel="1"/>
    <col min="7" max="7" width="3" customWidth="1"/>
    <col min="8" max="8" width="18.3984375" customWidth="1" outlineLevel="1"/>
    <col min="9" max="9" width="3" customWidth="1" outlineLevel="1"/>
    <col min="10" max="10" width="17" customWidth="1" outlineLevel="1"/>
    <col min="11" max="11" width="5.3984375" customWidth="1"/>
    <col min="12" max="12" width="29.59765625" bestFit="1" customWidth="1"/>
    <col min="13" max="13" width="3" customWidth="1" outlineLevel="1"/>
    <col min="14" max="19" width="16" customWidth="1" outlineLevel="1"/>
    <col min="20" max="20" width="3" customWidth="1" outlineLevel="1"/>
    <col min="21" max="24" width="16" customWidth="1" outlineLevel="1"/>
    <col min="25" max="25" width="3" customWidth="1" outlineLevel="1"/>
    <col min="26" max="26" width="20" customWidth="1" outlineLevel="1"/>
    <col min="27" max="27" width="3" customWidth="1"/>
    <col min="28" max="29" width="16" customWidth="1"/>
    <col min="30" max="30" width="3" customWidth="1"/>
    <col min="31" max="31" width="16" customWidth="1"/>
    <col min="32" max="33" width="16" hidden="1" customWidth="1" outlineLevel="1"/>
    <col min="34" max="34" width="16" hidden="1" customWidth="1" outlineLevel="1" collapsed="1"/>
    <col min="35" max="35" width="16" hidden="1" customWidth="1" outlineLevel="1"/>
    <col min="36" max="36" width="16" customWidth="1" collapsed="1"/>
    <col min="37" max="38" width="16" hidden="1" customWidth="1" outlineLevel="1"/>
    <col min="39" max="39" width="16" hidden="1" customWidth="1" outlineLevel="1" collapsed="1"/>
    <col min="40" max="40" width="16" hidden="1" customWidth="1" outlineLevel="1"/>
    <col min="41" max="41" width="16" customWidth="1" collapsed="1"/>
    <col min="42" max="42" width="16" hidden="1" customWidth="1" outlineLevel="1"/>
    <col min="43" max="43" width="16" hidden="1" customWidth="1" outlineLevel="1" collapsed="1"/>
    <col min="44" max="45" width="16" hidden="1" customWidth="1" outlineLevel="1"/>
    <col min="46" max="46" width="16" customWidth="1" collapsed="1"/>
    <col min="47" max="49" width="16" hidden="1" customWidth="1" outlineLevel="1"/>
    <col min="50" max="50" width="16" hidden="1" customWidth="1" outlineLevel="1" collapsed="1"/>
    <col min="51" max="51" width="16" customWidth="1" collapsed="1"/>
    <col min="52" max="55" width="16" hidden="1" customWidth="1" outlineLevel="1"/>
    <col min="56" max="56" width="16" customWidth="1" collapsed="1"/>
    <col min="57" max="60" width="16" hidden="1" customWidth="1" outlineLevel="1"/>
    <col min="61" max="61" width="16" customWidth="1" collapsed="1"/>
    <col min="62" max="62" width="3" customWidth="1"/>
    <col min="63" max="63" width="16" customWidth="1"/>
    <col min="64" max="65" width="16" hidden="1" customWidth="1" outlineLevel="1"/>
    <col min="66" max="66" width="16" hidden="1" customWidth="1" outlineLevel="1" collapsed="1"/>
    <col min="67" max="67" width="16" hidden="1" customWidth="1" outlineLevel="1"/>
    <col min="68" max="68" width="16" customWidth="1" collapsed="1"/>
    <col min="69" max="70" width="16" hidden="1" customWidth="1" outlineLevel="1"/>
    <col min="71" max="71" width="16" hidden="1" customWidth="1" outlineLevel="1" collapsed="1"/>
    <col min="72" max="72" width="16" hidden="1" customWidth="1" outlineLevel="1"/>
    <col min="73" max="73" width="16" customWidth="1" collapsed="1"/>
    <col min="74" max="74" width="16" hidden="1" customWidth="1" outlineLevel="1"/>
    <col min="75" max="75" width="16" hidden="1" customWidth="1" outlineLevel="1" collapsed="1"/>
    <col min="76" max="77" width="16" hidden="1" customWidth="1" outlineLevel="1"/>
    <col min="78" max="78" width="16" customWidth="1" collapsed="1"/>
    <col min="79" max="81" width="16" hidden="1" customWidth="1" outlineLevel="1"/>
    <col min="82" max="82" width="16" hidden="1" customWidth="1" outlineLevel="1" collapsed="1"/>
    <col min="83" max="83" width="16" customWidth="1" collapsed="1"/>
    <col min="84" max="87" width="16" hidden="1" customWidth="1" outlineLevel="1"/>
    <col min="88" max="88" width="16" customWidth="1" collapsed="1"/>
    <col min="89" max="92" width="16" hidden="1" customWidth="1" outlineLevel="1"/>
    <col min="93" max="93" width="16" customWidth="1" collapsed="1"/>
    <col min="94" max="94" width="3" customWidth="1"/>
    <col min="95" max="95" width="16" customWidth="1"/>
    <col min="96" max="99" width="16" hidden="1" customWidth="1" outlineLevel="1"/>
    <col min="100" max="100" width="16" customWidth="1" collapsed="1"/>
    <col min="101" max="104" width="16" hidden="1" customWidth="1" outlineLevel="1"/>
    <col min="105" max="105" width="16" customWidth="1" collapsed="1"/>
    <col min="106" max="109" width="16" hidden="1" customWidth="1" outlineLevel="1"/>
    <col min="110" max="110" width="16" customWidth="1" collapsed="1"/>
    <col min="111" max="114" width="16" hidden="1" customWidth="1" outlineLevel="1"/>
    <col min="115" max="115" width="16" customWidth="1" collapsed="1"/>
    <col min="116" max="119" width="16" hidden="1" customWidth="1" outlineLevel="1"/>
    <col min="120" max="120" width="16" customWidth="1" collapsed="1"/>
    <col min="121" max="124" width="16" hidden="1" customWidth="1" outlineLevel="1"/>
    <col min="125" max="125" width="16" customWidth="1" collapsed="1"/>
    <col min="126" max="126" width="16" customWidth="1"/>
    <col min="127" max="127" width="16" customWidth="1" collapsed="1"/>
    <col min="128" max="131" width="16" hidden="1" customWidth="1" outlineLevel="1"/>
    <col min="132" max="132" width="16" customWidth="1" collapsed="1"/>
    <col min="133" max="136" width="16" hidden="1" customWidth="1" outlineLevel="1"/>
    <col min="137" max="137" width="16" customWidth="1" collapsed="1"/>
    <col min="138" max="141" width="16" hidden="1" customWidth="1" outlineLevel="1"/>
    <col min="142" max="142" width="16" customWidth="1" collapsed="1"/>
    <col min="143" max="146" width="16" hidden="1" customWidth="1" outlineLevel="1"/>
    <col min="147" max="147" width="16" customWidth="1" collapsed="1"/>
    <col min="148" max="151" width="16" hidden="1" customWidth="1" outlineLevel="1"/>
    <col min="152" max="152" width="16" customWidth="1" collapsed="1"/>
    <col min="153" max="156" width="16" hidden="1" customWidth="1" outlineLevel="1"/>
    <col min="157" max="157" width="16" customWidth="1" collapsed="1"/>
    <col min="158" max="158" width="16" customWidth="1"/>
    <col min="159" max="159" width="16" customWidth="1" collapsed="1"/>
    <col min="160" max="161" width="16" hidden="1" customWidth="1" outlineLevel="1"/>
    <col min="162" max="162" width="16" hidden="1" customWidth="1" outlineLevel="1" collapsed="1"/>
    <col min="163" max="163" width="16" hidden="1" customWidth="1" outlineLevel="1"/>
    <col min="164" max="164" width="16" customWidth="1" collapsed="1"/>
    <col min="165" max="166" width="16" hidden="1" customWidth="1" outlineLevel="1"/>
    <col min="167" max="167" width="16" hidden="1" customWidth="1" outlineLevel="1" collapsed="1"/>
    <col min="168" max="168" width="16" hidden="1" customWidth="1" outlineLevel="1"/>
    <col min="169" max="169" width="16" customWidth="1" collapsed="1"/>
    <col min="170" max="170" width="16" hidden="1" customWidth="1" outlineLevel="1"/>
    <col min="171" max="171" width="16" hidden="1" customWidth="1" outlineLevel="1" collapsed="1"/>
    <col min="172" max="173" width="16" hidden="1" customWidth="1" outlineLevel="1"/>
    <col min="174" max="174" width="16" customWidth="1" collapsed="1"/>
    <col min="175" max="177" width="16" hidden="1" customWidth="1" outlineLevel="1"/>
    <col min="178" max="178" width="16" hidden="1" customWidth="1" outlineLevel="1" collapsed="1"/>
    <col min="179" max="179" width="16" customWidth="1" collapsed="1"/>
    <col min="180" max="183" width="16" hidden="1" customWidth="1" outlineLevel="1"/>
    <col min="184" max="184" width="16" customWidth="1" collapsed="1"/>
    <col min="185" max="188" width="16" hidden="1" customWidth="1" outlineLevel="1"/>
    <col min="189" max="189" width="16" customWidth="1" collapsed="1"/>
    <col min="190" max="190" width="3" customWidth="1"/>
    <col min="191" max="191" width="16" customWidth="1"/>
    <col min="192" max="193" width="16" hidden="1" customWidth="1" outlineLevel="1"/>
    <col min="194" max="194" width="16" hidden="1" customWidth="1" outlineLevel="1" collapsed="1"/>
    <col min="195" max="195" width="16" hidden="1" customWidth="1" outlineLevel="1"/>
    <col min="196" max="196" width="16" customWidth="1" collapsed="1"/>
    <col min="197" max="198" width="16" hidden="1" customWidth="1" outlineLevel="1"/>
    <col min="199" max="199" width="16" hidden="1" customWidth="1" outlineLevel="1" collapsed="1"/>
    <col min="200" max="200" width="16" hidden="1" customWidth="1" outlineLevel="1"/>
    <col min="201" max="201" width="16" customWidth="1" collapsed="1"/>
    <col min="202" max="202" width="16" hidden="1" customWidth="1" outlineLevel="1"/>
    <col min="203" max="203" width="16" hidden="1" customWidth="1" outlineLevel="1" collapsed="1"/>
    <col min="204" max="205" width="16" hidden="1" customWidth="1" outlineLevel="1"/>
    <col min="206" max="206" width="16" customWidth="1" collapsed="1"/>
    <col min="207" max="209" width="16" hidden="1" customWidth="1" outlineLevel="1"/>
    <col min="210" max="210" width="16" hidden="1" customWidth="1" outlineLevel="1" collapsed="1"/>
    <col min="211" max="211" width="16" customWidth="1" collapsed="1"/>
    <col min="212" max="215" width="16" hidden="1" customWidth="1" outlineLevel="1"/>
    <col min="216" max="216" width="16" customWidth="1" collapsed="1"/>
    <col min="217" max="220" width="16" hidden="1" customWidth="1" outlineLevel="1"/>
    <col min="221" max="221" width="16" customWidth="1" collapsed="1"/>
    <col min="222" max="222" width="3" customWidth="1"/>
    <col min="223" max="223" width="16" customWidth="1"/>
    <col min="224" max="227" width="16" hidden="1" customWidth="1" outlineLevel="1"/>
    <col min="228" max="228" width="16" customWidth="1" collapsed="1"/>
    <col min="229" max="232" width="16" hidden="1" customWidth="1" outlineLevel="1"/>
    <col min="233" max="233" width="16" customWidth="1" collapsed="1"/>
    <col min="234" max="237" width="16" hidden="1" customWidth="1" outlineLevel="1"/>
    <col min="238" max="238" width="16" customWidth="1" collapsed="1"/>
    <col min="239" max="242" width="16" hidden="1" customWidth="1" outlineLevel="1"/>
    <col min="243" max="243" width="16" customWidth="1" collapsed="1"/>
    <col min="244" max="247" width="16" hidden="1" customWidth="1" outlineLevel="1"/>
    <col min="248" max="248" width="16" customWidth="1" collapsed="1"/>
    <col min="249" max="252" width="16" hidden="1" customWidth="1" outlineLevel="1"/>
    <col min="253" max="253" width="16" customWidth="1" collapsed="1"/>
    <col min="254" max="254" width="3" customWidth="1"/>
    <col min="255" max="256" width="21" customWidth="1"/>
    <col min="257" max="260" width="18" customWidth="1"/>
    <col min="261" max="261" width="3" customWidth="1"/>
    <col min="262" max="262" width="21" customWidth="1"/>
    <col min="263" max="263" width="24" customWidth="1"/>
    <col min="264" max="264" width="19.59765625" customWidth="1"/>
    <col min="265" max="265" width="21" customWidth="1"/>
    <col min="266" max="266" width="17.3984375" customWidth="1"/>
    <col min="267" max="267" width="14" customWidth="1"/>
    <col min="268" max="268" width="15.796875" customWidth="1"/>
    <col min="269" max="269" width="20.3984375" customWidth="1"/>
    <col min="270" max="270" width="6.59765625" customWidth="1"/>
    <col min="274" max="274" width="6" customWidth="1"/>
  </cols>
  <sheetData>
    <row r="1" spans="1:280" s="5" customFormat="1" ht="29" thickBot="1">
      <c r="A1" s="5" t="s">
        <v>522</v>
      </c>
    </row>
    <row r="4" spans="1:280" ht="19" thickBot="1">
      <c r="H4" s="9" t="s">
        <v>474</v>
      </c>
      <c r="I4" s="9"/>
      <c r="J4" s="9"/>
      <c r="K4" s="9"/>
      <c r="L4" s="9"/>
      <c r="M4" s="9"/>
      <c r="N4" s="9"/>
      <c r="O4" s="9"/>
      <c r="P4" s="9"/>
      <c r="Q4" s="9"/>
      <c r="R4" s="9"/>
      <c r="S4" s="9"/>
      <c r="T4" s="9"/>
      <c r="U4" s="9"/>
      <c r="V4" s="9"/>
      <c r="W4" s="9"/>
      <c r="X4" s="9"/>
      <c r="Y4" s="9"/>
      <c r="Z4" s="9"/>
      <c r="AB4" s="9" t="s">
        <v>398</v>
      </c>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c r="GD4" s="9"/>
      <c r="GE4" s="9"/>
      <c r="GF4" s="9"/>
      <c r="GG4" s="9"/>
      <c r="GI4" s="9" t="s">
        <v>399</v>
      </c>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U4" s="9" t="s">
        <v>414</v>
      </c>
      <c r="IV4" s="9"/>
      <c r="IW4" s="9"/>
      <c r="IX4" s="9"/>
      <c r="IY4" s="9"/>
      <c r="IZ4" s="9"/>
      <c r="JA4" s="9"/>
      <c r="JB4" s="9"/>
      <c r="JC4" s="9"/>
      <c r="JD4" s="9"/>
      <c r="JE4" s="9"/>
      <c r="JF4" s="9"/>
      <c r="JG4" s="9"/>
      <c r="JH4" s="9"/>
      <c r="JI4" s="9"/>
      <c r="JK4" s="9" t="s">
        <v>415</v>
      </c>
      <c r="JL4" s="9"/>
      <c r="JM4" s="9"/>
      <c r="JN4" s="9"/>
      <c r="JO4" s="9"/>
      <c r="JP4" s="9"/>
      <c r="JQ4" s="9"/>
      <c r="JR4" s="9"/>
      <c r="JS4" s="9"/>
      <c r="JT4" s="9"/>
    </row>
    <row r="6" spans="1:280" ht="15" thickBot="1">
      <c r="N6" s="83" t="s">
        <v>279</v>
      </c>
      <c r="O6" s="83"/>
      <c r="P6" s="83"/>
      <c r="Q6" s="83"/>
      <c r="R6" s="83"/>
      <c r="S6" s="83"/>
      <c r="U6" s="83" t="s">
        <v>302</v>
      </c>
      <c r="V6" s="83"/>
      <c r="W6" s="83"/>
      <c r="X6" s="83"/>
      <c r="Y6" s="83"/>
      <c r="Z6" s="83"/>
    </row>
    <row r="8" spans="1:280" ht="56">
      <c r="H8" s="11" t="s">
        <v>203</v>
      </c>
      <c r="J8" s="11" t="s">
        <v>392</v>
      </c>
      <c r="L8" s="11" t="s">
        <v>443</v>
      </c>
      <c r="N8" s="11" t="str" cm="1">
        <f t="array" aca="1" ref="N8" ca="1">TRANSPOSE(OFFSET(lists_reserves,,,COUNTA(lists_reserves)))</f>
        <v>regulating_up</v>
      </c>
      <c r="O8" s="11"/>
      <c r="P8" s="11"/>
      <c r="Q8" s="11"/>
      <c r="R8" s="11"/>
      <c r="S8" s="11"/>
      <c r="U8" s="11" t="e" cm="1" vm="1">
        <f t="array" aca="1" ref="U8" ca="1">TRANSPOSE(OFFSET(lists_prm,,,COUNTA(lists_prm)))</f>
        <v>#VALUE!</v>
      </c>
      <c r="V8" s="11"/>
      <c r="W8" s="11"/>
      <c r="X8" s="11"/>
      <c r="Z8" s="11" t="s">
        <v>349</v>
      </c>
      <c r="AB8" s="6" t="s">
        <v>417</v>
      </c>
      <c r="AC8" s="6" t="s">
        <v>418</v>
      </c>
      <c r="AE8" s="6" t="s">
        <v>400</v>
      </c>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K8" s="6" t="s">
        <v>424</v>
      </c>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Q8" s="6" t="s">
        <v>419</v>
      </c>
      <c r="CR8" s="6"/>
      <c r="CS8" s="6"/>
      <c r="CT8" s="6"/>
      <c r="CU8" s="6"/>
      <c r="CV8" s="6"/>
      <c r="CW8" s="6"/>
      <c r="CX8" s="6"/>
      <c r="CY8" s="6"/>
      <c r="CZ8" s="6"/>
      <c r="DA8" s="6"/>
      <c r="DB8" s="6"/>
      <c r="DC8" s="6"/>
      <c r="DD8" s="6"/>
      <c r="DE8" s="6"/>
      <c r="DF8" s="6"/>
      <c r="DG8" s="6"/>
      <c r="DH8" s="6"/>
      <c r="DI8" s="6"/>
      <c r="DJ8" s="6"/>
      <c r="DK8" s="6"/>
      <c r="DL8" s="6"/>
      <c r="DM8" s="6"/>
      <c r="DN8" s="6"/>
      <c r="DO8" s="6"/>
      <c r="DP8" s="6"/>
      <c r="DQ8" s="6"/>
      <c r="DR8" s="6"/>
      <c r="DS8" s="6"/>
      <c r="DT8" s="6"/>
      <c r="DU8" s="6"/>
      <c r="DW8" s="6" t="s">
        <v>401</v>
      </c>
      <c r="DX8" s="6"/>
      <c r="DY8" s="6"/>
      <c r="DZ8" s="6"/>
      <c r="EA8" s="6"/>
      <c r="EB8" s="6"/>
      <c r="EC8" s="6"/>
      <c r="ED8" s="6"/>
      <c r="EE8" s="6"/>
      <c r="EF8" s="6"/>
      <c r="EG8" s="6"/>
      <c r="EH8" s="6"/>
      <c r="EI8" s="6"/>
      <c r="EJ8" s="6"/>
      <c r="EK8" s="6"/>
      <c r="EL8" s="6"/>
      <c r="EM8" s="6"/>
      <c r="EN8" s="6"/>
      <c r="EO8" s="6"/>
      <c r="EP8" s="6"/>
      <c r="EQ8" s="6"/>
      <c r="ER8" s="6"/>
      <c r="ES8" s="6"/>
      <c r="ET8" s="6"/>
      <c r="EU8" s="6"/>
      <c r="EV8" s="6"/>
      <c r="EW8" s="6"/>
      <c r="EX8" s="6"/>
      <c r="EY8" s="6"/>
      <c r="EZ8" s="6"/>
      <c r="FA8" s="6"/>
      <c r="FC8" s="6" t="s">
        <v>403</v>
      </c>
      <c r="FD8" s="6"/>
      <c r="FE8" s="6"/>
      <c r="FF8" s="6"/>
      <c r="FG8" s="6"/>
      <c r="FH8" s="6"/>
      <c r="FI8" s="6"/>
      <c r="FJ8" s="6"/>
      <c r="FK8" s="6"/>
      <c r="FL8" s="6"/>
      <c r="FM8" s="6"/>
      <c r="FN8" s="6"/>
      <c r="FO8" s="6"/>
      <c r="FP8" s="6"/>
      <c r="FQ8" s="6"/>
      <c r="FR8" s="6"/>
      <c r="FS8" s="6"/>
      <c r="FT8" s="6"/>
      <c r="FU8" s="6"/>
      <c r="FV8" s="6"/>
      <c r="FW8" s="6"/>
      <c r="FX8" s="6"/>
      <c r="FY8" s="6"/>
      <c r="FZ8" s="6"/>
      <c r="GA8" s="6"/>
      <c r="GB8" s="6"/>
      <c r="GC8" s="6"/>
      <c r="GD8" s="6"/>
      <c r="GE8" s="6"/>
      <c r="GF8" s="6"/>
      <c r="GG8" s="6"/>
      <c r="GI8" s="6" t="s">
        <v>523</v>
      </c>
      <c r="GJ8" s="6"/>
      <c r="GK8" s="6"/>
      <c r="GL8" s="6"/>
      <c r="GM8" s="6"/>
      <c r="GN8" s="6"/>
      <c r="GO8" s="6"/>
      <c r="GP8" s="6"/>
      <c r="GQ8" s="6"/>
      <c r="GR8" s="6"/>
      <c r="GS8" s="6"/>
      <c r="GT8" s="6"/>
      <c r="GU8" s="6"/>
      <c r="GV8" s="6"/>
      <c r="GW8" s="6"/>
      <c r="GX8" s="6"/>
      <c r="GY8" s="6"/>
      <c r="GZ8" s="6"/>
      <c r="HA8" s="6"/>
      <c r="HB8" s="6"/>
      <c r="HC8" s="6"/>
      <c r="HD8" s="6"/>
      <c r="HE8" s="6"/>
      <c r="HF8" s="6"/>
      <c r="HG8" s="6"/>
      <c r="HH8" s="6"/>
      <c r="HI8" s="6"/>
      <c r="HJ8" s="6"/>
      <c r="HK8" s="6"/>
      <c r="HL8" s="6"/>
      <c r="HM8" s="6"/>
      <c r="HO8" s="6" t="s">
        <v>420</v>
      </c>
      <c r="HP8" s="6"/>
      <c r="HQ8" s="6"/>
      <c r="HR8" s="6"/>
      <c r="HS8" s="6"/>
      <c r="HT8" s="6"/>
      <c r="HU8" s="6"/>
      <c r="HV8" s="6"/>
      <c r="HW8" s="6"/>
      <c r="HX8" s="6"/>
      <c r="HY8" s="6"/>
      <c r="HZ8" s="6"/>
      <c r="IA8" s="6"/>
      <c r="IB8" s="6"/>
      <c r="IC8" s="6"/>
      <c r="ID8" s="6"/>
      <c r="IE8" s="6"/>
      <c r="IF8" s="6"/>
      <c r="IG8" s="6"/>
      <c r="IH8" s="6"/>
      <c r="II8" s="6"/>
      <c r="IJ8" s="6"/>
      <c r="IK8" s="6"/>
      <c r="IL8" s="6"/>
      <c r="IM8" s="6"/>
      <c r="IN8" s="6"/>
      <c r="IO8" s="6"/>
      <c r="IP8" s="6"/>
      <c r="IQ8" s="6"/>
      <c r="IR8" s="6"/>
      <c r="IS8" s="6"/>
      <c r="IU8" s="11" t="s">
        <v>524</v>
      </c>
      <c r="IV8" s="11" t="s">
        <v>867</v>
      </c>
      <c r="IW8" s="68" t="s">
        <v>525</v>
      </c>
      <c r="IX8" s="68" t="s">
        <v>868</v>
      </c>
      <c r="IY8" s="68" t="s">
        <v>526</v>
      </c>
      <c r="IZ8" s="68" t="s">
        <v>869</v>
      </c>
      <c r="JB8" s="11" t="s">
        <v>527</v>
      </c>
      <c r="JC8" s="11" t="s">
        <v>528</v>
      </c>
      <c r="JD8" s="11" t="s">
        <v>529</v>
      </c>
      <c r="JE8" s="11" t="s">
        <v>530</v>
      </c>
      <c r="JF8" s="11" t="s">
        <v>431</v>
      </c>
      <c r="JG8" s="11" t="s">
        <v>432</v>
      </c>
      <c r="JH8" s="11" t="s">
        <v>863</v>
      </c>
      <c r="JI8" s="11" t="s">
        <v>865</v>
      </c>
      <c r="JK8" s="11" t="s">
        <v>441</v>
      </c>
      <c r="JL8" s="11" t="s">
        <v>442</v>
      </c>
      <c r="JM8" s="11" t="s">
        <v>388</v>
      </c>
      <c r="JO8" s="11" t="s">
        <v>531</v>
      </c>
      <c r="JP8" s="11" t="s">
        <v>936</v>
      </c>
      <c r="JQ8" s="11" t="s">
        <v>532</v>
      </c>
      <c r="JR8" s="11" t="s">
        <v>937</v>
      </c>
      <c r="JS8" s="11" t="s">
        <v>533</v>
      </c>
      <c r="JT8" s="11" t="s">
        <v>938</v>
      </c>
    </row>
    <row r="9" spans="1:280" s="30" customFormat="1" outlineLevel="1">
      <c r="B9" s="30" t="s">
        <v>233</v>
      </c>
      <c r="F9"/>
      <c r="H9" s="30" t="s">
        <v>444</v>
      </c>
      <c r="J9" s="30" t="s">
        <v>445</v>
      </c>
      <c r="L9" s="30" t="s">
        <v>471</v>
      </c>
      <c r="N9" s="30" t="s">
        <v>447</v>
      </c>
      <c r="O9" s="30" t="s">
        <v>447</v>
      </c>
      <c r="P9" s="30" t="s">
        <v>447</v>
      </c>
      <c r="Q9" s="30" t="s">
        <v>447</v>
      </c>
      <c r="R9" s="30" t="s">
        <v>447</v>
      </c>
      <c r="S9" s="30" t="s">
        <v>447</v>
      </c>
      <c r="U9" s="30" t="s">
        <v>406</v>
      </c>
      <c r="V9" s="30" t="s">
        <v>406</v>
      </c>
      <c r="W9" s="30" t="s">
        <v>406</v>
      </c>
      <c r="X9" s="30" t="s">
        <v>406</v>
      </c>
      <c r="Z9" s="30" t="s">
        <v>510</v>
      </c>
      <c r="AB9" s="30" t="s">
        <v>410</v>
      </c>
      <c r="AC9" s="30" t="s">
        <v>448</v>
      </c>
      <c r="AD9"/>
      <c r="AE9" s="30" t="s">
        <v>408</v>
      </c>
      <c r="AF9" s="30" t="s">
        <v>408</v>
      </c>
      <c r="AG9" s="30" t="s">
        <v>408</v>
      </c>
      <c r="AH9" s="30" t="s">
        <v>408</v>
      </c>
      <c r="AI9" s="30" t="s">
        <v>408</v>
      </c>
      <c r="AJ9" s="30" t="s">
        <v>408</v>
      </c>
      <c r="AK9" s="30" t="s">
        <v>408</v>
      </c>
      <c r="AL9" s="30" t="s">
        <v>408</v>
      </c>
      <c r="AM9" s="30" t="s">
        <v>408</v>
      </c>
      <c r="AN9" s="30" t="s">
        <v>408</v>
      </c>
      <c r="AO9" s="30" t="s">
        <v>408</v>
      </c>
      <c r="AP9" s="30" t="s">
        <v>408</v>
      </c>
      <c r="AQ9" s="30" t="s">
        <v>408</v>
      </c>
      <c r="AR9" s="30" t="s">
        <v>408</v>
      </c>
      <c r="AS9" s="30" t="s">
        <v>408</v>
      </c>
      <c r="AT9" s="30" t="s">
        <v>408</v>
      </c>
      <c r="AU9" s="30" t="s">
        <v>408</v>
      </c>
      <c r="AV9" s="30" t="s">
        <v>408</v>
      </c>
      <c r="AW9" s="30" t="s">
        <v>408</v>
      </c>
      <c r="AX9" s="30" t="s">
        <v>408</v>
      </c>
      <c r="AY9" s="30" t="s">
        <v>408</v>
      </c>
      <c r="AZ9" s="30" t="s">
        <v>408</v>
      </c>
      <c r="BA9" s="30" t="s">
        <v>408</v>
      </c>
      <c r="BB9" s="30" t="s">
        <v>408</v>
      </c>
      <c r="BC9" s="30" t="s">
        <v>408</v>
      </c>
      <c r="BD9" s="30" t="s">
        <v>408</v>
      </c>
      <c r="BE9" s="30" t="s">
        <v>408</v>
      </c>
      <c r="BF9" s="30" t="s">
        <v>408</v>
      </c>
      <c r="BG9" s="30" t="s">
        <v>408</v>
      </c>
      <c r="BH9" s="30" t="s">
        <v>408</v>
      </c>
      <c r="BI9" s="30" t="s">
        <v>408</v>
      </c>
      <c r="BK9" s="30" t="s">
        <v>860</v>
      </c>
      <c r="BL9" s="30" t="s">
        <v>860</v>
      </c>
      <c r="BM9" s="30" t="s">
        <v>860</v>
      </c>
      <c r="BN9" s="30" t="s">
        <v>860</v>
      </c>
      <c r="BO9" s="30" t="s">
        <v>860</v>
      </c>
      <c r="BP9" s="30" t="s">
        <v>860</v>
      </c>
      <c r="BQ9" s="30" t="s">
        <v>860</v>
      </c>
      <c r="BR9" s="30" t="s">
        <v>860</v>
      </c>
      <c r="BS9" s="30" t="s">
        <v>860</v>
      </c>
      <c r="BT9" s="30" t="s">
        <v>860</v>
      </c>
      <c r="BU9" s="30" t="s">
        <v>860</v>
      </c>
      <c r="BV9" s="30" t="s">
        <v>860</v>
      </c>
      <c r="BW9" s="30" t="s">
        <v>860</v>
      </c>
      <c r="BX9" s="30" t="s">
        <v>860</v>
      </c>
      <c r="BY9" s="30" t="s">
        <v>860</v>
      </c>
      <c r="BZ9" s="30" t="s">
        <v>860</v>
      </c>
      <c r="CA9" s="30" t="s">
        <v>860</v>
      </c>
      <c r="CB9" s="30" t="s">
        <v>860</v>
      </c>
      <c r="CC9" s="30" t="s">
        <v>860</v>
      </c>
      <c r="CD9" s="30" t="s">
        <v>860</v>
      </c>
      <c r="CE9" s="30" t="s">
        <v>860</v>
      </c>
      <c r="CF9" s="30" t="s">
        <v>860</v>
      </c>
      <c r="CG9" s="30" t="s">
        <v>860</v>
      </c>
      <c r="CH9" s="30" t="s">
        <v>860</v>
      </c>
      <c r="CI9" s="30" t="s">
        <v>860</v>
      </c>
      <c r="CJ9" s="30" t="s">
        <v>860</v>
      </c>
      <c r="CK9" s="30" t="s">
        <v>860</v>
      </c>
      <c r="CL9" s="30" t="s">
        <v>860</v>
      </c>
      <c r="CM9" s="30" t="s">
        <v>860</v>
      </c>
      <c r="CN9" s="30" t="s">
        <v>860</v>
      </c>
      <c r="CO9" s="30" t="s">
        <v>860</v>
      </c>
      <c r="CQ9" s="30" t="s">
        <v>449</v>
      </c>
      <c r="CR9" s="30" t="s">
        <v>449</v>
      </c>
      <c r="CS9" s="30" t="s">
        <v>449</v>
      </c>
      <c r="CT9" s="30" t="s">
        <v>449</v>
      </c>
      <c r="CU9" s="30" t="s">
        <v>449</v>
      </c>
      <c r="CV9" s="30" t="s">
        <v>449</v>
      </c>
      <c r="CW9" s="30" t="s">
        <v>449</v>
      </c>
      <c r="CX9" s="30" t="s">
        <v>449</v>
      </c>
      <c r="CY9" s="30" t="s">
        <v>449</v>
      </c>
      <c r="CZ9" s="30" t="s">
        <v>449</v>
      </c>
      <c r="DA9" s="30" t="s">
        <v>449</v>
      </c>
      <c r="DB9" s="30" t="s">
        <v>449</v>
      </c>
      <c r="DC9" s="30" t="s">
        <v>449</v>
      </c>
      <c r="DD9" s="30" t="s">
        <v>449</v>
      </c>
      <c r="DE9" s="30" t="s">
        <v>449</v>
      </c>
      <c r="DF9" s="30" t="s">
        <v>449</v>
      </c>
      <c r="DG9" s="30" t="s">
        <v>449</v>
      </c>
      <c r="DH9" s="30" t="s">
        <v>449</v>
      </c>
      <c r="DI9" s="30" t="s">
        <v>449</v>
      </c>
      <c r="DJ9" s="30" t="s">
        <v>449</v>
      </c>
      <c r="DK9" s="30" t="s">
        <v>449</v>
      </c>
      <c r="DL9" s="30" t="s">
        <v>449</v>
      </c>
      <c r="DM9" s="30" t="s">
        <v>449</v>
      </c>
      <c r="DN9" s="30" t="s">
        <v>449</v>
      </c>
      <c r="DO9" s="30" t="s">
        <v>449</v>
      </c>
      <c r="DP9" s="30" t="s">
        <v>449</v>
      </c>
      <c r="DQ9" s="30" t="s">
        <v>449</v>
      </c>
      <c r="DR9" s="30" t="s">
        <v>449</v>
      </c>
      <c r="DS9" s="30" t="s">
        <v>449</v>
      </c>
      <c r="DT9" s="30" t="s">
        <v>449</v>
      </c>
      <c r="DU9" s="30" t="s">
        <v>449</v>
      </c>
      <c r="DW9" s="30" t="s">
        <v>409</v>
      </c>
      <c r="DX9" s="30" t="s">
        <v>409</v>
      </c>
      <c r="DY9" s="30" t="s">
        <v>409</v>
      </c>
      <c r="DZ9" s="30" t="s">
        <v>409</v>
      </c>
      <c r="EA9" s="30" t="s">
        <v>409</v>
      </c>
      <c r="EB9" s="30" t="s">
        <v>409</v>
      </c>
      <c r="EC9" s="30" t="s">
        <v>409</v>
      </c>
      <c r="ED9" s="30" t="s">
        <v>409</v>
      </c>
      <c r="EE9" s="30" t="s">
        <v>409</v>
      </c>
      <c r="EF9" s="30" t="s">
        <v>409</v>
      </c>
      <c r="EG9" s="30" t="s">
        <v>409</v>
      </c>
      <c r="EH9" s="30" t="s">
        <v>409</v>
      </c>
      <c r="EI9" s="30" t="s">
        <v>409</v>
      </c>
      <c r="EJ9" s="30" t="s">
        <v>409</v>
      </c>
      <c r="EK9" s="30" t="s">
        <v>409</v>
      </c>
      <c r="EL9" s="30" t="s">
        <v>409</v>
      </c>
      <c r="EM9" s="30" t="s">
        <v>409</v>
      </c>
      <c r="EN9" s="30" t="s">
        <v>409</v>
      </c>
      <c r="EO9" s="30" t="s">
        <v>409</v>
      </c>
      <c r="EP9" s="30" t="s">
        <v>409</v>
      </c>
      <c r="EQ9" s="30" t="s">
        <v>409</v>
      </c>
      <c r="ER9" s="30" t="s">
        <v>409</v>
      </c>
      <c r="ES9" s="30" t="s">
        <v>409</v>
      </c>
      <c r="ET9" s="30" t="s">
        <v>409</v>
      </c>
      <c r="EU9" s="30" t="s">
        <v>409</v>
      </c>
      <c r="EV9" s="30" t="s">
        <v>409</v>
      </c>
      <c r="EW9" s="30" t="s">
        <v>409</v>
      </c>
      <c r="EX9" s="30" t="s">
        <v>409</v>
      </c>
      <c r="EY9" s="30" t="s">
        <v>409</v>
      </c>
      <c r="EZ9" s="30" t="s">
        <v>409</v>
      </c>
      <c r="FA9" s="30" t="s">
        <v>409</v>
      </c>
      <c r="FC9" s="30" t="s">
        <v>411</v>
      </c>
      <c r="FD9" s="30" t="s">
        <v>411</v>
      </c>
      <c r="FE9" s="30" t="s">
        <v>411</v>
      </c>
      <c r="FF9" s="30" t="s">
        <v>411</v>
      </c>
      <c r="FG9" s="30" t="s">
        <v>411</v>
      </c>
      <c r="FH9" s="30" t="s">
        <v>411</v>
      </c>
      <c r="FI9" s="30" t="s">
        <v>411</v>
      </c>
      <c r="FJ9" s="30" t="s">
        <v>411</v>
      </c>
      <c r="FK9" s="30" t="s">
        <v>411</v>
      </c>
      <c r="FL9" s="30" t="s">
        <v>411</v>
      </c>
      <c r="FM9" s="30" t="s">
        <v>411</v>
      </c>
      <c r="FN9" s="30" t="s">
        <v>411</v>
      </c>
      <c r="FO9" s="30" t="s">
        <v>411</v>
      </c>
      <c r="FP9" s="30" t="s">
        <v>411</v>
      </c>
      <c r="FQ9" s="30" t="s">
        <v>411</v>
      </c>
      <c r="FR9" s="30" t="s">
        <v>411</v>
      </c>
      <c r="FS9" s="30" t="s">
        <v>411</v>
      </c>
      <c r="FT9" s="30" t="s">
        <v>411</v>
      </c>
      <c r="FU9" s="30" t="s">
        <v>411</v>
      </c>
      <c r="FV9" s="30" t="s">
        <v>411</v>
      </c>
      <c r="FW9" s="30" t="s">
        <v>411</v>
      </c>
      <c r="FX9" s="30" t="s">
        <v>411</v>
      </c>
      <c r="FY9" s="30" t="s">
        <v>411</v>
      </c>
      <c r="FZ9" s="30" t="s">
        <v>411</v>
      </c>
      <c r="GA9" s="30" t="s">
        <v>411</v>
      </c>
      <c r="GB9" s="30" t="s">
        <v>411</v>
      </c>
      <c r="GC9" s="30" t="s">
        <v>411</v>
      </c>
      <c r="GD9" s="30" t="s">
        <v>411</v>
      </c>
      <c r="GE9" s="30" t="s">
        <v>411</v>
      </c>
      <c r="GF9" s="30" t="s">
        <v>411</v>
      </c>
      <c r="GG9" s="30" t="s">
        <v>411</v>
      </c>
      <c r="GI9" s="30" t="s">
        <v>451</v>
      </c>
      <c r="GJ9" s="30" t="s">
        <v>451</v>
      </c>
      <c r="GK9" s="30" t="s">
        <v>451</v>
      </c>
      <c r="GL9" s="30" t="s">
        <v>451</v>
      </c>
      <c r="GM9" s="30" t="s">
        <v>451</v>
      </c>
      <c r="GN9" s="30" t="s">
        <v>451</v>
      </c>
      <c r="GO9" s="30" t="s">
        <v>451</v>
      </c>
      <c r="GP9" s="30" t="s">
        <v>451</v>
      </c>
      <c r="GQ9" s="30" t="s">
        <v>451</v>
      </c>
      <c r="GR9" s="30" t="s">
        <v>451</v>
      </c>
      <c r="GS9" s="30" t="s">
        <v>451</v>
      </c>
      <c r="GT9" s="30" t="s">
        <v>451</v>
      </c>
      <c r="GU9" s="30" t="s">
        <v>451</v>
      </c>
      <c r="GV9" s="30" t="s">
        <v>451</v>
      </c>
      <c r="GW9" s="30" t="s">
        <v>451</v>
      </c>
      <c r="GX9" s="30" t="s">
        <v>451</v>
      </c>
      <c r="GY9" s="30" t="s">
        <v>451</v>
      </c>
      <c r="GZ9" s="30" t="s">
        <v>451</v>
      </c>
      <c r="HA9" s="30" t="s">
        <v>451</v>
      </c>
      <c r="HB9" s="30" t="s">
        <v>451</v>
      </c>
      <c r="HC9" s="30" t="s">
        <v>451</v>
      </c>
      <c r="HD9" s="30" t="s">
        <v>451</v>
      </c>
      <c r="HE9" s="30" t="s">
        <v>451</v>
      </c>
      <c r="HF9" s="30" t="s">
        <v>451</v>
      </c>
      <c r="HG9" s="30" t="s">
        <v>451</v>
      </c>
      <c r="HH9" s="30" t="s">
        <v>451</v>
      </c>
      <c r="HI9" s="30" t="s">
        <v>451</v>
      </c>
      <c r="HJ9" s="30" t="s">
        <v>451</v>
      </c>
      <c r="HK9" s="30" t="s">
        <v>451</v>
      </c>
      <c r="HL9" s="30" t="s">
        <v>451</v>
      </c>
      <c r="HM9" s="30" t="s">
        <v>451</v>
      </c>
      <c r="HO9" s="30" t="s">
        <v>450</v>
      </c>
      <c r="HP9" s="30" t="s">
        <v>450</v>
      </c>
      <c r="HQ9" s="30" t="s">
        <v>450</v>
      </c>
      <c r="HR9" s="30" t="s">
        <v>450</v>
      </c>
      <c r="HS9" s="30" t="s">
        <v>450</v>
      </c>
      <c r="HT9" s="30" t="s">
        <v>450</v>
      </c>
      <c r="HU9" s="30" t="s">
        <v>450</v>
      </c>
      <c r="HV9" s="30" t="s">
        <v>450</v>
      </c>
      <c r="HW9" s="30" t="s">
        <v>450</v>
      </c>
      <c r="HX9" s="30" t="s">
        <v>450</v>
      </c>
      <c r="HY9" s="30" t="s">
        <v>450</v>
      </c>
      <c r="HZ9" s="30" t="s">
        <v>450</v>
      </c>
      <c r="IA9" s="30" t="s">
        <v>450</v>
      </c>
      <c r="IB9" s="30" t="s">
        <v>450</v>
      </c>
      <c r="IC9" s="30" t="s">
        <v>450</v>
      </c>
      <c r="ID9" s="30" t="s">
        <v>450</v>
      </c>
      <c r="IE9" s="30" t="s">
        <v>450</v>
      </c>
      <c r="IF9" s="30" t="s">
        <v>450</v>
      </c>
      <c r="IG9" s="30" t="s">
        <v>450</v>
      </c>
      <c r="IH9" s="30" t="s">
        <v>450</v>
      </c>
      <c r="II9" s="30" t="s">
        <v>450</v>
      </c>
      <c r="IJ9" s="30" t="s">
        <v>450</v>
      </c>
      <c r="IK9" s="30" t="s">
        <v>450</v>
      </c>
      <c r="IL9" s="30" t="s">
        <v>450</v>
      </c>
      <c r="IM9" s="30" t="s">
        <v>450</v>
      </c>
      <c r="IN9" s="30" t="s">
        <v>450</v>
      </c>
      <c r="IO9" s="30" t="s">
        <v>450</v>
      </c>
      <c r="IP9" s="30" t="s">
        <v>450</v>
      </c>
      <c r="IQ9" s="30" t="s">
        <v>450</v>
      </c>
      <c r="IR9" s="30" t="s">
        <v>450</v>
      </c>
      <c r="IS9" s="30" t="s">
        <v>450</v>
      </c>
      <c r="IU9" s="30" t="s">
        <v>468</v>
      </c>
      <c r="IV9" s="30" t="s">
        <v>468</v>
      </c>
      <c r="IW9" s="30" t="s">
        <v>493</v>
      </c>
      <c r="IX9" s="30" t="s">
        <v>493</v>
      </c>
      <c r="IY9" s="30" t="s">
        <v>467</v>
      </c>
      <c r="IZ9" s="30" t="s">
        <v>467</v>
      </c>
      <c r="JB9" s="30" t="s">
        <v>534</v>
      </c>
      <c r="JC9" s="30" t="s">
        <v>535</v>
      </c>
      <c r="JD9" s="30" t="s">
        <v>536</v>
      </c>
      <c r="JE9" s="30" t="s">
        <v>537</v>
      </c>
      <c r="JF9" s="30" t="s">
        <v>461</v>
      </c>
      <c r="JG9" s="30" t="s">
        <v>462</v>
      </c>
      <c r="JH9" s="30" t="s">
        <v>455</v>
      </c>
      <c r="JI9" s="30" t="s">
        <v>861</v>
      </c>
      <c r="JK9" s="30" t="s">
        <v>469</v>
      </c>
      <c r="JL9" s="30" t="s">
        <v>470</v>
      </c>
      <c r="JM9" s="30" t="s">
        <v>391</v>
      </c>
      <c r="JO9" s="30" t="s">
        <v>494</v>
      </c>
      <c r="JP9" s="30" t="s">
        <v>494</v>
      </c>
      <c r="JQ9" s="30" t="s">
        <v>495</v>
      </c>
      <c r="JR9" s="30" t="s">
        <v>495</v>
      </c>
      <c r="JS9" s="30" t="s">
        <v>496</v>
      </c>
      <c r="JT9" s="30" t="s">
        <v>496</v>
      </c>
    </row>
    <row r="10" spans="1:280" ht="42">
      <c r="B10" s="6" t="s">
        <v>472</v>
      </c>
      <c r="D10" s="11" t="str">
        <f>"Included in Current System ("&amp;system_name&amp;")"</f>
        <v>Included in Current System (ISONE_toy_system)</v>
      </c>
      <c r="F10" s="11" t="s">
        <v>251</v>
      </c>
      <c r="H10" s="26"/>
      <c r="J10" s="26"/>
      <c r="L10" s="26"/>
      <c r="N10" s="26"/>
      <c r="O10" s="26"/>
      <c r="P10" s="26"/>
      <c r="Q10" s="26"/>
      <c r="R10" s="26"/>
      <c r="S10" s="26"/>
      <c r="U10" s="26"/>
      <c r="V10" s="26"/>
      <c r="W10" s="26"/>
      <c r="X10" s="26"/>
      <c r="Z10" s="26"/>
      <c r="AB10" s="26" t="s">
        <v>277</v>
      </c>
      <c r="AC10" s="26" t="s">
        <v>277</v>
      </c>
      <c r="AE10" s="59">
        <f>start_year</f>
        <v>43831</v>
      </c>
      <c r="AF10" s="59">
        <f t="shared" ref="AF10:BI10" si="0">EDATE(AE10,12)</f>
        <v>44197</v>
      </c>
      <c r="AG10" s="59">
        <f t="shared" si="0"/>
        <v>44562</v>
      </c>
      <c r="AH10" s="59">
        <f t="shared" si="0"/>
        <v>44927</v>
      </c>
      <c r="AI10" s="59">
        <f t="shared" si="0"/>
        <v>45292</v>
      </c>
      <c r="AJ10" s="59">
        <f t="shared" si="0"/>
        <v>45658</v>
      </c>
      <c r="AK10" s="59">
        <f t="shared" si="0"/>
        <v>46023</v>
      </c>
      <c r="AL10" s="59">
        <f t="shared" si="0"/>
        <v>46388</v>
      </c>
      <c r="AM10" s="59">
        <f t="shared" si="0"/>
        <v>46753</v>
      </c>
      <c r="AN10" s="59">
        <f t="shared" si="0"/>
        <v>47119</v>
      </c>
      <c r="AO10" s="59">
        <f t="shared" si="0"/>
        <v>47484</v>
      </c>
      <c r="AP10" s="59">
        <f t="shared" si="0"/>
        <v>47849</v>
      </c>
      <c r="AQ10" s="59">
        <f t="shared" si="0"/>
        <v>48214</v>
      </c>
      <c r="AR10" s="59">
        <f t="shared" si="0"/>
        <v>48580</v>
      </c>
      <c r="AS10" s="59">
        <f t="shared" si="0"/>
        <v>48945</v>
      </c>
      <c r="AT10" s="59">
        <f t="shared" si="0"/>
        <v>49310</v>
      </c>
      <c r="AU10" s="59">
        <f t="shared" si="0"/>
        <v>49675</v>
      </c>
      <c r="AV10" s="59">
        <f t="shared" si="0"/>
        <v>50041</v>
      </c>
      <c r="AW10" s="59">
        <f t="shared" si="0"/>
        <v>50406</v>
      </c>
      <c r="AX10" s="59">
        <f t="shared" si="0"/>
        <v>50771</v>
      </c>
      <c r="AY10" s="59">
        <f t="shared" si="0"/>
        <v>51136</v>
      </c>
      <c r="AZ10" s="59">
        <f t="shared" si="0"/>
        <v>51502</v>
      </c>
      <c r="BA10" s="59">
        <f t="shared" si="0"/>
        <v>51867</v>
      </c>
      <c r="BB10" s="59">
        <f t="shared" si="0"/>
        <v>52232</v>
      </c>
      <c r="BC10" s="59">
        <f t="shared" si="0"/>
        <v>52597</v>
      </c>
      <c r="BD10" s="59">
        <f t="shared" si="0"/>
        <v>52963</v>
      </c>
      <c r="BE10" s="59">
        <f t="shared" si="0"/>
        <v>53328</v>
      </c>
      <c r="BF10" s="59">
        <f t="shared" si="0"/>
        <v>53693</v>
      </c>
      <c r="BG10" s="59">
        <f t="shared" si="0"/>
        <v>54058</v>
      </c>
      <c r="BH10" s="59">
        <f t="shared" si="0"/>
        <v>54424</v>
      </c>
      <c r="BI10" s="59">
        <f t="shared" si="0"/>
        <v>54789</v>
      </c>
      <c r="BK10" s="59">
        <f>start_year</f>
        <v>43831</v>
      </c>
      <c r="BL10" s="59">
        <f t="shared" ref="BL10" si="1">EDATE(BK10,12)</f>
        <v>44197</v>
      </c>
      <c r="BM10" s="59">
        <f t="shared" ref="BM10" si="2">EDATE(BL10,12)</f>
        <v>44562</v>
      </c>
      <c r="BN10" s="59">
        <f t="shared" ref="BN10" si="3">EDATE(BM10,12)</f>
        <v>44927</v>
      </c>
      <c r="BO10" s="59">
        <f t="shared" ref="BO10" si="4">EDATE(BN10,12)</f>
        <v>45292</v>
      </c>
      <c r="BP10" s="59">
        <f t="shared" ref="BP10" si="5">EDATE(BO10,12)</f>
        <v>45658</v>
      </c>
      <c r="BQ10" s="59">
        <f t="shared" ref="BQ10" si="6">EDATE(BP10,12)</f>
        <v>46023</v>
      </c>
      <c r="BR10" s="59">
        <f t="shared" ref="BR10" si="7">EDATE(BQ10,12)</f>
        <v>46388</v>
      </c>
      <c r="BS10" s="59">
        <f t="shared" ref="BS10" si="8">EDATE(BR10,12)</f>
        <v>46753</v>
      </c>
      <c r="BT10" s="59">
        <f t="shared" ref="BT10" si="9">EDATE(BS10,12)</f>
        <v>47119</v>
      </c>
      <c r="BU10" s="59">
        <f t="shared" ref="BU10" si="10">EDATE(BT10,12)</f>
        <v>47484</v>
      </c>
      <c r="BV10" s="59">
        <f t="shared" ref="BV10" si="11">EDATE(BU10,12)</f>
        <v>47849</v>
      </c>
      <c r="BW10" s="59">
        <f t="shared" ref="BW10" si="12">EDATE(BV10,12)</f>
        <v>48214</v>
      </c>
      <c r="BX10" s="59">
        <f t="shared" ref="BX10" si="13">EDATE(BW10,12)</f>
        <v>48580</v>
      </c>
      <c r="BY10" s="59">
        <f t="shared" ref="BY10" si="14">EDATE(BX10,12)</f>
        <v>48945</v>
      </c>
      <c r="BZ10" s="59">
        <f t="shared" ref="BZ10" si="15">EDATE(BY10,12)</f>
        <v>49310</v>
      </c>
      <c r="CA10" s="59">
        <f t="shared" ref="CA10" si="16">EDATE(BZ10,12)</f>
        <v>49675</v>
      </c>
      <c r="CB10" s="59">
        <f t="shared" ref="CB10" si="17">EDATE(CA10,12)</f>
        <v>50041</v>
      </c>
      <c r="CC10" s="59">
        <f t="shared" ref="CC10" si="18">EDATE(CB10,12)</f>
        <v>50406</v>
      </c>
      <c r="CD10" s="59">
        <f t="shared" ref="CD10" si="19">EDATE(CC10,12)</f>
        <v>50771</v>
      </c>
      <c r="CE10" s="59">
        <f t="shared" ref="CE10" si="20">EDATE(CD10,12)</f>
        <v>51136</v>
      </c>
      <c r="CF10" s="59">
        <f t="shared" ref="CF10" si="21">EDATE(CE10,12)</f>
        <v>51502</v>
      </c>
      <c r="CG10" s="59">
        <f t="shared" ref="CG10" si="22">EDATE(CF10,12)</f>
        <v>51867</v>
      </c>
      <c r="CH10" s="59">
        <f t="shared" ref="CH10" si="23">EDATE(CG10,12)</f>
        <v>52232</v>
      </c>
      <c r="CI10" s="59">
        <f t="shared" ref="CI10" si="24">EDATE(CH10,12)</f>
        <v>52597</v>
      </c>
      <c r="CJ10" s="59">
        <f t="shared" ref="CJ10" si="25">EDATE(CI10,12)</f>
        <v>52963</v>
      </c>
      <c r="CK10" s="59">
        <f t="shared" ref="CK10" si="26">EDATE(CJ10,12)</f>
        <v>53328</v>
      </c>
      <c r="CL10" s="59">
        <f t="shared" ref="CL10" si="27">EDATE(CK10,12)</f>
        <v>53693</v>
      </c>
      <c r="CM10" s="59">
        <f t="shared" ref="CM10" si="28">EDATE(CL10,12)</f>
        <v>54058</v>
      </c>
      <c r="CN10" s="59">
        <f t="shared" ref="CN10" si="29">EDATE(CM10,12)</f>
        <v>54424</v>
      </c>
      <c r="CO10" s="59">
        <f t="shared" ref="CO10" si="30">EDATE(CN10,12)</f>
        <v>54789</v>
      </c>
      <c r="CQ10" s="59">
        <f>start_year</f>
        <v>43831</v>
      </c>
      <c r="CR10" s="59">
        <f t="shared" ref="CR10:DU10" si="31">EDATE(CQ10,12)</f>
        <v>44197</v>
      </c>
      <c r="CS10" s="59">
        <f t="shared" si="31"/>
        <v>44562</v>
      </c>
      <c r="CT10" s="59">
        <f t="shared" si="31"/>
        <v>44927</v>
      </c>
      <c r="CU10" s="59">
        <f t="shared" si="31"/>
        <v>45292</v>
      </c>
      <c r="CV10" s="59">
        <f t="shared" si="31"/>
        <v>45658</v>
      </c>
      <c r="CW10" s="59">
        <f t="shared" si="31"/>
        <v>46023</v>
      </c>
      <c r="CX10" s="59">
        <f t="shared" si="31"/>
        <v>46388</v>
      </c>
      <c r="CY10" s="59">
        <f t="shared" si="31"/>
        <v>46753</v>
      </c>
      <c r="CZ10" s="59">
        <f t="shared" si="31"/>
        <v>47119</v>
      </c>
      <c r="DA10" s="59">
        <f t="shared" si="31"/>
        <v>47484</v>
      </c>
      <c r="DB10" s="59">
        <f t="shared" si="31"/>
        <v>47849</v>
      </c>
      <c r="DC10" s="59">
        <f t="shared" si="31"/>
        <v>48214</v>
      </c>
      <c r="DD10" s="59">
        <f t="shared" si="31"/>
        <v>48580</v>
      </c>
      <c r="DE10" s="59">
        <f t="shared" si="31"/>
        <v>48945</v>
      </c>
      <c r="DF10" s="59">
        <f t="shared" si="31"/>
        <v>49310</v>
      </c>
      <c r="DG10" s="59">
        <f t="shared" si="31"/>
        <v>49675</v>
      </c>
      <c r="DH10" s="59">
        <f t="shared" si="31"/>
        <v>50041</v>
      </c>
      <c r="DI10" s="59">
        <f t="shared" si="31"/>
        <v>50406</v>
      </c>
      <c r="DJ10" s="59">
        <f t="shared" si="31"/>
        <v>50771</v>
      </c>
      <c r="DK10" s="59">
        <f t="shared" si="31"/>
        <v>51136</v>
      </c>
      <c r="DL10" s="59">
        <f t="shared" si="31"/>
        <v>51502</v>
      </c>
      <c r="DM10" s="59">
        <f t="shared" si="31"/>
        <v>51867</v>
      </c>
      <c r="DN10" s="59">
        <f t="shared" si="31"/>
        <v>52232</v>
      </c>
      <c r="DO10" s="59">
        <f t="shared" si="31"/>
        <v>52597</v>
      </c>
      <c r="DP10" s="59">
        <f t="shared" si="31"/>
        <v>52963</v>
      </c>
      <c r="DQ10" s="59">
        <f t="shared" si="31"/>
        <v>53328</v>
      </c>
      <c r="DR10" s="59">
        <f t="shared" si="31"/>
        <v>53693</v>
      </c>
      <c r="DS10" s="59">
        <f t="shared" si="31"/>
        <v>54058</v>
      </c>
      <c r="DT10" s="59">
        <f t="shared" si="31"/>
        <v>54424</v>
      </c>
      <c r="DU10" s="59">
        <f t="shared" si="31"/>
        <v>54789</v>
      </c>
      <c r="DW10" s="59">
        <f>start_year</f>
        <v>43831</v>
      </c>
      <c r="DX10" s="59">
        <f t="shared" ref="DX10:FA10" si="32">EDATE(DW10,12)</f>
        <v>44197</v>
      </c>
      <c r="DY10" s="59">
        <f t="shared" si="32"/>
        <v>44562</v>
      </c>
      <c r="DZ10" s="59">
        <f t="shared" si="32"/>
        <v>44927</v>
      </c>
      <c r="EA10" s="59">
        <f t="shared" si="32"/>
        <v>45292</v>
      </c>
      <c r="EB10" s="59">
        <f t="shared" si="32"/>
        <v>45658</v>
      </c>
      <c r="EC10" s="59">
        <f t="shared" si="32"/>
        <v>46023</v>
      </c>
      <c r="ED10" s="59">
        <f t="shared" si="32"/>
        <v>46388</v>
      </c>
      <c r="EE10" s="59">
        <f t="shared" si="32"/>
        <v>46753</v>
      </c>
      <c r="EF10" s="59">
        <f t="shared" si="32"/>
        <v>47119</v>
      </c>
      <c r="EG10" s="59">
        <f t="shared" si="32"/>
        <v>47484</v>
      </c>
      <c r="EH10" s="59">
        <f t="shared" si="32"/>
        <v>47849</v>
      </c>
      <c r="EI10" s="59">
        <f t="shared" si="32"/>
        <v>48214</v>
      </c>
      <c r="EJ10" s="59">
        <f t="shared" si="32"/>
        <v>48580</v>
      </c>
      <c r="EK10" s="59">
        <f t="shared" si="32"/>
        <v>48945</v>
      </c>
      <c r="EL10" s="59">
        <f t="shared" si="32"/>
        <v>49310</v>
      </c>
      <c r="EM10" s="59">
        <f t="shared" si="32"/>
        <v>49675</v>
      </c>
      <c r="EN10" s="59">
        <f t="shared" si="32"/>
        <v>50041</v>
      </c>
      <c r="EO10" s="59">
        <f t="shared" si="32"/>
        <v>50406</v>
      </c>
      <c r="EP10" s="59">
        <f t="shared" si="32"/>
        <v>50771</v>
      </c>
      <c r="EQ10" s="59">
        <f t="shared" si="32"/>
        <v>51136</v>
      </c>
      <c r="ER10" s="59">
        <f t="shared" si="32"/>
        <v>51502</v>
      </c>
      <c r="ES10" s="59">
        <f t="shared" si="32"/>
        <v>51867</v>
      </c>
      <c r="ET10" s="59">
        <f t="shared" si="32"/>
        <v>52232</v>
      </c>
      <c r="EU10" s="59">
        <f t="shared" si="32"/>
        <v>52597</v>
      </c>
      <c r="EV10" s="59">
        <f t="shared" si="32"/>
        <v>52963</v>
      </c>
      <c r="EW10" s="59">
        <f t="shared" si="32"/>
        <v>53328</v>
      </c>
      <c r="EX10" s="59">
        <f t="shared" si="32"/>
        <v>53693</v>
      </c>
      <c r="EY10" s="59">
        <f t="shared" si="32"/>
        <v>54058</v>
      </c>
      <c r="EZ10" s="59">
        <f t="shared" si="32"/>
        <v>54424</v>
      </c>
      <c r="FA10" s="59">
        <f t="shared" si="32"/>
        <v>54789</v>
      </c>
      <c r="FC10" s="59">
        <f>start_year</f>
        <v>43831</v>
      </c>
      <c r="FD10" s="59">
        <f t="shared" ref="FD10:GG10" si="33">EDATE(FC10,12)</f>
        <v>44197</v>
      </c>
      <c r="FE10" s="59">
        <f t="shared" si="33"/>
        <v>44562</v>
      </c>
      <c r="FF10" s="59">
        <f t="shared" si="33"/>
        <v>44927</v>
      </c>
      <c r="FG10" s="59">
        <f t="shared" si="33"/>
        <v>45292</v>
      </c>
      <c r="FH10" s="59">
        <f t="shared" si="33"/>
        <v>45658</v>
      </c>
      <c r="FI10" s="59">
        <f t="shared" si="33"/>
        <v>46023</v>
      </c>
      <c r="FJ10" s="59">
        <f t="shared" si="33"/>
        <v>46388</v>
      </c>
      <c r="FK10" s="59">
        <f t="shared" si="33"/>
        <v>46753</v>
      </c>
      <c r="FL10" s="59">
        <f t="shared" si="33"/>
        <v>47119</v>
      </c>
      <c r="FM10" s="59">
        <f t="shared" si="33"/>
        <v>47484</v>
      </c>
      <c r="FN10" s="59">
        <f t="shared" si="33"/>
        <v>47849</v>
      </c>
      <c r="FO10" s="59">
        <f t="shared" si="33"/>
        <v>48214</v>
      </c>
      <c r="FP10" s="59">
        <f t="shared" si="33"/>
        <v>48580</v>
      </c>
      <c r="FQ10" s="59">
        <f t="shared" si="33"/>
        <v>48945</v>
      </c>
      <c r="FR10" s="59">
        <f t="shared" si="33"/>
        <v>49310</v>
      </c>
      <c r="FS10" s="59">
        <f t="shared" si="33"/>
        <v>49675</v>
      </c>
      <c r="FT10" s="59">
        <f t="shared" si="33"/>
        <v>50041</v>
      </c>
      <c r="FU10" s="59">
        <f t="shared" si="33"/>
        <v>50406</v>
      </c>
      <c r="FV10" s="59">
        <f t="shared" si="33"/>
        <v>50771</v>
      </c>
      <c r="FW10" s="59">
        <f t="shared" si="33"/>
        <v>51136</v>
      </c>
      <c r="FX10" s="59">
        <f t="shared" si="33"/>
        <v>51502</v>
      </c>
      <c r="FY10" s="59">
        <f t="shared" si="33"/>
        <v>51867</v>
      </c>
      <c r="FZ10" s="59">
        <f t="shared" si="33"/>
        <v>52232</v>
      </c>
      <c r="GA10" s="59">
        <f t="shared" si="33"/>
        <v>52597</v>
      </c>
      <c r="GB10" s="59">
        <f t="shared" si="33"/>
        <v>52963</v>
      </c>
      <c r="GC10" s="59">
        <f t="shared" si="33"/>
        <v>53328</v>
      </c>
      <c r="GD10" s="59">
        <f t="shared" si="33"/>
        <v>53693</v>
      </c>
      <c r="GE10" s="59">
        <f t="shared" si="33"/>
        <v>54058</v>
      </c>
      <c r="GF10" s="59">
        <f t="shared" si="33"/>
        <v>54424</v>
      </c>
      <c r="GG10" s="59">
        <f t="shared" si="33"/>
        <v>54789</v>
      </c>
      <c r="GI10" s="59">
        <f>start_year</f>
        <v>43831</v>
      </c>
      <c r="GJ10" s="59">
        <f t="shared" ref="GJ10:HM10" si="34">EDATE(GI10,12)</f>
        <v>44197</v>
      </c>
      <c r="GK10" s="59">
        <f t="shared" si="34"/>
        <v>44562</v>
      </c>
      <c r="GL10" s="59">
        <f t="shared" si="34"/>
        <v>44927</v>
      </c>
      <c r="GM10" s="59">
        <f t="shared" si="34"/>
        <v>45292</v>
      </c>
      <c r="GN10" s="59">
        <f t="shared" si="34"/>
        <v>45658</v>
      </c>
      <c r="GO10" s="59">
        <f t="shared" si="34"/>
        <v>46023</v>
      </c>
      <c r="GP10" s="59">
        <f t="shared" si="34"/>
        <v>46388</v>
      </c>
      <c r="GQ10" s="59">
        <f t="shared" si="34"/>
        <v>46753</v>
      </c>
      <c r="GR10" s="59">
        <f t="shared" si="34"/>
        <v>47119</v>
      </c>
      <c r="GS10" s="59">
        <f t="shared" si="34"/>
        <v>47484</v>
      </c>
      <c r="GT10" s="59">
        <f t="shared" si="34"/>
        <v>47849</v>
      </c>
      <c r="GU10" s="59">
        <f t="shared" si="34"/>
        <v>48214</v>
      </c>
      <c r="GV10" s="59">
        <f t="shared" si="34"/>
        <v>48580</v>
      </c>
      <c r="GW10" s="59">
        <f t="shared" si="34"/>
        <v>48945</v>
      </c>
      <c r="GX10" s="59">
        <f t="shared" si="34"/>
        <v>49310</v>
      </c>
      <c r="GY10" s="59">
        <f t="shared" si="34"/>
        <v>49675</v>
      </c>
      <c r="GZ10" s="59">
        <f t="shared" si="34"/>
        <v>50041</v>
      </c>
      <c r="HA10" s="59">
        <f t="shared" si="34"/>
        <v>50406</v>
      </c>
      <c r="HB10" s="59">
        <f t="shared" si="34"/>
        <v>50771</v>
      </c>
      <c r="HC10" s="59">
        <f t="shared" si="34"/>
        <v>51136</v>
      </c>
      <c r="HD10" s="59">
        <f t="shared" si="34"/>
        <v>51502</v>
      </c>
      <c r="HE10" s="59">
        <f t="shared" si="34"/>
        <v>51867</v>
      </c>
      <c r="HF10" s="59">
        <f t="shared" si="34"/>
        <v>52232</v>
      </c>
      <c r="HG10" s="59">
        <f t="shared" si="34"/>
        <v>52597</v>
      </c>
      <c r="HH10" s="59">
        <f t="shared" si="34"/>
        <v>52963</v>
      </c>
      <c r="HI10" s="59">
        <f t="shared" si="34"/>
        <v>53328</v>
      </c>
      <c r="HJ10" s="59">
        <f t="shared" si="34"/>
        <v>53693</v>
      </c>
      <c r="HK10" s="59">
        <f t="shared" si="34"/>
        <v>54058</v>
      </c>
      <c r="HL10" s="59">
        <f t="shared" si="34"/>
        <v>54424</v>
      </c>
      <c r="HM10" s="59">
        <f t="shared" si="34"/>
        <v>54789</v>
      </c>
      <c r="HO10" s="59">
        <f>start_year</f>
        <v>43831</v>
      </c>
      <c r="HP10" s="59">
        <f t="shared" ref="HP10:IS10" si="35">EDATE(HO10,12)</f>
        <v>44197</v>
      </c>
      <c r="HQ10" s="59">
        <f t="shared" si="35"/>
        <v>44562</v>
      </c>
      <c r="HR10" s="59">
        <f t="shared" si="35"/>
        <v>44927</v>
      </c>
      <c r="HS10" s="59">
        <f t="shared" si="35"/>
        <v>45292</v>
      </c>
      <c r="HT10" s="59">
        <f t="shared" si="35"/>
        <v>45658</v>
      </c>
      <c r="HU10" s="59">
        <f t="shared" si="35"/>
        <v>46023</v>
      </c>
      <c r="HV10" s="59">
        <f t="shared" si="35"/>
        <v>46388</v>
      </c>
      <c r="HW10" s="59">
        <f t="shared" si="35"/>
        <v>46753</v>
      </c>
      <c r="HX10" s="59">
        <f t="shared" si="35"/>
        <v>47119</v>
      </c>
      <c r="HY10" s="59">
        <f t="shared" si="35"/>
        <v>47484</v>
      </c>
      <c r="HZ10" s="59">
        <f t="shared" si="35"/>
        <v>47849</v>
      </c>
      <c r="IA10" s="59">
        <f t="shared" si="35"/>
        <v>48214</v>
      </c>
      <c r="IB10" s="59">
        <f t="shared" si="35"/>
        <v>48580</v>
      </c>
      <c r="IC10" s="59">
        <f t="shared" si="35"/>
        <v>48945</v>
      </c>
      <c r="ID10" s="59">
        <f t="shared" si="35"/>
        <v>49310</v>
      </c>
      <c r="IE10" s="59">
        <f t="shared" si="35"/>
        <v>49675</v>
      </c>
      <c r="IF10" s="59">
        <f t="shared" si="35"/>
        <v>50041</v>
      </c>
      <c r="IG10" s="59">
        <f t="shared" si="35"/>
        <v>50406</v>
      </c>
      <c r="IH10" s="59">
        <f t="shared" si="35"/>
        <v>50771</v>
      </c>
      <c r="II10" s="59">
        <f t="shared" si="35"/>
        <v>51136</v>
      </c>
      <c r="IJ10" s="59">
        <f t="shared" si="35"/>
        <v>51502</v>
      </c>
      <c r="IK10" s="59">
        <f t="shared" si="35"/>
        <v>51867</v>
      </c>
      <c r="IL10" s="59">
        <f t="shared" si="35"/>
        <v>52232</v>
      </c>
      <c r="IM10" s="59">
        <f t="shared" si="35"/>
        <v>52597</v>
      </c>
      <c r="IN10" s="59">
        <f t="shared" si="35"/>
        <v>52963</v>
      </c>
      <c r="IO10" s="59">
        <f t="shared" si="35"/>
        <v>53328</v>
      </c>
      <c r="IP10" s="59">
        <f t="shared" si="35"/>
        <v>53693</v>
      </c>
      <c r="IQ10" s="59">
        <f t="shared" si="35"/>
        <v>54058</v>
      </c>
      <c r="IR10" s="59">
        <f t="shared" si="35"/>
        <v>54424</v>
      </c>
      <c r="IS10" s="59">
        <f t="shared" si="35"/>
        <v>54789</v>
      </c>
      <c r="IU10" s="86">
        <f>start_year</f>
        <v>43831</v>
      </c>
      <c r="IV10" s="86" t="s">
        <v>277</v>
      </c>
      <c r="IW10" s="86">
        <f>start_year</f>
        <v>43831</v>
      </c>
      <c r="IX10" s="86" t="s">
        <v>277</v>
      </c>
      <c r="IY10" s="86">
        <f>start_year</f>
        <v>43831</v>
      </c>
      <c r="IZ10" s="86" t="s">
        <v>277</v>
      </c>
      <c r="JB10" s="86"/>
      <c r="JC10" s="86"/>
      <c r="JD10" s="86"/>
      <c r="JE10" s="48"/>
      <c r="JF10" s="48"/>
      <c r="JG10" s="48"/>
      <c r="JH10" s="48"/>
      <c r="JI10" s="48"/>
      <c r="JK10" s="14"/>
      <c r="JL10" s="40"/>
      <c r="JM10" s="40"/>
      <c r="JO10" s="86">
        <f>start_year</f>
        <v>43831</v>
      </c>
      <c r="JP10" s="86" t="s">
        <v>277</v>
      </c>
      <c r="JQ10" s="86">
        <f>start_year</f>
        <v>43831</v>
      </c>
      <c r="JR10" s="86" t="s">
        <v>277</v>
      </c>
      <c r="JS10" s="86">
        <f>start_year</f>
        <v>43831</v>
      </c>
      <c r="JT10" s="86" t="s">
        <v>277</v>
      </c>
    </row>
    <row r="11" spans="1:280">
      <c r="B11" s="3" t="s">
        <v>234</v>
      </c>
      <c r="D11" s="39" t="b">
        <f>IF(ISBLANK($B11),"-/-",COUNTIFS(component_names,$B11,component_types,$B$9)&gt;0)</f>
        <v>1</v>
      </c>
      <c r="F11" s="3"/>
      <c r="H11" s="118" t="s">
        <v>110</v>
      </c>
      <c r="J11" s="118" t="s">
        <v>212</v>
      </c>
      <c r="L11" s="118" t="s">
        <v>216</v>
      </c>
      <c r="N11" s="118"/>
      <c r="O11" s="118"/>
      <c r="P11" s="118"/>
      <c r="Q11" s="118"/>
      <c r="R11" s="118"/>
      <c r="S11" s="118"/>
      <c r="U11" s="118"/>
      <c r="V11" s="118"/>
      <c r="W11" s="118"/>
      <c r="X11" s="118"/>
      <c r="Z11" s="118"/>
      <c r="AB11" s="19"/>
      <c r="AC11" s="19"/>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v>100</v>
      </c>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v>100</v>
      </c>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C11" s="25"/>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I11" s="25"/>
      <c r="GJ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O11" s="25"/>
      <c r="HP11" s="25"/>
      <c r="HQ11" s="25"/>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U11" s="29">
        <v>1</v>
      </c>
      <c r="IV11" s="29"/>
      <c r="IW11" s="93">
        <v>0</v>
      </c>
      <c r="IX11" s="93"/>
      <c r="IY11" s="93">
        <v>0</v>
      </c>
      <c r="IZ11" s="93"/>
      <c r="JB11" s="42">
        <v>5</v>
      </c>
      <c r="JC11" s="3">
        <v>1</v>
      </c>
      <c r="JD11" s="3">
        <v>1</v>
      </c>
      <c r="JE11" s="3">
        <v>4</v>
      </c>
      <c r="JF11" s="3">
        <v>8</v>
      </c>
      <c r="JG11" s="3"/>
      <c r="JH11" s="3"/>
      <c r="JI11" s="19" t="s">
        <v>866</v>
      </c>
      <c r="JK11" s="35">
        <v>0</v>
      </c>
      <c r="JL11" s="81">
        <v>24</v>
      </c>
      <c r="JM11" s="81">
        <v>17</v>
      </c>
      <c r="JO11" s="111"/>
      <c r="JP11" s="111"/>
      <c r="JQ11" s="112"/>
      <c r="JR11" s="112"/>
      <c r="JS11" s="112">
        <v>20000</v>
      </c>
      <c r="JT11" s="112">
        <v>20000</v>
      </c>
    </row>
    <row r="12" spans="1:280">
      <c r="B12" s="3"/>
      <c r="D12" s="39" t="str">
        <f>IF(ISBLANK($B12),"-/-",COUNTIFS(component_names,$B12,component_types,$B$9)&gt;0)</f>
        <v>-/-</v>
      </c>
      <c r="F12" s="3"/>
      <c r="H12" s="118"/>
      <c r="J12" s="118"/>
      <c r="L12" s="118"/>
      <c r="N12" s="118"/>
      <c r="O12" s="118"/>
      <c r="P12" s="118"/>
      <c r="Q12" s="118"/>
      <c r="R12" s="118"/>
      <c r="S12" s="118"/>
      <c r="U12" s="118"/>
      <c r="V12" s="118"/>
      <c r="W12" s="118"/>
      <c r="X12" s="118"/>
      <c r="Z12" s="118"/>
      <c r="AB12" s="19"/>
      <c r="AC12" s="19"/>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W12" s="25"/>
      <c r="DX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C12" s="25"/>
      <c r="FD12" s="25"/>
      <c r="FE12" s="25"/>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I12" s="25"/>
      <c r="GJ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O12" s="25"/>
      <c r="HP12" s="25"/>
      <c r="HQ12" s="25"/>
      <c r="HR12" s="25"/>
      <c r="HS12" s="25"/>
      <c r="HT12" s="25"/>
      <c r="HU12" s="25"/>
      <c r="HV12" s="25"/>
      <c r="HW12" s="25"/>
      <c r="HX12" s="25"/>
      <c r="HY12" s="25"/>
      <c r="HZ12" s="25"/>
      <c r="IA12" s="25"/>
      <c r="IB12" s="25"/>
      <c r="IC12" s="25"/>
      <c r="ID12" s="25"/>
      <c r="IE12" s="25"/>
      <c r="IF12" s="25"/>
      <c r="IG12" s="25"/>
      <c r="IH12" s="25"/>
      <c r="II12" s="25"/>
      <c r="IJ12" s="25"/>
      <c r="IK12" s="25"/>
      <c r="IL12" s="25"/>
      <c r="IM12" s="25"/>
      <c r="IN12" s="25"/>
      <c r="IO12" s="25"/>
      <c r="IP12" s="25"/>
      <c r="IQ12" s="25"/>
      <c r="IR12" s="25"/>
      <c r="IS12" s="25"/>
      <c r="IU12" s="42"/>
      <c r="IV12" s="42"/>
      <c r="IW12" s="3"/>
      <c r="IX12" s="3"/>
      <c r="IY12" s="3"/>
      <c r="IZ12" s="3"/>
      <c r="JB12" s="42"/>
      <c r="JC12" s="3"/>
      <c r="JD12" s="3"/>
      <c r="JE12" s="3"/>
      <c r="JF12" s="3"/>
      <c r="JG12" s="3"/>
      <c r="JH12" s="3"/>
      <c r="JI12" s="19"/>
      <c r="JK12" s="35"/>
      <c r="JL12" s="81"/>
      <c r="JM12" s="81"/>
      <c r="JO12" s="3"/>
      <c r="JP12" s="3"/>
      <c r="JQ12" s="3"/>
      <c r="JR12" s="3"/>
      <c r="JS12" s="3"/>
      <c r="JT12" s="3"/>
    </row>
    <row r="13" spans="1:280">
      <c r="B13" s="3"/>
      <c r="D13" s="39" t="str">
        <f>IF(ISBLANK($B13),"-/-",COUNTIFS(component_names,$B13,component_types,$B$9)&gt;0)</f>
        <v>-/-</v>
      </c>
      <c r="F13" s="3"/>
      <c r="H13" s="118"/>
      <c r="J13" s="118"/>
      <c r="L13" s="118"/>
      <c r="N13" s="118"/>
      <c r="O13" s="118"/>
      <c r="P13" s="118"/>
      <c r="Q13" s="118"/>
      <c r="R13" s="118"/>
      <c r="S13" s="118"/>
      <c r="U13" s="118"/>
      <c r="V13" s="118"/>
      <c r="W13" s="118"/>
      <c r="X13" s="118"/>
      <c r="Z13" s="118"/>
      <c r="AB13" s="19"/>
      <c r="AC13" s="19"/>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W13" s="25"/>
      <c r="DX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C13" s="25"/>
      <c r="FD13" s="25"/>
      <c r="FE13" s="25"/>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I13" s="25"/>
      <c r="GJ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O13" s="25"/>
      <c r="HP13" s="25"/>
      <c r="HQ13" s="25"/>
      <c r="HR13" s="25"/>
      <c r="HS13" s="25"/>
      <c r="HT13" s="25"/>
      <c r="HU13" s="25"/>
      <c r="HV13" s="25"/>
      <c r="HW13" s="25"/>
      <c r="HX13" s="25"/>
      <c r="HY13" s="25"/>
      <c r="HZ13" s="25"/>
      <c r="IA13" s="25"/>
      <c r="IB13" s="25"/>
      <c r="IC13" s="25"/>
      <c r="ID13" s="25"/>
      <c r="IE13" s="25"/>
      <c r="IF13" s="25"/>
      <c r="IG13" s="25"/>
      <c r="IH13" s="25"/>
      <c r="II13" s="25"/>
      <c r="IJ13" s="25"/>
      <c r="IK13" s="25"/>
      <c r="IL13" s="25"/>
      <c r="IM13" s="25"/>
      <c r="IN13" s="25"/>
      <c r="IO13" s="25"/>
      <c r="IP13" s="25"/>
      <c r="IQ13" s="25"/>
      <c r="IR13" s="25"/>
      <c r="IS13" s="25"/>
      <c r="IU13" s="42"/>
      <c r="IV13" s="42"/>
      <c r="IW13" s="3"/>
      <c r="IX13" s="3"/>
      <c r="IY13" s="3"/>
      <c r="IZ13" s="3"/>
      <c r="JB13" s="42"/>
      <c r="JC13" s="3"/>
      <c r="JD13" s="3"/>
      <c r="JE13" s="3"/>
      <c r="JF13" s="3"/>
      <c r="JG13" s="3"/>
      <c r="JH13" s="3"/>
      <c r="JI13" s="19"/>
      <c r="JK13" s="35"/>
      <c r="JL13" s="81"/>
      <c r="JM13" s="81"/>
      <c r="JO13" s="3"/>
      <c r="JP13" s="3"/>
      <c r="JQ13" s="3"/>
      <c r="JR13" s="3"/>
      <c r="JS13" s="3"/>
      <c r="JT13" s="3"/>
    </row>
    <row r="14" spans="1:280">
      <c r="B14" s="3"/>
      <c r="D14" s="39" t="str">
        <f>IF(ISBLANK($B14),"-/-",COUNTIFS(component_names,$B14,component_types,$B$9)&gt;0)</f>
        <v>-/-</v>
      </c>
      <c r="F14" s="3"/>
      <c r="H14" s="118"/>
      <c r="J14" s="118"/>
      <c r="L14" s="118"/>
      <c r="N14" s="118"/>
      <c r="O14" s="118"/>
      <c r="P14" s="118"/>
      <c r="Q14" s="118"/>
      <c r="R14" s="118"/>
      <c r="S14" s="118"/>
      <c r="U14" s="118"/>
      <c r="V14" s="118"/>
      <c r="W14" s="118"/>
      <c r="X14" s="118"/>
      <c r="Z14" s="118"/>
      <c r="AB14" s="19"/>
      <c r="AC14" s="19"/>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C14" s="25"/>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O14" s="25"/>
      <c r="HP14" s="25"/>
      <c r="HQ14" s="25"/>
      <c r="HR14" s="25"/>
      <c r="HS14" s="25"/>
      <c r="HT14" s="25"/>
      <c r="HU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U14" s="42"/>
      <c r="IV14" s="42"/>
      <c r="IW14" s="3"/>
      <c r="IX14" s="3"/>
      <c r="IY14" s="3"/>
      <c r="IZ14" s="3"/>
      <c r="JB14" s="42"/>
      <c r="JC14" s="3"/>
      <c r="JD14" s="3"/>
      <c r="JE14" s="3"/>
      <c r="JF14" s="3"/>
      <c r="JG14" s="3"/>
      <c r="JH14" s="3"/>
      <c r="JI14" s="19"/>
      <c r="JK14" s="35"/>
      <c r="JL14" s="81"/>
      <c r="JM14" s="81"/>
      <c r="JO14" s="3"/>
      <c r="JP14" s="3"/>
      <c r="JQ14" s="3"/>
      <c r="JR14" s="3"/>
      <c r="JS14" s="3"/>
      <c r="JT14" s="3"/>
    </row>
    <row r="15" spans="1:280">
      <c r="B15" s="3"/>
      <c r="D15" s="39" t="str">
        <f t="shared" ref="D15:D35" si="36">IF(ISBLANK($B15),"-/-",COUNTIFS(component_names,$B15,component_types,$B$9)&gt;0)</f>
        <v>-/-</v>
      </c>
      <c r="F15" s="3"/>
      <c r="H15" s="118"/>
      <c r="J15" s="118"/>
      <c r="L15" s="118"/>
      <c r="N15" s="118"/>
      <c r="O15" s="118"/>
      <c r="P15" s="118"/>
      <c r="Q15" s="118"/>
      <c r="R15" s="118"/>
      <c r="S15" s="118"/>
      <c r="U15" s="118"/>
      <c r="V15" s="118"/>
      <c r="W15" s="118"/>
      <c r="X15" s="118"/>
      <c r="Z15" s="118"/>
      <c r="AB15" s="19"/>
      <c r="AC15" s="19"/>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W15" s="25"/>
      <c r="DX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C15" s="25"/>
      <c r="FD15" s="25"/>
      <c r="FE15" s="25"/>
      <c r="FF15" s="25"/>
      <c r="FG15" s="25"/>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I15" s="25"/>
      <c r="GJ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O15" s="25"/>
      <c r="HP15" s="25"/>
      <c r="HQ15" s="25"/>
      <c r="HR15" s="25"/>
      <c r="HS15" s="25"/>
      <c r="HT15" s="25"/>
      <c r="HU15" s="25"/>
      <c r="HV15" s="25"/>
      <c r="HW15" s="25"/>
      <c r="HX15" s="25"/>
      <c r="HY15" s="25"/>
      <c r="HZ15" s="25"/>
      <c r="IA15" s="25"/>
      <c r="IB15" s="25"/>
      <c r="IC15" s="25"/>
      <c r="ID15" s="25"/>
      <c r="IE15" s="25"/>
      <c r="IF15" s="25"/>
      <c r="IG15" s="25"/>
      <c r="IH15" s="25"/>
      <c r="II15" s="25"/>
      <c r="IJ15" s="25"/>
      <c r="IK15" s="25"/>
      <c r="IL15" s="25"/>
      <c r="IM15" s="25"/>
      <c r="IN15" s="25"/>
      <c r="IO15" s="25"/>
      <c r="IP15" s="25"/>
      <c r="IQ15" s="25"/>
      <c r="IR15" s="25"/>
      <c r="IS15" s="25"/>
      <c r="IU15" s="42"/>
      <c r="IV15" s="42"/>
      <c r="IW15" s="3"/>
      <c r="IX15" s="3"/>
      <c r="IY15" s="3"/>
      <c r="IZ15" s="3"/>
      <c r="JB15" s="42"/>
      <c r="JC15" s="3"/>
      <c r="JD15" s="3"/>
      <c r="JE15" s="3"/>
      <c r="JF15" s="3"/>
      <c r="JG15" s="3"/>
      <c r="JH15" s="3"/>
      <c r="JI15" s="19"/>
      <c r="JK15" s="35"/>
      <c r="JL15" s="81"/>
      <c r="JM15" s="81"/>
      <c r="JO15" s="3"/>
      <c r="JP15" s="3"/>
      <c r="JQ15" s="3"/>
      <c r="JR15" s="3"/>
      <c r="JS15" s="3"/>
      <c r="JT15" s="3"/>
    </row>
    <row r="16" spans="1:280">
      <c r="B16" s="3"/>
      <c r="D16" s="39" t="str">
        <f t="shared" si="36"/>
        <v>-/-</v>
      </c>
      <c r="F16" s="3"/>
      <c r="H16" s="118"/>
      <c r="J16" s="118"/>
      <c r="L16" s="118"/>
      <c r="N16" s="118"/>
      <c r="O16" s="118"/>
      <c r="P16" s="118"/>
      <c r="Q16" s="118"/>
      <c r="R16" s="118"/>
      <c r="S16" s="118"/>
      <c r="U16" s="118"/>
      <c r="V16" s="118"/>
      <c r="W16" s="118"/>
      <c r="X16" s="118"/>
      <c r="Z16" s="118"/>
      <c r="AB16" s="19"/>
      <c r="AC16" s="19"/>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C16" s="25"/>
      <c r="FD16" s="25"/>
      <c r="FE16" s="25"/>
      <c r="FF16" s="25"/>
      <c r="FG16" s="25"/>
      <c r="FH16" s="25"/>
      <c r="FI16" s="25"/>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I16" s="25"/>
      <c r="GJ16" s="25"/>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O16" s="25"/>
      <c r="HP16" s="25"/>
      <c r="HQ16" s="25"/>
      <c r="HR16" s="25"/>
      <c r="HS16" s="25"/>
      <c r="HT16" s="25"/>
      <c r="HU16" s="25"/>
      <c r="HV16" s="25"/>
      <c r="HW16" s="25"/>
      <c r="HX16" s="25"/>
      <c r="HY16" s="25"/>
      <c r="HZ16" s="25"/>
      <c r="IA16" s="25"/>
      <c r="IB16" s="25"/>
      <c r="IC16" s="25"/>
      <c r="ID16" s="25"/>
      <c r="IE16" s="25"/>
      <c r="IF16" s="25"/>
      <c r="IG16" s="25"/>
      <c r="IH16" s="25"/>
      <c r="II16" s="25"/>
      <c r="IJ16" s="25"/>
      <c r="IK16" s="25"/>
      <c r="IL16" s="25"/>
      <c r="IM16" s="25"/>
      <c r="IN16" s="25"/>
      <c r="IO16" s="25"/>
      <c r="IP16" s="25"/>
      <c r="IQ16" s="25"/>
      <c r="IR16" s="25"/>
      <c r="IS16" s="25"/>
      <c r="IU16" s="42"/>
      <c r="IV16" s="42"/>
      <c r="IW16" s="3"/>
      <c r="IX16" s="3"/>
      <c r="IY16" s="3"/>
      <c r="IZ16" s="3"/>
      <c r="JB16" s="42"/>
      <c r="JC16" s="3"/>
      <c r="JD16" s="3"/>
      <c r="JE16" s="3"/>
      <c r="JF16" s="3"/>
      <c r="JG16" s="3"/>
      <c r="JH16" s="3"/>
      <c r="JI16" s="19"/>
      <c r="JK16" s="35"/>
      <c r="JL16" s="81"/>
      <c r="JM16" s="81"/>
      <c r="JO16" s="3"/>
      <c r="JP16" s="3"/>
      <c r="JQ16" s="3"/>
      <c r="JR16" s="3"/>
      <c r="JS16" s="3"/>
      <c r="JT16" s="3"/>
    </row>
    <row r="17" spans="2:280">
      <c r="B17" s="3"/>
      <c r="D17" s="39" t="str">
        <f t="shared" si="36"/>
        <v>-/-</v>
      </c>
      <c r="F17" s="3"/>
      <c r="H17" s="118"/>
      <c r="J17" s="118"/>
      <c r="L17" s="118"/>
      <c r="N17" s="118"/>
      <c r="O17" s="118"/>
      <c r="P17" s="118"/>
      <c r="Q17" s="118"/>
      <c r="R17" s="118"/>
      <c r="S17" s="118"/>
      <c r="U17" s="118"/>
      <c r="V17" s="118"/>
      <c r="W17" s="118"/>
      <c r="X17" s="118"/>
      <c r="Z17" s="118"/>
      <c r="AB17" s="19"/>
      <c r="AC17" s="19"/>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Q17" s="25"/>
      <c r="CR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W17" s="25"/>
      <c r="DX17" s="25"/>
      <c r="DY17" s="25"/>
      <c r="DZ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C17" s="25"/>
      <c r="FD17" s="25"/>
      <c r="FE17" s="25"/>
      <c r="FF17" s="25"/>
      <c r="FG17" s="25"/>
      <c r="FH17" s="25"/>
      <c r="FI17" s="25"/>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I17" s="25"/>
      <c r="GJ17" s="25"/>
      <c r="GK17" s="25"/>
      <c r="GL17" s="25"/>
      <c r="GM17" s="25"/>
      <c r="GN17" s="25"/>
      <c r="GO17" s="25"/>
      <c r="GP17" s="25"/>
      <c r="GQ17" s="25"/>
      <c r="GR17" s="25"/>
      <c r="GS17" s="25"/>
      <c r="GT17" s="25"/>
      <c r="GU17" s="25"/>
      <c r="GV17" s="25"/>
      <c r="GW17" s="25"/>
      <c r="GX17" s="25"/>
      <c r="GY17" s="25"/>
      <c r="GZ17" s="25"/>
      <c r="HA17" s="25"/>
      <c r="HB17" s="25"/>
      <c r="HC17" s="25"/>
      <c r="HD17" s="25"/>
      <c r="HE17" s="25"/>
      <c r="HF17" s="25"/>
      <c r="HG17" s="25"/>
      <c r="HH17" s="25"/>
      <c r="HI17" s="25"/>
      <c r="HJ17" s="25"/>
      <c r="HK17" s="25"/>
      <c r="HL17" s="25"/>
      <c r="HM17" s="25"/>
      <c r="HO17" s="25"/>
      <c r="HP17" s="25"/>
      <c r="HQ17" s="25"/>
      <c r="HR17" s="25"/>
      <c r="HS17" s="25"/>
      <c r="HT17" s="25"/>
      <c r="HU17" s="25"/>
      <c r="HV17" s="25"/>
      <c r="HW17" s="25"/>
      <c r="HX17" s="25"/>
      <c r="HY17" s="25"/>
      <c r="HZ17" s="25"/>
      <c r="IA17" s="25"/>
      <c r="IB17" s="25"/>
      <c r="IC17" s="25"/>
      <c r="ID17" s="25"/>
      <c r="IE17" s="25"/>
      <c r="IF17" s="25"/>
      <c r="IG17" s="25"/>
      <c r="IH17" s="25"/>
      <c r="II17" s="25"/>
      <c r="IJ17" s="25"/>
      <c r="IK17" s="25"/>
      <c r="IL17" s="25"/>
      <c r="IM17" s="25"/>
      <c r="IN17" s="25"/>
      <c r="IO17" s="25"/>
      <c r="IP17" s="25"/>
      <c r="IQ17" s="25"/>
      <c r="IR17" s="25"/>
      <c r="IS17" s="25"/>
      <c r="IU17" s="42"/>
      <c r="IV17" s="42"/>
      <c r="IW17" s="3"/>
      <c r="IX17" s="3"/>
      <c r="IY17" s="3"/>
      <c r="IZ17" s="3"/>
      <c r="JB17" s="42"/>
      <c r="JC17" s="3"/>
      <c r="JD17" s="3"/>
      <c r="JE17" s="3"/>
      <c r="JF17" s="3"/>
      <c r="JG17" s="3"/>
      <c r="JH17" s="3"/>
      <c r="JI17" s="19"/>
      <c r="JK17" s="35"/>
      <c r="JL17" s="81"/>
      <c r="JM17" s="81"/>
      <c r="JO17" s="3"/>
      <c r="JP17" s="3"/>
      <c r="JQ17" s="3"/>
      <c r="JR17" s="3"/>
      <c r="JS17" s="3"/>
      <c r="JT17" s="3"/>
    </row>
    <row r="18" spans="2:280">
      <c r="B18" s="3"/>
      <c r="D18" s="39" t="str">
        <f t="shared" si="36"/>
        <v>-/-</v>
      </c>
      <c r="F18" s="3"/>
      <c r="H18" s="118"/>
      <c r="J18" s="118"/>
      <c r="L18" s="118"/>
      <c r="N18" s="118"/>
      <c r="O18" s="118"/>
      <c r="P18" s="118"/>
      <c r="Q18" s="118"/>
      <c r="R18" s="118"/>
      <c r="S18" s="118"/>
      <c r="U18" s="118"/>
      <c r="V18" s="118"/>
      <c r="W18" s="118"/>
      <c r="X18" s="118"/>
      <c r="Z18" s="118"/>
      <c r="AB18" s="19"/>
      <c r="AC18" s="19"/>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O18" s="25"/>
      <c r="HP18" s="25"/>
      <c r="HQ18" s="25"/>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U18" s="42"/>
      <c r="IV18" s="42"/>
      <c r="IW18" s="3"/>
      <c r="IX18" s="3"/>
      <c r="IY18" s="3"/>
      <c r="IZ18" s="3"/>
      <c r="JB18" s="42"/>
      <c r="JC18" s="3"/>
      <c r="JD18" s="3"/>
      <c r="JE18" s="3"/>
      <c r="JF18" s="3"/>
      <c r="JG18" s="3"/>
      <c r="JH18" s="3"/>
      <c r="JI18" s="19"/>
      <c r="JK18" s="35"/>
      <c r="JL18" s="81"/>
      <c r="JM18" s="81"/>
      <c r="JO18" s="3"/>
      <c r="JP18" s="3"/>
      <c r="JQ18" s="3"/>
      <c r="JR18" s="3"/>
      <c r="JS18" s="3"/>
      <c r="JT18" s="3"/>
    </row>
    <row r="19" spans="2:280">
      <c r="B19" s="3"/>
      <c r="D19" s="39" t="str">
        <f t="shared" si="36"/>
        <v>-/-</v>
      </c>
      <c r="F19" s="3"/>
      <c r="H19" s="118"/>
      <c r="J19" s="118"/>
      <c r="L19" s="118"/>
      <c r="N19" s="118"/>
      <c r="O19" s="118"/>
      <c r="P19" s="118"/>
      <c r="Q19" s="118"/>
      <c r="R19" s="118"/>
      <c r="S19" s="118"/>
      <c r="U19" s="118"/>
      <c r="V19" s="118"/>
      <c r="W19" s="118"/>
      <c r="X19" s="118"/>
      <c r="Z19" s="118"/>
      <c r="AB19" s="19"/>
      <c r="AC19" s="19"/>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K19" s="25"/>
      <c r="BL19" s="25"/>
      <c r="BM19" s="25"/>
      <c r="BN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Q19" s="25"/>
      <c r="CR19" s="25"/>
      <c r="CS19" s="25"/>
      <c r="CT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W19" s="25"/>
      <c r="DX19" s="25"/>
      <c r="DY19" s="25"/>
      <c r="DZ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C19" s="25"/>
      <c r="FD19" s="25"/>
      <c r="FE19" s="25"/>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I19" s="25"/>
      <c r="GJ19" s="25"/>
      <c r="GK19" s="25"/>
      <c r="GL19" s="25"/>
      <c r="GM19" s="25"/>
      <c r="GN19" s="25"/>
      <c r="GO19" s="25"/>
      <c r="GP19" s="25"/>
      <c r="GQ19" s="25"/>
      <c r="GR19" s="25"/>
      <c r="GS19" s="25"/>
      <c r="GT19" s="25"/>
      <c r="GU19" s="25"/>
      <c r="GV19" s="25"/>
      <c r="GW19" s="25"/>
      <c r="GX19" s="25"/>
      <c r="GY19" s="25"/>
      <c r="GZ19" s="25"/>
      <c r="HA19" s="25"/>
      <c r="HB19" s="25"/>
      <c r="HC19" s="25"/>
      <c r="HD19" s="25"/>
      <c r="HE19" s="25"/>
      <c r="HF19" s="25"/>
      <c r="HG19" s="25"/>
      <c r="HH19" s="25"/>
      <c r="HI19" s="25"/>
      <c r="HJ19" s="25"/>
      <c r="HK19" s="25"/>
      <c r="HL19" s="25"/>
      <c r="HM19" s="25"/>
      <c r="HO19" s="25"/>
      <c r="HP19" s="25"/>
      <c r="HQ19" s="25"/>
      <c r="HR19" s="25"/>
      <c r="HS19" s="25"/>
      <c r="HT19" s="25"/>
      <c r="HU19" s="25"/>
      <c r="HV19" s="25"/>
      <c r="HW19" s="25"/>
      <c r="HX19" s="25"/>
      <c r="HY19" s="25"/>
      <c r="HZ19" s="25"/>
      <c r="IA19" s="25"/>
      <c r="IB19" s="25"/>
      <c r="IC19" s="25"/>
      <c r="ID19" s="25"/>
      <c r="IE19" s="25"/>
      <c r="IF19" s="25"/>
      <c r="IG19" s="25"/>
      <c r="IH19" s="25"/>
      <c r="II19" s="25"/>
      <c r="IJ19" s="25"/>
      <c r="IK19" s="25"/>
      <c r="IL19" s="25"/>
      <c r="IM19" s="25"/>
      <c r="IN19" s="25"/>
      <c r="IO19" s="25"/>
      <c r="IP19" s="25"/>
      <c r="IQ19" s="25"/>
      <c r="IR19" s="25"/>
      <c r="IS19" s="25"/>
      <c r="IU19" s="42"/>
      <c r="IV19" s="42"/>
      <c r="IW19" s="3"/>
      <c r="IX19" s="3"/>
      <c r="IY19" s="3"/>
      <c r="IZ19" s="3"/>
      <c r="JB19" s="42"/>
      <c r="JC19" s="3"/>
      <c r="JD19" s="3"/>
      <c r="JE19" s="3"/>
      <c r="JF19" s="3"/>
      <c r="JG19" s="3"/>
      <c r="JH19" s="3"/>
      <c r="JI19" s="19"/>
      <c r="JK19" s="35"/>
      <c r="JL19" s="81"/>
      <c r="JM19" s="81"/>
      <c r="JO19" s="3"/>
      <c r="JP19" s="3"/>
      <c r="JQ19" s="3"/>
      <c r="JR19" s="3"/>
      <c r="JS19" s="3"/>
      <c r="JT19" s="3"/>
    </row>
    <row r="20" spans="2:280">
      <c r="B20" s="3"/>
      <c r="D20" s="39" t="str">
        <f t="shared" si="36"/>
        <v>-/-</v>
      </c>
      <c r="F20" s="3"/>
      <c r="H20" s="118"/>
      <c r="J20" s="118"/>
      <c r="L20" s="118"/>
      <c r="N20" s="118"/>
      <c r="O20" s="118"/>
      <c r="P20" s="118"/>
      <c r="Q20" s="118"/>
      <c r="R20" s="118"/>
      <c r="S20" s="118"/>
      <c r="U20" s="118"/>
      <c r="V20" s="118"/>
      <c r="W20" s="118"/>
      <c r="X20" s="118"/>
      <c r="Z20" s="118"/>
      <c r="AB20" s="19"/>
      <c r="AC20" s="19"/>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K20" s="25"/>
      <c r="BL20" s="25"/>
      <c r="BM20" s="25"/>
      <c r="BN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Q20" s="25"/>
      <c r="CR20" s="25"/>
      <c r="CS20" s="25"/>
      <c r="CT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W20" s="25"/>
      <c r="DX20" s="25"/>
      <c r="DY20" s="25"/>
      <c r="DZ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C20" s="25"/>
      <c r="FD20" s="25"/>
      <c r="FE20" s="25"/>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I20" s="25"/>
      <c r="GJ20" s="25"/>
      <c r="GK20" s="25"/>
      <c r="GL20" s="25"/>
      <c r="GM20" s="25"/>
      <c r="GN20" s="25"/>
      <c r="GO20" s="25"/>
      <c r="GP20" s="25"/>
      <c r="GQ20" s="25"/>
      <c r="GR20" s="25"/>
      <c r="GS20" s="25"/>
      <c r="GT20" s="25"/>
      <c r="GU20" s="25"/>
      <c r="GV20" s="25"/>
      <c r="GW20" s="25"/>
      <c r="GX20" s="25"/>
      <c r="GY20" s="25"/>
      <c r="GZ20" s="25"/>
      <c r="HA20" s="25"/>
      <c r="HB20" s="25"/>
      <c r="HC20" s="25"/>
      <c r="HD20" s="25"/>
      <c r="HE20" s="25"/>
      <c r="HF20" s="25"/>
      <c r="HG20" s="25"/>
      <c r="HH20" s="25"/>
      <c r="HI20" s="25"/>
      <c r="HJ20" s="25"/>
      <c r="HK20" s="25"/>
      <c r="HL20" s="25"/>
      <c r="HM20" s="25"/>
      <c r="HO20" s="25"/>
      <c r="HP20" s="25"/>
      <c r="HQ20" s="25"/>
      <c r="HR20" s="25"/>
      <c r="HS20" s="25"/>
      <c r="HT20" s="25"/>
      <c r="HU20" s="25"/>
      <c r="HV20" s="25"/>
      <c r="HW20" s="25"/>
      <c r="HX20" s="25"/>
      <c r="HY20" s="25"/>
      <c r="HZ20" s="25"/>
      <c r="IA20" s="25"/>
      <c r="IB20" s="25"/>
      <c r="IC20" s="25"/>
      <c r="ID20" s="25"/>
      <c r="IE20" s="25"/>
      <c r="IF20" s="25"/>
      <c r="IG20" s="25"/>
      <c r="IH20" s="25"/>
      <c r="II20" s="25"/>
      <c r="IJ20" s="25"/>
      <c r="IK20" s="25"/>
      <c r="IL20" s="25"/>
      <c r="IM20" s="25"/>
      <c r="IN20" s="25"/>
      <c r="IO20" s="25"/>
      <c r="IP20" s="25"/>
      <c r="IQ20" s="25"/>
      <c r="IR20" s="25"/>
      <c r="IS20" s="25"/>
      <c r="IU20" s="42"/>
      <c r="IV20" s="42"/>
      <c r="IW20" s="3"/>
      <c r="IX20" s="3"/>
      <c r="IY20" s="3"/>
      <c r="IZ20" s="3"/>
      <c r="JB20" s="42"/>
      <c r="JC20" s="3"/>
      <c r="JD20" s="3"/>
      <c r="JE20" s="3"/>
      <c r="JF20" s="3"/>
      <c r="JG20" s="3"/>
      <c r="JH20" s="3"/>
      <c r="JI20" s="19"/>
      <c r="JK20" s="35"/>
      <c r="JL20" s="81"/>
      <c r="JM20" s="81"/>
      <c r="JO20" s="3"/>
      <c r="JP20" s="3"/>
      <c r="JQ20" s="3"/>
      <c r="JR20" s="3"/>
      <c r="JS20" s="3"/>
      <c r="JT20" s="3"/>
    </row>
    <row r="21" spans="2:280">
      <c r="B21" s="3"/>
      <c r="D21" s="39" t="str">
        <f t="shared" si="36"/>
        <v>-/-</v>
      </c>
      <c r="F21" s="3"/>
      <c r="H21" s="118"/>
      <c r="J21" s="118"/>
      <c r="L21" s="118"/>
      <c r="N21" s="118"/>
      <c r="O21" s="118"/>
      <c r="P21" s="118"/>
      <c r="Q21" s="118"/>
      <c r="R21" s="118"/>
      <c r="S21" s="118"/>
      <c r="U21" s="118"/>
      <c r="V21" s="118"/>
      <c r="W21" s="118"/>
      <c r="X21" s="118"/>
      <c r="Z21" s="118"/>
      <c r="AB21" s="19"/>
      <c r="AC21" s="19"/>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Q21" s="25"/>
      <c r="CR21" s="25"/>
      <c r="CS21" s="25"/>
      <c r="CT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W21" s="25"/>
      <c r="DX21" s="25"/>
      <c r="DY21" s="25"/>
      <c r="DZ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25"/>
      <c r="FC21" s="25"/>
      <c r="FD21" s="25"/>
      <c r="FE21" s="25"/>
      <c r="FF21" s="25"/>
      <c r="FG21" s="25"/>
      <c r="FH21" s="25"/>
      <c r="FI21" s="25"/>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I21" s="25"/>
      <c r="GJ21" s="25"/>
      <c r="GK21" s="25"/>
      <c r="GL21" s="25"/>
      <c r="GM21" s="25"/>
      <c r="GN21" s="25"/>
      <c r="GO21" s="25"/>
      <c r="GP21" s="25"/>
      <c r="GQ21" s="25"/>
      <c r="GR21" s="25"/>
      <c r="GS21" s="25"/>
      <c r="GT21" s="25"/>
      <c r="GU21" s="25"/>
      <c r="GV21" s="25"/>
      <c r="GW21" s="25"/>
      <c r="GX21" s="25"/>
      <c r="GY21" s="25"/>
      <c r="GZ21" s="25"/>
      <c r="HA21" s="25"/>
      <c r="HB21" s="25"/>
      <c r="HC21" s="25"/>
      <c r="HD21" s="25"/>
      <c r="HE21" s="25"/>
      <c r="HF21" s="25"/>
      <c r="HG21" s="25"/>
      <c r="HH21" s="25"/>
      <c r="HI21" s="25"/>
      <c r="HJ21" s="25"/>
      <c r="HK21" s="25"/>
      <c r="HL21" s="25"/>
      <c r="HM21" s="25"/>
      <c r="HO21" s="25"/>
      <c r="HP21" s="25"/>
      <c r="HQ21" s="25"/>
      <c r="HR21" s="25"/>
      <c r="HS21" s="25"/>
      <c r="HT21" s="25"/>
      <c r="HU21" s="25"/>
      <c r="HV21" s="25"/>
      <c r="HW21" s="25"/>
      <c r="HX21" s="25"/>
      <c r="HY21" s="25"/>
      <c r="HZ21" s="25"/>
      <c r="IA21" s="25"/>
      <c r="IB21" s="25"/>
      <c r="IC21" s="25"/>
      <c r="ID21" s="25"/>
      <c r="IE21" s="25"/>
      <c r="IF21" s="25"/>
      <c r="IG21" s="25"/>
      <c r="IH21" s="25"/>
      <c r="II21" s="25"/>
      <c r="IJ21" s="25"/>
      <c r="IK21" s="25"/>
      <c r="IL21" s="25"/>
      <c r="IM21" s="25"/>
      <c r="IN21" s="25"/>
      <c r="IO21" s="25"/>
      <c r="IP21" s="25"/>
      <c r="IQ21" s="25"/>
      <c r="IR21" s="25"/>
      <c r="IS21" s="25"/>
      <c r="IU21" s="42"/>
      <c r="IV21" s="42"/>
      <c r="IW21" s="3"/>
      <c r="IX21" s="3"/>
      <c r="IY21" s="3"/>
      <c r="IZ21" s="3"/>
      <c r="JB21" s="42"/>
      <c r="JC21" s="3"/>
      <c r="JD21" s="3"/>
      <c r="JE21" s="3"/>
      <c r="JF21" s="3"/>
      <c r="JG21" s="3"/>
      <c r="JH21" s="3"/>
      <c r="JI21" s="19"/>
      <c r="JK21" s="35"/>
      <c r="JL21" s="81"/>
      <c r="JM21" s="81"/>
      <c r="JO21" s="3"/>
      <c r="JP21" s="3"/>
      <c r="JQ21" s="3"/>
      <c r="JR21" s="3"/>
      <c r="JS21" s="3"/>
      <c r="JT21" s="3"/>
    </row>
    <row r="22" spans="2:280">
      <c r="B22" s="3"/>
      <c r="D22" s="39" t="str">
        <f t="shared" si="36"/>
        <v>-/-</v>
      </c>
      <c r="F22" s="3"/>
      <c r="H22" s="118"/>
      <c r="J22" s="118"/>
      <c r="L22" s="118"/>
      <c r="N22" s="118"/>
      <c r="O22" s="118"/>
      <c r="P22" s="118"/>
      <c r="Q22" s="118"/>
      <c r="R22" s="118"/>
      <c r="S22" s="118"/>
      <c r="U22" s="118"/>
      <c r="V22" s="118"/>
      <c r="W22" s="118"/>
      <c r="X22" s="118"/>
      <c r="Z22" s="118"/>
      <c r="AB22" s="19"/>
      <c r="AC22" s="19"/>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K22" s="25"/>
      <c r="BL22" s="25"/>
      <c r="BM22" s="25"/>
      <c r="BN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Q22" s="25"/>
      <c r="CR22" s="25"/>
      <c r="CS22" s="25"/>
      <c r="CT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W22" s="25"/>
      <c r="DX22" s="25"/>
      <c r="DY22" s="25"/>
      <c r="DZ22" s="25"/>
      <c r="EA22" s="25"/>
      <c r="EB22" s="25"/>
      <c r="EC22" s="25"/>
      <c r="ED22" s="25"/>
      <c r="EE22" s="25"/>
      <c r="EF22" s="25"/>
      <c r="EG22" s="25"/>
      <c r="EH22" s="25"/>
      <c r="EI22" s="25"/>
      <c r="EJ22" s="25"/>
      <c r="EK22" s="25"/>
      <c r="EL22" s="25"/>
      <c r="EM22" s="25"/>
      <c r="EN22" s="25"/>
      <c r="EO22" s="25"/>
      <c r="EP22" s="25"/>
      <c r="EQ22" s="25"/>
      <c r="ER22" s="25"/>
      <c r="ES22" s="25"/>
      <c r="ET22" s="25"/>
      <c r="EU22" s="25"/>
      <c r="EV22" s="25"/>
      <c r="EW22" s="25"/>
      <c r="EX22" s="25"/>
      <c r="EY22" s="25"/>
      <c r="EZ22" s="25"/>
      <c r="FA22" s="25"/>
      <c r="FC22" s="25"/>
      <c r="FD22" s="25"/>
      <c r="FE22" s="25"/>
      <c r="FF22" s="25"/>
      <c r="FG22" s="25"/>
      <c r="FH22" s="25"/>
      <c r="FI22" s="25"/>
      <c r="FJ22" s="25"/>
      <c r="FK22" s="25"/>
      <c r="FL22" s="25"/>
      <c r="FM22" s="25"/>
      <c r="FN22" s="25"/>
      <c r="FO22" s="25"/>
      <c r="FP22" s="25"/>
      <c r="FQ22" s="25"/>
      <c r="FR22" s="25"/>
      <c r="FS22" s="25"/>
      <c r="FT22" s="25"/>
      <c r="FU22" s="25"/>
      <c r="FV22" s="25"/>
      <c r="FW22" s="25"/>
      <c r="FX22" s="25"/>
      <c r="FY22" s="25"/>
      <c r="FZ22" s="25"/>
      <c r="GA22" s="25"/>
      <c r="GB22" s="25"/>
      <c r="GC22" s="25"/>
      <c r="GD22" s="25"/>
      <c r="GE22" s="25"/>
      <c r="GF22" s="25"/>
      <c r="GG22" s="25"/>
      <c r="GI22" s="25"/>
      <c r="GJ22" s="25"/>
      <c r="GK22" s="25"/>
      <c r="GL22" s="25"/>
      <c r="GM22" s="25"/>
      <c r="GN22" s="25"/>
      <c r="GO22" s="25"/>
      <c r="GP22" s="25"/>
      <c r="GQ22" s="25"/>
      <c r="GR22" s="25"/>
      <c r="GS22" s="25"/>
      <c r="GT22" s="25"/>
      <c r="GU22" s="25"/>
      <c r="GV22" s="25"/>
      <c r="GW22" s="25"/>
      <c r="GX22" s="25"/>
      <c r="GY22" s="25"/>
      <c r="GZ22" s="25"/>
      <c r="HA22" s="25"/>
      <c r="HB22" s="25"/>
      <c r="HC22" s="25"/>
      <c r="HD22" s="25"/>
      <c r="HE22" s="25"/>
      <c r="HF22" s="25"/>
      <c r="HG22" s="25"/>
      <c r="HH22" s="25"/>
      <c r="HI22" s="25"/>
      <c r="HJ22" s="25"/>
      <c r="HK22" s="25"/>
      <c r="HL22" s="25"/>
      <c r="HM22" s="25"/>
      <c r="HO22" s="25"/>
      <c r="HP22" s="25"/>
      <c r="HQ22" s="25"/>
      <c r="HR22" s="25"/>
      <c r="HS22" s="25"/>
      <c r="HT22" s="25"/>
      <c r="HU22" s="25"/>
      <c r="HV22" s="25"/>
      <c r="HW22" s="25"/>
      <c r="HX22" s="25"/>
      <c r="HY22" s="25"/>
      <c r="HZ22" s="25"/>
      <c r="IA22" s="25"/>
      <c r="IB22" s="25"/>
      <c r="IC22" s="25"/>
      <c r="ID22" s="25"/>
      <c r="IE22" s="25"/>
      <c r="IF22" s="25"/>
      <c r="IG22" s="25"/>
      <c r="IH22" s="25"/>
      <c r="II22" s="25"/>
      <c r="IJ22" s="25"/>
      <c r="IK22" s="25"/>
      <c r="IL22" s="25"/>
      <c r="IM22" s="25"/>
      <c r="IN22" s="25"/>
      <c r="IO22" s="25"/>
      <c r="IP22" s="25"/>
      <c r="IQ22" s="25"/>
      <c r="IR22" s="25"/>
      <c r="IS22" s="25"/>
      <c r="IU22" s="42"/>
      <c r="IV22" s="42"/>
      <c r="IW22" s="3"/>
      <c r="IX22" s="3"/>
      <c r="IY22" s="3"/>
      <c r="IZ22" s="3"/>
      <c r="JB22" s="42"/>
      <c r="JC22" s="3"/>
      <c r="JD22" s="3"/>
      <c r="JE22" s="3"/>
      <c r="JF22" s="3"/>
      <c r="JG22" s="3"/>
      <c r="JH22" s="3"/>
      <c r="JI22" s="19"/>
      <c r="JK22" s="35"/>
      <c r="JL22" s="81"/>
      <c r="JM22" s="81"/>
      <c r="JO22" s="3"/>
      <c r="JP22" s="3"/>
      <c r="JQ22" s="3"/>
      <c r="JR22" s="3"/>
      <c r="JS22" s="3"/>
      <c r="JT22" s="3"/>
    </row>
    <row r="23" spans="2:280">
      <c r="B23" s="3"/>
      <c r="D23" s="39" t="str">
        <f t="shared" si="36"/>
        <v>-/-</v>
      </c>
      <c r="F23" s="3"/>
      <c r="H23" s="118"/>
      <c r="J23" s="118"/>
      <c r="L23" s="118"/>
      <c r="N23" s="118"/>
      <c r="O23" s="118"/>
      <c r="P23" s="118"/>
      <c r="Q23" s="118"/>
      <c r="R23" s="118"/>
      <c r="S23" s="118"/>
      <c r="U23" s="118"/>
      <c r="V23" s="118"/>
      <c r="W23" s="118"/>
      <c r="X23" s="118"/>
      <c r="Z23" s="118"/>
      <c r="AB23" s="19"/>
      <c r="AC23" s="19"/>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Q23" s="25"/>
      <c r="CR23" s="25"/>
      <c r="CS23" s="25"/>
      <c r="CT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W23" s="25"/>
      <c r="DX23" s="25"/>
      <c r="DY23" s="25"/>
      <c r="DZ23" s="25"/>
      <c r="EA23" s="25"/>
      <c r="EB23" s="25"/>
      <c r="EC23" s="25"/>
      <c r="ED23" s="25"/>
      <c r="EE23" s="25"/>
      <c r="EF23" s="25"/>
      <c r="EG23" s="25"/>
      <c r="EH23" s="25"/>
      <c r="EI23" s="25"/>
      <c r="EJ23" s="25"/>
      <c r="EK23" s="25"/>
      <c r="EL23" s="25"/>
      <c r="EM23" s="25"/>
      <c r="EN23" s="25"/>
      <c r="EO23" s="25"/>
      <c r="EP23" s="25"/>
      <c r="EQ23" s="25"/>
      <c r="ER23" s="25"/>
      <c r="ES23" s="25"/>
      <c r="ET23" s="25"/>
      <c r="EU23" s="25"/>
      <c r="EV23" s="25"/>
      <c r="EW23" s="25"/>
      <c r="EX23" s="25"/>
      <c r="EY23" s="25"/>
      <c r="EZ23" s="25"/>
      <c r="FA23" s="25"/>
      <c r="FC23" s="25"/>
      <c r="FD23" s="25"/>
      <c r="FE23" s="25"/>
      <c r="FF23" s="25"/>
      <c r="FG23" s="25"/>
      <c r="FH23" s="25"/>
      <c r="FI23" s="25"/>
      <c r="FJ23" s="25"/>
      <c r="FK23" s="25"/>
      <c r="FL23" s="25"/>
      <c r="FM23" s="25"/>
      <c r="FN23" s="25"/>
      <c r="FO23" s="25"/>
      <c r="FP23" s="25"/>
      <c r="FQ23" s="25"/>
      <c r="FR23" s="25"/>
      <c r="FS23" s="25"/>
      <c r="FT23" s="25"/>
      <c r="FU23" s="25"/>
      <c r="FV23" s="25"/>
      <c r="FW23" s="25"/>
      <c r="FX23" s="25"/>
      <c r="FY23" s="25"/>
      <c r="FZ23" s="25"/>
      <c r="GA23" s="25"/>
      <c r="GB23" s="25"/>
      <c r="GC23" s="25"/>
      <c r="GD23" s="25"/>
      <c r="GE23" s="25"/>
      <c r="GF23" s="25"/>
      <c r="GG23" s="25"/>
      <c r="GI23" s="25"/>
      <c r="GJ23" s="25"/>
      <c r="GK23" s="25"/>
      <c r="GL23" s="25"/>
      <c r="GM23" s="25"/>
      <c r="GN23" s="25"/>
      <c r="GO23" s="25"/>
      <c r="GP23" s="25"/>
      <c r="GQ23" s="25"/>
      <c r="GR23" s="25"/>
      <c r="GS23" s="25"/>
      <c r="GT23" s="25"/>
      <c r="GU23" s="25"/>
      <c r="GV23" s="25"/>
      <c r="GW23" s="25"/>
      <c r="GX23" s="25"/>
      <c r="GY23" s="25"/>
      <c r="GZ23" s="25"/>
      <c r="HA23" s="25"/>
      <c r="HB23" s="25"/>
      <c r="HC23" s="25"/>
      <c r="HD23" s="25"/>
      <c r="HE23" s="25"/>
      <c r="HF23" s="25"/>
      <c r="HG23" s="25"/>
      <c r="HH23" s="25"/>
      <c r="HI23" s="25"/>
      <c r="HJ23" s="25"/>
      <c r="HK23" s="25"/>
      <c r="HL23" s="25"/>
      <c r="HM23" s="25"/>
      <c r="HO23" s="25"/>
      <c r="HP23" s="25"/>
      <c r="HQ23" s="25"/>
      <c r="HR23" s="25"/>
      <c r="HS23" s="25"/>
      <c r="HT23" s="25"/>
      <c r="HU23" s="25"/>
      <c r="HV23" s="25"/>
      <c r="HW23" s="25"/>
      <c r="HX23" s="25"/>
      <c r="HY23" s="25"/>
      <c r="HZ23" s="25"/>
      <c r="IA23" s="25"/>
      <c r="IB23" s="25"/>
      <c r="IC23" s="25"/>
      <c r="ID23" s="25"/>
      <c r="IE23" s="25"/>
      <c r="IF23" s="25"/>
      <c r="IG23" s="25"/>
      <c r="IH23" s="25"/>
      <c r="II23" s="25"/>
      <c r="IJ23" s="25"/>
      <c r="IK23" s="25"/>
      <c r="IL23" s="25"/>
      <c r="IM23" s="25"/>
      <c r="IN23" s="25"/>
      <c r="IO23" s="25"/>
      <c r="IP23" s="25"/>
      <c r="IQ23" s="25"/>
      <c r="IR23" s="25"/>
      <c r="IS23" s="25"/>
      <c r="IU23" s="42"/>
      <c r="IV23" s="42"/>
      <c r="IW23" s="3"/>
      <c r="IX23" s="3"/>
      <c r="IY23" s="3"/>
      <c r="IZ23" s="3"/>
      <c r="JB23" s="42"/>
      <c r="JC23" s="3"/>
      <c r="JD23" s="3"/>
      <c r="JE23" s="3"/>
      <c r="JF23" s="3"/>
      <c r="JG23" s="3"/>
      <c r="JH23" s="3"/>
      <c r="JI23" s="19"/>
      <c r="JK23" s="35"/>
      <c r="JL23" s="81"/>
      <c r="JM23" s="81"/>
      <c r="JO23" s="3"/>
      <c r="JP23" s="3"/>
      <c r="JQ23" s="3"/>
      <c r="JR23" s="3"/>
      <c r="JS23" s="3"/>
      <c r="JT23" s="3"/>
    </row>
    <row r="24" spans="2:280">
      <c r="B24" s="3"/>
      <c r="D24" s="39" t="str">
        <f t="shared" si="36"/>
        <v>-/-</v>
      </c>
      <c r="F24" s="3"/>
      <c r="H24" s="118"/>
      <c r="J24" s="118"/>
      <c r="L24" s="118"/>
      <c r="N24" s="118"/>
      <c r="O24" s="118"/>
      <c r="P24" s="118"/>
      <c r="Q24" s="118"/>
      <c r="R24" s="118"/>
      <c r="S24" s="118"/>
      <c r="U24" s="118"/>
      <c r="V24" s="118"/>
      <c r="W24" s="118"/>
      <c r="X24" s="118"/>
      <c r="Z24" s="118"/>
      <c r="AB24" s="19"/>
      <c r="AC24" s="19"/>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I24" s="25"/>
      <c r="GJ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O24" s="25"/>
      <c r="HP24" s="25"/>
      <c r="HQ24" s="25"/>
      <c r="HR24" s="25"/>
      <c r="HS24" s="25"/>
      <c r="HT24" s="25"/>
      <c r="HU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U24" s="42"/>
      <c r="IV24" s="42"/>
      <c r="IW24" s="3"/>
      <c r="IX24" s="3"/>
      <c r="IY24" s="3"/>
      <c r="IZ24" s="3"/>
      <c r="JB24" s="42"/>
      <c r="JC24" s="3"/>
      <c r="JD24" s="3"/>
      <c r="JE24" s="3"/>
      <c r="JF24" s="3"/>
      <c r="JG24" s="3"/>
      <c r="JH24" s="3"/>
      <c r="JI24" s="19"/>
      <c r="JK24" s="35"/>
      <c r="JL24" s="81"/>
      <c r="JM24" s="81"/>
      <c r="JO24" s="3"/>
      <c r="JP24" s="3"/>
      <c r="JQ24" s="3"/>
      <c r="JR24" s="3"/>
      <c r="JS24" s="3"/>
      <c r="JT24" s="3"/>
    </row>
    <row r="25" spans="2:280">
      <c r="B25" s="3"/>
      <c r="D25" s="39" t="str">
        <f t="shared" si="36"/>
        <v>-/-</v>
      </c>
      <c r="F25" s="3"/>
      <c r="H25" s="118"/>
      <c r="J25" s="118"/>
      <c r="L25" s="118"/>
      <c r="N25" s="118"/>
      <c r="O25" s="118"/>
      <c r="P25" s="118"/>
      <c r="Q25" s="118"/>
      <c r="R25" s="118"/>
      <c r="S25" s="118"/>
      <c r="U25" s="118"/>
      <c r="V25" s="118"/>
      <c r="W25" s="118"/>
      <c r="X25" s="118"/>
      <c r="Z25" s="118"/>
      <c r="AB25" s="19"/>
      <c r="AC25" s="19"/>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Q25" s="25"/>
      <c r="CR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W25" s="25"/>
      <c r="DX25" s="25"/>
      <c r="DY25" s="25"/>
      <c r="DZ25" s="25"/>
      <c r="EA25" s="25"/>
      <c r="EB25" s="25"/>
      <c r="EC25" s="25"/>
      <c r="ED25" s="25"/>
      <c r="EE25" s="25"/>
      <c r="EF25" s="25"/>
      <c r="EG25" s="25"/>
      <c r="EH25" s="25"/>
      <c r="EI25" s="25"/>
      <c r="EJ25" s="25"/>
      <c r="EK25" s="25"/>
      <c r="EL25" s="25"/>
      <c r="EM25" s="25"/>
      <c r="EN25" s="25"/>
      <c r="EO25" s="25"/>
      <c r="EP25" s="25"/>
      <c r="EQ25" s="25"/>
      <c r="ER25" s="25"/>
      <c r="ES25" s="25"/>
      <c r="ET25" s="25"/>
      <c r="EU25" s="25"/>
      <c r="EV25" s="25"/>
      <c r="EW25" s="25"/>
      <c r="EX25" s="25"/>
      <c r="EY25" s="25"/>
      <c r="EZ25" s="25"/>
      <c r="FA25" s="25"/>
      <c r="FC25" s="25"/>
      <c r="FD25" s="25"/>
      <c r="FE25" s="25"/>
      <c r="FF25" s="25"/>
      <c r="FG25" s="25"/>
      <c r="FH25" s="25"/>
      <c r="FI25" s="25"/>
      <c r="FJ25" s="25"/>
      <c r="FK25" s="25"/>
      <c r="FL25" s="25"/>
      <c r="FM25" s="25"/>
      <c r="FN25" s="25"/>
      <c r="FO25" s="25"/>
      <c r="FP25" s="25"/>
      <c r="FQ25" s="25"/>
      <c r="FR25" s="25"/>
      <c r="FS25" s="25"/>
      <c r="FT25" s="25"/>
      <c r="FU25" s="25"/>
      <c r="FV25" s="25"/>
      <c r="FW25" s="25"/>
      <c r="FX25" s="25"/>
      <c r="FY25" s="25"/>
      <c r="FZ25" s="25"/>
      <c r="GA25" s="25"/>
      <c r="GB25" s="25"/>
      <c r="GC25" s="25"/>
      <c r="GD25" s="25"/>
      <c r="GE25" s="25"/>
      <c r="GF25" s="25"/>
      <c r="GG25" s="25"/>
      <c r="GI25" s="25"/>
      <c r="GJ25" s="25"/>
      <c r="GK25" s="25"/>
      <c r="GL25" s="25"/>
      <c r="GM25" s="25"/>
      <c r="GN25" s="25"/>
      <c r="GO25" s="25"/>
      <c r="GP25" s="25"/>
      <c r="GQ25" s="25"/>
      <c r="GR25" s="25"/>
      <c r="GS25" s="25"/>
      <c r="GT25" s="25"/>
      <c r="GU25" s="25"/>
      <c r="GV25" s="25"/>
      <c r="GW25" s="25"/>
      <c r="GX25" s="25"/>
      <c r="GY25" s="25"/>
      <c r="GZ25" s="25"/>
      <c r="HA25" s="25"/>
      <c r="HB25" s="25"/>
      <c r="HC25" s="25"/>
      <c r="HD25" s="25"/>
      <c r="HE25" s="25"/>
      <c r="HF25" s="25"/>
      <c r="HG25" s="25"/>
      <c r="HH25" s="25"/>
      <c r="HI25" s="25"/>
      <c r="HJ25" s="25"/>
      <c r="HK25" s="25"/>
      <c r="HL25" s="25"/>
      <c r="HM25" s="25"/>
      <c r="HO25" s="25"/>
      <c r="HP25" s="25"/>
      <c r="HQ25" s="25"/>
      <c r="HR25" s="25"/>
      <c r="HS25" s="25"/>
      <c r="HT25" s="25"/>
      <c r="HU25" s="25"/>
      <c r="HV25" s="25"/>
      <c r="HW25" s="25"/>
      <c r="HX25" s="25"/>
      <c r="HY25" s="25"/>
      <c r="HZ25" s="25"/>
      <c r="IA25" s="25"/>
      <c r="IB25" s="25"/>
      <c r="IC25" s="25"/>
      <c r="ID25" s="25"/>
      <c r="IE25" s="25"/>
      <c r="IF25" s="25"/>
      <c r="IG25" s="25"/>
      <c r="IH25" s="25"/>
      <c r="II25" s="25"/>
      <c r="IJ25" s="25"/>
      <c r="IK25" s="25"/>
      <c r="IL25" s="25"/>
      <c r="IM25" s="25"/>
      <c r="IN25" s="25"/>
      <c r="IO25" s="25"/>
      <c r="IP25" s="25"/>
      <c r="IQ25" s="25"/>
      <c r="IR25" s="25"/>
      <c r="IS25" s="25"/>
      <c r="IU25" s="42"/>
      <c r="IV25" s="42"/>
      <c r="IW25" s="3"/>
      <c r="IX25" s="3"/>
      <c r="IY25" s="3"/>
      <c r="IZ25" s="3"/>
      <c r="JB25" s="42"/>
      <c r="JC25" s="3"/>
      <c r="JD25" s="3"/>
      <c r="JE25" s="3"/>
      <c r="JF25" s="3"/>
      <c r="JG25" s="3"/>
      <c r="JH25" s="3"/>
      <c r="JI25" s="19"/>
      <c r="JK25" s="35"/>
      <c r="JL25" s="81"/>
      <c r="JM25" s="81"/>
      <c r="JO25" s="3"/>
      <c r="JP25" s="3"/>
      <c r="JQ25" s="3"/>
      <c r="JR25" s="3"/>
      <c r="JS25" s="3"/>
      <c r="JT25" s="3"/>
    </row>
    <row r="26" spans="2:280">
      <c r="B26" s="3"/>
      <c r="D26" s="39" t="str">
        <f t="shared" si="36"/>
        <v>-/-</v>
      </c>
      <c r="F26" s="3"/>
      <c r="H26" s="118"/>
      <c r="J26" s="118"/>
      <c r="L26" s="118"/>
      <c r="N26" s="118"/>
      <c r="O26" s="118"/>
      <c r="P26" s="118"/>
      <c r="Q26" s="118"/>
      <c r="R26" s="118"/>
      <c r="S26" s="118"/>
      <c r="U26" s="118"/>
      <c r="V26" s="118"/>
      <c r="W26" s="118"/>
      <c r="X26" s="118"/>
      <c r="Z26" s="118"/>
      <c r="AB26" s="19"/>
      <c r="AC26" s="19"/>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I26" s="25"/>
      <c r="GJ26" s="25"/>
      <c r="GK26" s="25"/>
      <c r="GL26" s="25"/>
      <c r="GM26" s="25"/>
      <c r="GN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O26" s="25"/>
      <c r="HP26" s="25"/>
      <c r="HQ26" s="25"/>
      <c r="HR26" s="25"/>
      <c r="HS26" s="25"/>
      <c r="HT26" s="25"/>
      <c r="HU26" s="25"/>
      <c r="HV26" s="25"/>
      <c r="HW26" s="25"/>
      <c r="HX26" s="25"/>
      <c r="HY26" s="25"/>
      <c r="HZ26" s="25"/>
      <c r="IA26" s="25"/>
      <c r="IB26" s="25"/>
      <c r="IC26" s="25"/>
      <c r="ID26" s="25"/>
      <c r="IE26" s="25"/>
      <c r="IF26" s="25"/>
      <c r="IG26" s="25"/>
      <c r="IH26" s="25"/>
      <c r="II26" s="25"/>
      <c r="IJ26" s="25"/>
      <c r="IK26" s="25"/>
      <c r="IL26" s="25"/>
      <c r="IM26" s="25"/>
      <c r="IN26" s="25"/>
      <c r="IO26" s="25"/>
      <c r="IP26" s="25"/>
      <c r="IQ26" s="25"/>
      <c r="IR26" s="25"/>
      <c r="IS26" s="25"/>
      <c r="IU26" s="42"/>
      <c r="IV26" s="42"/>
      <c r="IW26" s="3"/>
      <c r="IX26" s="3"/>
      <c r="IY26" s="3"/>
      <c r="IZ26" s="3"/>
      <c r="JB26" s="42"/>
      <c r="JC26" s="3"/>
      <c r="JD26" s="3"/>
      <c r="JE26" s="3"/>
      <c r="JF26" s="3"/>
      <c r="JG26" s="3"/>
      <c r="JH26" s="3"/>
      <c r="JI26" s="19"/>
      <c r="JK26" s="35"/>
      <c r="JL26" s="81"/>
      <c r="JM26" s="81"/>
      <c r="JO26" s="3"/>
      <c r="JP26" s="3"/>
      <c r="JQ26" s="3"/>
      <c r="JR26" s="3"/>
      <c r="JS26" s="3"/>
      <c r="JT26" s="3"/>
    </row>
    <row r="27" spans="2:280">
      <c r="B27" s="3"/>
      <c r="D27" s="39" t="str">
        <f t="shared" si="36"/>
        <v>-/-</v>
      </c>
      <c r="F27" s="3"/>
      <c r="H27" s="118"/>
      <c r="J27" s="118"/>
      <c r="L27" s="118"/>
      <c r="N27" s="118"/>
      <c r="O27" s="118"/>
      <c r="P27" s="118"/>
      <c r="Q27" s="118"/>
      <c r="R27" s="118"/>
      <c r="S27" s="118"/>
      <c r="U27" s="118"/>
      <c r="V27" s="118"/>
      <c r="W27" s="118"/>
      <c r="X27" s="118"/>
      <c r="Z27" s="118"/>
      <c r="AB27" s="19"/>
      <c r="AC27" s="19"/>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K27" s="25"/>
      <c r="BL27" s="25"/>
      <c r="BM27" s="25"/>
      <c r="BN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Q27" s="25"/>
      <c r="CR27" s="25"/>
      <c r="CS27" s="25"/>
      <c r="CT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W27" s="25"/>
      <c r="DX27" s="25"/>
      <c r="DY27" s="25"/>
      <c r="DZ27" s="2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C27" s="25"/>
      <c r="FD27" s="25"/>
      <c r="FE27" s="25"/>
      <c r="FF27" s="25"/>
      <c r="FG27" s="25"/>
      <c r="FH27" s="25"/>
      <c r="FI27" s="25"/>
      <c r="FJ27" s="25"/>
      <c r="FK27" s="25"/>
      <c r="FL27" s="25"/>
      <c r="FM27" s="25"/>
      <c r="FN27" s="25"/>
      <c r="FO27" s="25"/>
      <c r="FP27" s="25"/>
      <c r="FQ27" s="25"/>
      <c r="FR27" s="25"/>
      <c r="FS27" s="25"/>
      <c r="FT27" s="25"/>
      <c r="FU27" s="25"/>
      <c r="FV27" s="25"/>
      <c r="FW27" s="25"/>
      <c r="FX27" s="25"/>
      <c r="FY27" s="25"/>
      <c r="FZ27" s="25"/>
      <c r="GA27" s="25"/>
      <c r="GB27" s="25"/>
      <c r="GC27" s="25"/>
      <c r="GD27" s="25"/>
      <c r="GE27" s="25"/>
      <c r="GF27" s="25"/>
      <c r="GG27" s="25"/>
      <c r="GI27" s="25"/>
      <c r="GJ27" s="25"/>
      <c r="GK27" s="25"/>
      <c r="GL27" s="25"/>
      <c r="GM27" s="25"/>
      <c r="GN27" s="25"/>
      <c r="GO27" s="25"/>
      <c r="GP27" s="25"/>
      <c r="GQ27" s="25"/>
      <c r="GR27" s="25"/>
      <c r="GS27" s="25"/>
      <c r="GT27" s="25"/>
      <c r="GU27" s="25"/>
      <c r="GV27" s="25"/>
      <c r="GW27" s="25"/>
      <c r="GX27" s="25"/>
      <c r="GY27" s="25"/>
      <c r="GZ27" s="25"/>
      <c r="HA27" s="25"/>
      <c r="HB27" s="25"/>
      <c r="HC27" s="25"/>
      <c r="HD27" s="25"/>
      <c r="HE27" s="25"/>
      <c r="HF27" s="25"/>
      <c r="HG27" s="25"/>
      <c r="HH27" s="25"/>
      <c r="HI27" s="25"/>
      <c r="HJ27" s="25"/>
      <c r="HK27" s="25"/>
      <c r="HL27" s="25"/>
      <c r="HM27" s="25"/>
      <c r="HO27" s="25"/>
      <c r="HP27" s="25"/>
      <c r="HQ27" s="25"/>
      <c r="HR27" s="25"/>
      <c r="HS27" s="25"/>
      <c r="HT27" s="25"/>
      <c r="HU27" s="25"/>
      <c r="HV27" s="25"/>
      <c r="HW27" s="25"/>
      <c r="HX27" s="25"/>
      <c r="HY27" s="25"/>
      <c r="HZ27" s="25"/>
      <c r="IA27" s="25"/>
      <c r="IB27" s="25"/>
      <c r="IC27" s="25"/>
      <c r="ID27" s="25"/>
      <c r="IE27" s="25"/>
      <c r="IF27" s="25"/>
      <c r="IG27" s="25"/>
      <c r="IH27" s="25"/>
      <c r="II27" s="25"/>
      <c r="IJ27" s="25"/>
      <c r="IK27" s="25"/>
      <c r="IL27" s="25"/>
      <c r="IM27" s="25"/>
      <c r="IN27" s="25"/>
      <c r="IO27" s="25"/>
      <c r="IP27" s="25"/>
      <c r="IQ27" s="25"/>
      <c r="IR27" s="25"/>
      <c r="IS27" s="25"/>
      <c r="IU27" s="42"/>
      <c r="IV27" s="42"/>
      <c r="IW27" s="3"/>
      <c r="IX27" s="3"/>
      <c r="IY27" s="3"/>
      <c r="IZ27" s="3"/>
      <c r="JB27" s="42"/>
      <c r="JC27" s="3"/>
      <c r="JD27" s="3"/>
      <c r="JE27" s="3"/>
      <c r="JF27" s="3"/>
      <c r="JG27" s="3"/>
      <c r="JH27" s="3"/>
      <c r="JI27" s="19"/>
      <c r="JK27" s="35"/>
      <c r="JL27" s="81"/>
      <c r="JM27" s="81"/>
      <c r="JO27" s="3"/>
      <c r="JP27" s="3"/>
      <c r="JQ27" s="3"/>
      <c r="JR27" s="3"/>
      <c r="JS27" s="3"/>
      <c r="JT27" s="3"/>
    </row>
    <row r="28" spans="2:280">
      <c r="B28" s="3"/>
      <c r="D28" s="39" t="str">
        <f t="shared" si="36"/>
        <v>-/-</v>
      </c>
      <c r="F28" s="3"/>
      <c r="H28" s="118"/>
      <c r="J28" s="118"/>
      <c r="L28" s="118"/>
      <c r="N28" s="118"/>
      <c r="O28" s="118"/>
      <c r="P28" s="118"/>
      <c r="Q28" s="118"/>
      <c r="R28" s="118"/>
      <c r="S28" s="118"/>
      <c r="U28" s="118"/>
      <c r="V28" s="118"/>
      <c r="W28" s="118"/>
      <c r="X28" s="118"/>
      <c r="Z28" s="118"/>
      <c r="AB28" s="19"/>
      <c r="AC28" s="19"/>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W28" s="25"/>
      <c r="DX28" s="25"/>
      <c r="DY28" s="25"/>
      <c r="DZ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C28" s="25"/>
      <c r="FD28" s="25"/>
      <c r="FE28" s="25"/>
      <c r="FF28" s="25"/>
      <c r="FG28" s="25"/>
      <c r="FH28" s="25"/>
      <c r="FI28" s="25"/>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I28" s="25"/>
      <c r="GJ28" s="25"/>
      <c r="GK28" s="25"/>
      <c r="GL28" s="25"/>
      <c r="GM28" s="25"/>
      <c r="GN28" s="25"/>
      <c r="GO28" s="25"/>
      <c r="GP28" s="25"/>
      <c r="GQ28" s="25"/>
      <c r="GR28" s="25"/>
      <c r="GS28" s="25"/>
      <c r="GT28" s="25"/>
      <c r="GU28" s="25"/>
      <c r="GV28" s="25"/>
      <c r="GW28" s="25"/>
      <c r="GX28" s="25"/>
      <c r="GY28" s="25"/>
      <c r="GZ28" s="25"/>
      <c r="HA28" s="25"/>
      <c r="HB28" s="25"/>
      <c r="HC28" s="25"/>
      <c r="HD28" s="25"/>
      <c r="HE28" s="25"/>
      <c r="HF28" s="25"/>
      <c r="HG28" s="25"/>
      <c r="HH28" s="25"/>
      <c r="HI28" s="25"/>
      <c r="HJ28" s="25"/>
      <c r="HK28" s="25"/>
      <c r="HL28" s="25"/>
      <c r="HM28" s="25"/>
      <c r="HO28" s="25"/>
      <c r="HP28" s="25"/>
      <c r="HQ28" s="25"/>
      <c r="HR28" s="25"/>
      <c r="HS28" s="25"/>
      <c r="HT28" s="25"/>
      <c r="HU28" s="25"/>
      <c r="HV28" s="25"/>
      <c r="HW28" s="25"/>
      <c r="HX28" s="25"/>
      <c r="HY28" s="25"/>
      <c r="HZ28" s="25"/>
      <c r="IA28" s="25"/>
      <c r="IB28" s="25"/>
      <c r="IC28" s="25"/>
      <c r="ID28" s="25"/>
      <c r="IE28" s="25"/>
      <c r="IF28" s="25"/>
      <c r="IG28" s="25"/>
      <c r="IH28" s="25"/>
      <c r="II28" s="25"/>
      <c r="IJ28" s="25"/>
      <c r="IK28" s="25"/>
      <c r="IL28" s="25"/>
      <c r="IM28" s="25"/>
      <c r="IN28" s="25"/>
      <c r="IO28" s="25"/>
      <c r="IP28" s="25"/>
      <c r="IQ28" s="25"/>
      <c r="IR28" s="25"/>
      <c r="IS28" s="25"/>
      <c r="IU28" s="42"/>
      <c r="IV28" s="42"/>
      <c r="IW28" s="3"/>
      <c r="IX28" s="3"/>
      <c r="IY28" s="3"/>
      <c r="IZ28" s="3"/>
      <c r="JB28" s="42"/>
      <c r="JC28" s="3"/>
      <c r="JD28" s="3"/>
      <c r="JE28" s="3"/>
      <c r="JF28" s="3"/>
      <c r="JG28" s="3"/>
      <c r="JH28" s="3"/>
      <c r="JI28" s="19"/>
      <c r="JK28" s="35"/>
      <c r="JL28" s="81"/>
      <c r="JM28" s="81"/>
      <c r="JO28" s="3"/>
      <c r="JP28" s="3"/>
      <c r="JQ28" s="3"/>
      <c r="JR28" s="3"/>
      <c r="JS28" s="3"/>
      <c r="JT28" s="3"/>
    </row>
    <row r="29" spans="2:280">
      <c r="B29" s="3"/>
      <c r="D29" s="39" t="str">
        <f t="shared" si="36"/>
        <v>-/-</v>
      </c>
      <c r="F29" s="3"/>
      <c r="H29" s="118"/>
      <c r="J29" s="118"/>
      <c r="L29" s="118"/>
      <c r="N29" s="118"/>
      <c r="O29" s="118"/>
      <c r="P29" s="118"/>
      <c r="Q29" s="118"/>
      <c r="R29" s="118"/>
      <c r="S29" s="118"/>
      <c r="U29" s="118"/>
      <c r="V29" s="118"/>
      <c r="W29" s="118"/>
      <c r="X29" s="118"/>
      <c r="Z29" s="118"/>
      <c r="AB29" s="19"/>
      <c r="AC29" s="19"/>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K29" s="25"/>
      <c r="BL29" s="25"/>
      <c r="BM29" s="25"/>
      <c r="BN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Q29" s="25"/>
      <c r="CR29" s="25"/>
      <c r="CS29" s="25"/>
      <c r="CT29" s="25"/>
      <c r="CU29" s="25"/>
      <c r="CV29" s="25"/>
      <c r="CW29" s="25"/>
      <c r="CX29" s="25"/>
      <c r="CY29" s="25"/>
      <c r="CZ29" s="25"/>
      <c r="DA29" s="25"/>
      <c r="DB29" s="25"/>
      <c r="DC29" s="25"/>
      <c r="DD29" s="25"/>
      <c r="DE29" s="25"/>
      <c r="DF29" s="25"/>
      <c r="DG29" s="25"/>
      <c r="DH29" s="25"/>
      <c r="DI29" s="25"/>
      <c r="DJ29" s="25"/>
      <c r="DK29" s="25"/>
      <c r="DL29" s="25"/>
      <c r="DM29" s="25"/>
      <c r="DN29" s="25"/>
      <c r="DO29" s="25"/>
      <c r="DP29" s="25"/>
      <c r="DQ29" s="25"/>
      <c r="DR29" s="25"/>
      <c r="DS29" s="25"/>
      <c r="DT29" s="25"/>
      <c r="DU29" s="25"/>
      <c r="DW29" s="25"/>
      <c r="DX29" s="25"/>
      <c r="DY29" s="25"/>
      <c r="DZ29" s="2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C29" s="25"/>
      <c r="FD29" s="25"/>
      <c r="FE29" s="25"/>
      <c r="FF29" s="25"/>
      <c r="FG29" s="25"/>
      <c r="FH29" s="25"/>
      <c r="FI29" s="25"/>
      <c r="FJ29" s="25"/>
      <c r="FK29" s="25"/>
      <c r="FL29" s="25"/>
      <c r="FM29" s="25"/>
      <c r="FN29" s="25"/>
      <c r="FO29" s="25"/>
      <c r="FP29" s="25"/>
      <c r="FQ29" s="25"/>
      <c r="FR29" s="25"/>
      <c r="FS29" s="25"/>
      <c r="FT29" s="25"/>
      <c r="FU29" s="25"/>
      <c r="FV29" s="25"/>
      <c r="FW29" s="25"/>
      <c r="FX29" s="25"/>
      <c r="FY29" s="25"/>
      <c r="FZ29" s="25"/>
      <c r="GA29" s="25"/>
      <c r="GB29" s="25"/>
      <c r="GC29" s="25"/>
      <c r="GD29" s="25"/>
      <c r="GE29" s="25"/>
      <c r="GF29" s="25"/>
      <c r="GG29" s="25"/>
      <c r="GI29" s="25"/>
      <c r="GJ29" s="25"/>
      <c r="GK29" s="25"/>
      <c r="GL29" s="25"/>
      <c r="GM29" s="25"/>
      <c r="GN29" s="25"/>
      <c r="GO29" s="25"/>
      <c r="GP29" s="25"/>
      <c r="GQ29" s="25"/>
      <c r="GR29" s="25"/>
      <c r="GS29" s="25"/>
      <c r="GT29" s="25"/>
      <c r="GU29" s="25"/>
      <c r="GV29" s="25"/>
      <c r="GW29" s="25"/>
      <c r="GX29" s="25"/>
      <c r="GY29" s="25"/>
      <c r="GZ29" s="25"/>
      <c r="HA29" s="25"/>
      <c r="HB29" s="25"/>
      <c r="HC29" s="25"/>
      <c r="HD29" s="25"/>
      <c r="HE29" s="25"/>
      <c r="HF29" s="25"/>
      <c r="HG29" s="25"/>
      <c r="HH29" s="25"/>
      <c r="HI29" s="25"/>
      <c r="HJ29" s="25"/>
      <c r="HK29" s="25"/>
      <c r="HL29" s="25"/>
      <c r="HM29" s="25"/>
      <c r="HO29" s="25"/>
      <c r="HP29" s="25"/>
      <c r="HQ29" s="25"/>
      <c r="HR29" s="25"/>
      <c r="HS29" s="25"/>
      <c r="HT29" s="25"/>
      <c r="HU29" s="25"/>
      <c r="HV29" s="25"/>
      <c r="HW29" s="25"/>
      <c r="HX29" s="25"/>
      <c r="HY29" s="25"/>
      <c r="HZ29" s="25"/>
      <c r="IA29" s="25"/>
      <c r="IB29" s="25"/>
      <c r="IC29" s="25"/>
      <c r="ID29" s="25"/>
      <c r="IE29" s="25"/>
      <c r="IF29" s="25"/>
      <c r="IG29" s="25"/>
      <c r="IH29" s="25"/>
      <c r="II29" s="25"/>
      <c r="IJ29" s="25"/>
      <c r="IK29" s="25"/>
      <c r="IL29" s="25"/>
      <c r="IM29" s="25"/>
      <c r="IN29" s="25"/>
      <c r="IO29" s="25"/>
      <c r="IP29" s="25"/>
      <c r="IQ29" s="25"/>
      <c r="IR29" s="25"/>
      <c r="IS29" s="25"/>
      <c r="IU29" s="42"/>
      <c r="IV29" s="42"/>
      <c r="IW29" s="3"/>
      <c r="IX29" s="3"/>
      <c r="IY29" s="3"/>
      <c r="IZ29" s="3"/>
      <c r="JB29" s="42"/>
      <c r="JC29" s="3"/>
      <c r="JD29" s="3"/>
      <c r="JE29" s="3"/>
      <c r="JF29" s="3"/>
      <c r="JG29" s="3"/>
      <c r="JH29" s="3"/>
      <c r="JI29" s="19"/>
      <c r="JK29" s="35"/>
      <c r="JL29" s="81"/>
      <c r="JM29" s="81"/>
      <c r="JO29" s="3"/>
      <c r="JP29" s="3"/>
      <c r="JQ29" s="3"/>
      <c r="JR29" s="3"/>
      <c r="JS29" s="3"/>
      <c r="JT29" s="3"/>
    </row>
    <row r="30" spans="2:280">
      <c r="B30" s="3"/>
      <c r="D30" s="39" t="str">
        <f t="shared" si="36"/>
        <v>-/-</v>
      </c>
      <c r="F30" s="3"/>
      <c r="H30" s="118"/>
      <c r="J30" s="118"/>
      <c r="L30" s="118"/>
      <c r="N30" s="118"/>
      <c r="O30" s="118"/>
      <c r="P30" s="118"/>
      <c r="Q30" s="118"/>
      <c r="R30" s="118"/>
      <c r="S30" s="118"/>
      <c r="U30" s="118"/>
      <c r="V30" s="118"/>
      <c r="W30" s="118"/>
      <c r="X30" s="118"/>
      <c r="Z30" s="118"/>
      <c r="AB30" s="19"/>
      <c r="AC30" s="19"/>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K30" s="25"/>
      <c r="BL30" s="25"/>
      <c r="BM30" s="25"/>
      <c r="BN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Q30" s="25"/>
      <c r="CR30" s="25"/>
      <c r="CS30" s="25"/>
      <c r="CT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c r="DR30" s="25"/>
      <c r="DS30" s="25"/>
      <c r="DT30" s="25"/>
      <c r="DU30" s="25"/>
      <c r="DW30" s="25"/>
      <c r="DX30" s="25"/>
      <c r="DY30" s="25"/>
      <c r="DZ30" s="25"/>
      <c r="EA30" s="25"/>
      <c r="EB30" s="25"/>
      <c r="EC30" s="25"/>
      <c r="ED30" s="25"/>
      <c r="EE30" s="25"/>
      <c r="EF30" s="25"/>
      <c r="EG30" s="25"/>
      <c r="EH30" s="25"/>
      <c r="EI30" s="25"/>
      <c r="EJ30" s="25"/>
      <c r="EK30" s="25"/>
      <c r="EL30" s="25"/>
      <c r="EM30" s="25"/>
      <c r="EN30" s="25"/>
      <c r="EO30" s="25"/>
      <c r="EP30" s="25"/>
      <c r="EQ30" s="25"/>
      <c r="ER30" s="25"/>
      <c r="ES30" s="25"/>
      <c r="ET30" s="25"/>
      <c r="EU30" s="25"/>
      <c r="EV30" s="25"/>
      <c r="EW30" s="25"/>
      <c r="EX30" s="25"/>
      <c r="EY30" s="25"/>
      <c r="EZ30" s="25"/>
      <c r="FA30" s="25"/>
      <c r="FC30" s="25"/>
      <c r="FD30" s="25"/>
      <c r="FE30" s="25"/>
      <c r="FF30" s="25"/>
      <c r="FG30" s="25"/>
      <c r="FH30" s="25"/>
      <c r="FI30" s="25"/>
      <c r="FJ30" s="25"/>
      <c r="FK30" s="25"/>
      <c r="FL30" s="25"/>
      <c r="FM30" s="25"/>
      <c r="FN30" s="25"/>
      <c r="FO30" s="25"/>
      <c r="FP30" s="25"/>
      <c r="FQ30" s="25"/>
      <c r="FR30" s="25"/>
      <c r="FS30" s="25"/>
      <c r="FT30" s="25"/>
      <c r="FU30" s="25"/>
      <c r="FV30" s="25"/>
      <c r="FW30" s="25"/>
      <c r="FX30" s="25"/>
      <c r="FY30" s="25"/>
      <c r="FZ30" s="25"/>
      <c r="GA30" s="25"/>
      <c r="GB30" s="25"/>
      <c r="GC30" s="25"/>
      <c r="GD30" s="25"/>
      <c r="GE30" s="25"/>
      <c r="GF30" s="25"/>
      <c r="GG30" s="25"/>
      <c r="GI30" s="25"/>
      <c r="GJ30" s="25"/>
      <c r="GK30" s="25"/>
      <c r="GL30" s="25"/>
      <c r="GM30" s="25"/>
      <c r="GN30" s="25"/>
      <c r="GO30" s="25"/>
      <c r="GP30" s="25"/>
      <c r="GQ30" s="25"/>
      <c r="GR30" s="25"/>
      <c r="GS30" s="25"/>
      <c r="GT30" s="25"/>
      <c r="GU30" s="25"/>
      <c r="GV30" s="25"/>
      <c r="GW30" s="25"/>
      <c r="GX30" s="25"/>
      <c r="GY30" s="25"/>
      <c r="GZ30" s="25"/>
      <c r="HA30" s="25"/>
      <c r="HB30" s="25"/>
      <c r="HC30" s="25"/>
      <c r="HD30" s="25"/>
      <c r="HE30" s="25"/>
      <c r="HF30" s="25"/>
      <c r="HG30" s="25"/>
      <c r="HH30" s="25"/>
      <c r="HI30" s="25"/>
      <c r="HJ30" s="25"/>
      <c r="HK30" s="25"/>
      <c r="HL30" s="25"/>
      <c r="HM30" s="25"/>
      <c r="HO30" s="25"/>
      <c r="HP30" s="25"/>
      <c r="HQ30" s="25"/>
      <c r="HR30" s="25"/>
      <c r="HS30" s="25"/>
      <c r="HT30" s="25"/>
      <c r="HU30" s="25"/>
      <c r="HV30" s="25"/>
      <c r="HW30" s="25"/>
      <c r="HX30" s="25"/>
      <c r="HY30" s="25"/>
      <c r="HZ30" s="25"/>
      <c r="IA30" s="25"/>
      <c r="IB30" s="25"/>
      <c r="IC30" s="25"/>
      <c r="ID30" s="25"/>
      <c r="IE30" s="25"/>
      <c r="IF30" s="25"/>
      <c r="IG30" s="25"/>
      <c r="IH30" s="25"/>
      <c r="II30" s="25"/>
      <c r="IJ30" s="25"/>
      <c r="IK30" s="25"/>
      <c r="IL30" s="25"/>
      <c r="IM30" s="25"/>
      <c r="IN30" s="25"/>
      <c r="IO30" s="25"/>
      <c r="IP30" s="25"/>
      <c r="IQ30" s="25"/>
      <c r="IR30" s="25"/>
      <c r="IS30" s="25"/>
      <c r="IU30" s="42"/>
      <c r="IV30" s="42"/>
      <c r="IW30" s="3"/>
      <c r="IX30" s="3"/>
      <c r="IY30" s="3"/>
      <c r="IZ30" s="3"/>
      <c r="JB30" s="42"/>
      <c r="JC30" s="3"/>
      <c r="JD30" s="3"/>
      <c r="JE30" s="3"/>
      <c r="JF30" s="3"/>
      <c r="JG30" s="3"/>
      <c r="JH30" s="3"/>
      <c r="JI30" s="19"/>
      <c r="JK30" s="35"/>
      <c r="JL30" s="81"/>
      <c r="JM30" s="81"/>
      <c r="JO30" s="3"/>
      <c r="JP30" s="3"/>
      <c r="JQ30" s="3"/>
      <c r="JR30" s="3"/>
      <c r="JS30" s="3"/>
      <c r="JT30" s="3"/>
    </row>
    <row r="31" spans="2:280">
      <c r="B31" s="3"/>
      <c r="D31" s="39" t="str">
        <f t="shared" si="36"/>
        <v>-/-</v>
      </c>
      <c r="F31" s="3"/>
      <c r="H31" s="118"/>
      <c r="J31" s="118"/>
      <c r="L31" s="118"/>
      <c r="N31" s="118"/>
      <c r="O31" s="118"/>
      <c r="P31" s="118"/>
      <c r="Q31" s="118"/>
      <c r="R31" s="118"/>
      <c r="S31" s="118"/>
      <c r="U31" s="118"/>
      <c r="V31" s="118"/>
      <c r="W31" s="118"/>
      <c r="X31" s="118"/>
      <c r="Z31" s="118"/>
      <c r="AB31" s="19"/>
      <c r="AC31" s="19"/>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Q31" s="25"/>
      <c r="CR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c r="DR31" s="25"/>
      <c r="DS31" s="25"/>
      <c r="DT31" s="25"/>
      <c r="DU31" s="25"/>
      <c r="DW31" s="25"/>
      <c r="DX31" s="25"/>
      <c r="DY31" s="25"/>
      <c r="DZ31" s="2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C31" s="25"/>
      <c r="FD31" s="25"/>
      <c r="FE31" s="25"/>
      <c r="FF31" s="25"/>
      <c r="FG31" s="25"/>
      <c r="FH31" s="25"/>
      <c r="FI31" s="25"/>
      <c r="FJ31" s="25"/>
      <c r="FK31" s="25"/>
      <c r="FL31" s="25"/>
      <c r="FM31" s="25"/>
      <c r="FN31" s="25"/>
      <c r="FO31" s="25"/>
      <c r="FP31" s="25"/>
      <c r="FQ31" s="25"/>
      <c r="FR31" s="25"/>
      <c r="FS31" s="25"/>
      <c r="FT31" s="25"/>
      <c r="FU31" s="25"/>
      <c r="FV31" s="25"/>
      <c r="FW31" s="25"/>
      <c r="FX31" s="25"/>
      <c r="FY31" s="25"/>
      <c r="FZ31" s="25"/>
      <c r="GA31" s="25"/>
      <c r="GB31" s="25"/>
      <c r="GC31" s="25"/>
      <c r="GD31" s="25"/>
      <c r="GE31" s="25"/>
      <c r="GF31" s="25"/>
      <c r="GG31" s="25"/>
      <c r="GI31" s="25"/>
      <c r="GJ31" s="25"/>
      <c r="GK31" s="25"/>
      <c r="GL31" s="25"/>
      <c r="GM31" s="25"/>
      <c r="GN31" s="25"/>
      <c r="GO31" s="25"/>
      <c r="GP31" s="25"/>
      <c r="GQ31" s="25"/>
      <c r="GR31" s="25"/>
      <c r="GS31" s="25"/>
      <c r="GT31" s="25"/>
      <c r="GU31" s="25"/>
      <c r="GV31" s="25"/>
      <c r="GW31" s="25"/>
      <c r="GX31" s="25"/>
      <c r="GY31" s="25"/>
      <c r="GZ31" s="25"/>
      <c r="HA31" s="25"/>
      <c r="HB31" s="25"/>
      <c r="HC31" s="25"/>
      <c r="HD31" s="25"/>
      <c r="HE31" s="25"/>
      <c r="HF31" s="25"/>
      <c r="HG31" s="25"/>
      <c r="HH31" s="25"/>
      <c r="HI31" s="25"/>
      <c r="HJ31" s="25"/>
      <c r="HK31" s="25"/>
      <c r="HL31" s="25"/>
      <c r="HM31" s="25"/>
      <c r="HO31" s="25"/>
      <c r="HP31" s="25"/>
      <c r="HQ31" s="25"/>
      <c r="HR31" s="25"/>
      <c r="HS31" s="25"/>
      <c r="HT31" s="25"/>
      <c r="HU31" s="25"/>
      <c r="HV31" s="25"/>
      <c r="HW31" s="25"/>
      <c r="HX31" s="25"/>
      <c r="HY31" s="25"/>
      <c r="HZ31" s="25"/>
      <c r="IA31" s="25"/>
      <c r="IB31" s="25"/>
      <c r="IC31" s="25"/>
      <c r="ID31" s="25"/>
      <c r="IE31" s="25"/>
      <c r="IF31" s="25"/>
      <c r="IG31" s="25"/>
      <c r="IH31" s="25"/>
      <c r="II31" s="25"/>
      <c r="IJ31" s="25"/>
      <c r="IK31" s="25"/>
      <c r="IL31" s="25"/>
      <c r="IM31" s="25"/>
      <c r="IN31" s="25"/>
      <c r="IO31" s="25"/>
      <c r="IP31" s="25"/>
      <c r="IQ31" s="25"/>
      <c r="IR31" s="25"/>
      <c r="IS31" s="25"/>
      <c r="IU31" s="42"/>
      <c r="IV31" s="42"/>
      <c r="IW31" s="3"/>
      <c r="IX31" s="3"/>
      <c r="IY31" s="3"/>
      <c r="IZ31" s="3"/>
      <c r="JB31" s="42"/>
      <c r="JC31" s="3"/>
      <c r="JD31" s="3"/>
      <c r="JE31" s="3"/>
      <c r="JF31" s="3"/>
      <c r="JG31" s="3"/>
      <c r="JH31" s="3"/>
      <c r="JI31" s="19"/>
      <c r="JK31" s="35"/>
      <c r="JL31" s="81"/>
      <c r="JM31" s="81"/>
      <c r="JO31" s="3"/>
      <c r="JP31" s="3"/>
      <c r="JQ31" s="3"/>
      <c r="JR31" s="3"/>
      <c r="JS31" s="3"/>
      <c r="JT31" s="3"/>
    </row>
    <row r="32" spans="2:280">
      <c r="B32" s="3"/>
      <c r="D32" s="39" t="str">
        <f t="shared" si="36"/>
        <v>-/-</v>
      </c>
      <c r="F32" s="3"/>
      <c r="H32" s="118"/>
      <c r="J32" s="118"/>
      <c r="L32" s="118"/>
      <c r="N32" s="118"/>
      <c r="O32" s="118"/>
      <c r="P32" s="118"/>
      <c r="Q32" s="118"/>
      <c r="R32" s="118"/>
      <c r="S32" s="118"/>
      <c r="U32" s="118"/>
      <c r="V32" s="118"/>
      <c r="W32" s="118"/>
      <c r="X32" s="118"/>
      <c r="Z32" s="118"/>
      <c r="AB32" s="19"/>
      <c r="AC32" s="19"/>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W32" s="25"/>
      <c r="DX32" s="25"/>
      <c r="DY32" s="25"/>
      <c r="DZ32" s="2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C32" s="25"/>
      <c r="FD32" s="25"/>
      <c r="FE32" s="25"/>
      <c r="FF32" s="25"/>
      <c r="FG32" s="25"/>
      <c r="FH32" s="25"/>
      <c r="FI32" s="25"/>
      <c r="FJ32" s="25"/>
      <c r="FK32" s="25"/>
      <c r="FL32" s="25"/>
      <c r="FM32" s="25"/>
      <c r="FN32" s="25"/>
      <c r="FO32" s="25"/>
      <c r="FP32" s="25"/>
      <c r="FQ32" s="25"/>
      <c r="FR32" s="25"/>
      <c r="FS32" s="25"/>
      <c r="FT32" s="25"/>
      <c r="FU32" s="25"/>
      <c r="FV32" s="25"/>
      <c r="FW32" s="25"/>
      <c r="FX32" s="25"/>
      <c r="FY32" s="25"/>
      <c r="FZ32" s="25"/>
      <c r="GA32" s="25"/>
      <c r="GB32" s="25"/>
      <c r="GC32" s="25"/>
      <c r="GD32" s="25"/>
      <c r="GE32" s="25"/>
      <c r="GF32" s="25"/>
      <c r="GG32" s="25"/>
      <c r="GI32" s="25"/>
      <c r="GJ32" s="25"/>
      <c r="GK32" s="25"/>
      <c r="GL32" s="25"/>
      <c r="GM32" s="25"/>
      <c r="GN32" s="25"/>
      <c r="GO32" s="25"/>
      <c r="GP32" s="25"/>
      <c r="GQ32" s="25"/>
      <c r="GR32" s="25"/>
      <c r="GS32" s="25"/>
      <c r="GT32" s="25"/>
      <c r="GU32" s="25"/>
      <c r="GV32" s="25"/>
      <c r="GW32" s="25"/>
      <c r="GX32" s="25"/>
      <c r="GY32" s="25"/>
      <c r="GZ32" s="25"/>
      <c r="HA32" s="25"/>
      <c r="HB32" s="25"/>
      <c r="HC32" s="25"/>
      <c r="HD32" s="25"/>
      <c r="HE32" s="25"/>
      <c r="HF32" s="25"/>
      <c r="HG32" s="25"/>
      <c r="HH32" s="25"/>
      <c r="HI32" s="25"/>
      <c r="HJ32" s="25"/>
      <c r="HK32" s="25"/>
      <c r="HL32" s="25"/>
      <c r="HM32" s="25"/>
      <c r="HO32" s="25"/>
      <c r="HP32" s="25"/>
      <c r="HQ32" s="25"/>
      <c r="HR32" s="25"/>
      <c r="HS32" s="25"/>
      <c r="HT32" s="25"/>
      <c r="HU32" s="25"/>
      <c r="HV32" s="25"/>
      <c r="HW32" s="25"/>
      <c r="HX32" s="25"/>
      <c r="HY32" s="25"/>
      <c r="HZ32" s="25"/>
      <c r="IA32" s="25"/>
      <c r="IB32" s="25"/>
      <c r="IC32" s="25"/>
      <c r="ID32" s="25"/>
      <c r="IE32" s="25"/>
      <c r="IF32" s="25"/>
      <c r="IG32" s="25"/>
      <c r="IH32" s="25"/>
      <c r="II32" s="25"/>
      <c r="IJ32" s="25"/>
      <c r="IK32" s="25"/>
      <c r="IL32" s="25"/>
      <c r="IM32" s="25"/>
      <c r="IN32" s="25"/>
      <c r="IO32" s="25"/>
      <c r="IP32" s="25"/>
      <c r="IQ32" s="25"/>
      <c r="IR32" s="25"/>
      <c r="IS32" s="25"/>
      <c r="IU32" s="42"/>
      <c r="IV32" s="42"/>
      <c r="IW32" s="3"/>
      <c r="IX32" s="3"/>
      <c r="IY32" s="3"/>
      <c r="IZ32" s="3"/>
      <c r="JB32" s="42"/>
      <c r="JC32" s="3"/>
      <c r="JD32" s="3"/>
      <c r="JE32" s="3"/>
      <c r="JF32" s="3"/>
      <c r="JG32" s="3"/>
      <c r="JH32" s="3"/>
      <c r="JI32" s="19"/>
      <c r="JK32" s="35"/>
      <c r="JL32" s="81"/>
      <c r="JM32" s="81"/>
      <c r="JO32" s="3"/>
      <c r="JP32" s="3"/>
      <c r="JQ32" s="3"/>
      <c r="JR32" s="3"/>
      <c r="JS32" s="3"/>
      <c r="JT32" s="3"/>
    </row>
    <row r="33" spans="2:280">
      <c r="B33" s="3"/>
      <c r="D33" s="39" t="str">
        <f t="shared" si="36"/>
        <v>-/-</v>
      </c>
      <c r="F33" s="3"/>
      <c r="H33" s="118"/>
      <c r="J33" s="118"/>
      <c r="L33" s="118"/>
      <c r="N33" s="118"/>
      <c r="O33" s="118"/>
      <c r="P33" s="118"/>
      <c r="Q33" s="118"/>
      <c r="R33" s="118"/>
      <c r="S33" s="118"/>
      <c r="U33" s="118"/>
      <c r="V33" s="118"/>
      <c r="W33" s="118"/>
      <c r="X33" s="118"/>
      <c r="Z33" s="118"/>
      <c r="AB33" s="19"/>
      <c r="AC33" s="19"/>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Q33" s="25"/>
      <c r="CR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W33" s="25"/>
      <c r="DX33" s="25"/>
      <c r="DY33" s="25"/>
      <c r="DZ33" s="2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C33" s="25"/>
      <c r="FD33" s="25"/>
      <c r="FE33" s="25"/>
      <c r="FF33" s="25"/>
      <c r="FG33" s="25"/>
      <c r="FH33" s="25"/>
      <c r="FI33" s="25"/>
      <c r="FJ33" s="25"/>
      <c r="FK33" s="25"/>
      <c r="FL33" s="25"/>
      <c r="FM33" s="25"/>
      <c r="FN33" s="25"/>
      <c r="FO33" s="25"/>
      <c r="FP33" s="25"/>
      <c r="FQ33" s="25"/>
      <c r="FR33" s="25"/>
      <c r="FS33" s="25"/>
      <c r="FT33" s="25"/>
      <c r="FU33" s="25"/>
      <c r="FV33" s="25"/>
      <c r="FW33" s="25"/>
      <c r="FX33" s="25"/>
      <c r="FY33" s="25"/>
      <c r="FZ33" s="25"/>
      <c r="GA33" s="25"/>
      <c r="GB33" s="25"/>
      <c r="GC33" s="25"/>
      <c r="GD33" s="25"/>
      <c r="GE33" s="25"/>
      <c r="GF33" s="25"/>
      <c r="GG33" s="25"/>
      <c r="GI33" s="25"/>
      <c r="GJ33" s="25"/>
      <c r="GK33" s="25"/>
      <c r="GL33" s="25"/>
      <c r="GM33" s="25"/>
      <c r="GN33" s="25"/>
      <c r="GO33" s="25"/>
      <c r="GP33" s="25"/>
      <c r="GQ33" s="25"/>
      <c r="GR33" s="25"/>
      <c r="GS33" s="25"/>
      <c r="GT33" s="25"/>
      <c r="GU33" s="25"/>
      <c r="GV33" s="25"/>
      <c r="GW33" s="25"/>
      <c r="GX33" s="25"/>
      <c r="GY33" s="25"/>
      <c r="GZ33" s="25"/>
      <c r="HA33" s="25"/>
      <c r="HB33" s="25"/>
      <c r="HC33" s="25"/>
      <c r="HD33" s="25"/>
      <c r="HE33" s="25"/>
      <c r="HF33" s="25"/>
      <c r="HG33" s="25"/>
      <c r="HH33" s="25"/>
      <c r="HI33" s="25"/>
      <c r="HJ33" s="25"/>
      <c r="HK33" s="25"/>
      <c r="HL33" s="25"/>
      <c r="HM33" s="25"/>
      <c r="HO33" s="25"/>
      <c r="HP33" s="25"/>
      <c r="HQ33" s="25"/>
      <c r="HR33" s="25"/>
      <c r="HS33" s="25"/>
      <c r="HT33" s="25"/>
      <c r="HU33" s="25"/>
      <c r="HV33" s="25"/>
      <c r="HW33" s="25"/>
      <c r="HX33" s="25"/>
      <c r="HY33" s="25"/>
      <c r="HZ33" s="25"/>
      <c r="IA33" s="25"/>
      <c r="IB33" s="25"/>
      <c r="IC33" s="25"/>
      <c r="ID33" s="25"/>
      <c r="IE33" s="25"/>
      <c r="IF33" s="25"/>
      <c r="IG33" s="25"/>
      <c r="IH33" s="25"/>
      <c r="II33" s="25"/>
      <c r="IJ33" s="25"/>
      <c r="IK33" s="25"/>
      <c r="IL33" s="25"/>
      <c r="IM33" s="25"/>
      <c r="IN33" s="25"/>
      <c r="IO33" s="25"/>
      <c r="IP33" s="25"/>
      <c r="IQ33" s="25"/>
      <c r="IR33" s="25"/>
      <c r="IS33" s="25"/>
      <c r="IU33" s="42"/>
      <c r="IV33" s="42"/>
      <c r="IW33" s="3"/>
      <c r="IX33" s="3"/>
      <c r="IY33" s="3"/>
      <c r="IZ33" s="3"/>
      <c r="JB33" s="42"/>
      <c r="JC33" s="3"/>
      <c r="JD33" s="3"/>
      <c r="JE33" s="3"/>
      <c r="JF33" s="3"/>
      <c r="JG33" s="3"/>
      <c r="JH33" s="3"/>
      <c r="JI33" s="19"/>
      <c r="JK33" s="35"/>
      <c r="JL33" s="81"/>
      <c r="JM33" s="81"/>
      <c r="JO33" s="3"/>
      <c r="JP33" s="3"/>
      <c r="JQ33" s="3"/>
      <c r="JR33" s="3"/>
      <c r="JS33" s="3"/>
      <c r="JT33" s="3"/>
    </row>
    <row r="34" spans="2:280">
      <c r="B34" s="3"/>
      <c r="D34" s="39" t="str">
        <f t="shared" si="36"/>
        <v>-/-</v>
      </c>
      <c r="F34" s="3"/>
      <c r="H34" s="118"/>
      <c r="J34" s="118"/>
      <c r="L34" s="118"/>
      <c r="N34" s="118"/>
      <c r="O34" s="118"/>
      <c r="P34" s="118"/>
      <c r="Q34" s="118"/>
      <c r="R34" s="118"/>
      <c r="S34" s="118"/>
      <c r="U34" s="118"/>
      <c r="V34" s="118"/>
      <c r="W34" s="118"/>
      <c r="X34" s="118"/>
      <c r="Z34" s="118"/>
      <c r="AB34" s="19"/>
      <c r="AC34" s="19"/>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W34" s="25"/>
      <c r="DX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I34" s="25"/>
      <c r="GJ34" s="25"/>
      <c r="GK34" s="25"/>
      <c r="GL34" s="25"/>
      <c r="GM34" s="25"/>
      <c r="GN34" s="25"/>
      <c r="GO34" s="25"/>
      <c r="GP34" s="25"/>
      <c r="GQ34" s="25"/>
      <c r="GR34" s="25"/>
      <c r="GS34" s="25"/>
      <c r="GT34" s="25"/>
      <c r="GU34" s="25"/>
      <c r="GV34" s="25"/>
      <c r="GW34" s="25"/>
      <c r="GX34" s="25"/>
      <c r="GY34" s="25"/>
      <c r="GZ34" s="25"/>
      <c r="HA34" s="25"/>
      <c r="HB34" s="25"/>
      <c r="HC34" s="25"/>
      <c r="HD34" s="25"/>
      <c r="HE34" s="25"/>
      <c r="HF34" s="25"/>
      <c r="HG34" s="25"/>
      <c r="HH34" s="25"/>
      <c r="HI34" s="25"/>
      <c r="HJ34" s="25"/>
      <c r="HK34" s="25"/>
      <c r="HL34" s="25"/>
      <c r="HM34" s="25"/>
      <c r="HO34" s="25"/>
      <c r="HP34" s="25"/>
      <c r="HQ34" s="25"/>
      <c r="HR34" s="25"/>
      <c r="HS34" s="25"/>
      <c r="HT34" s="25"/>
      <c r="HU34" s="25"/>
      <c r="HV34" s="25"/>
      <c r="HW34" s="25"/>
      <c r="HX34" s="25"/>
      <c r="HY34" s="25"/>
      <c r="HZ34" s="25"/>
      <c r="IA34" s="25"/>
      <c r="IB34" s="25"/>
      <c r="IC34" s="25"/>
      <c r="ID34" s="25"/>
      <c r="IE34" s="25"/>
      <c r="IF34" s="25"/>
      <c r="IG34" s="25"/>
      <c r="IH34" s="25"/>
      <c r="II34" s="25"/>
      <c r="IJ34" s="25"/>
      <c r="IK34" s="25"/>
      <c r="IL34" s="25"/>
      <c r="IM34" s="25"/>
      <c r="IN34" s="25"/>
      <c r="IO34" s="25"/>
      <c r="IP34" s="25"/>
      <c r="IQ34" s="25"/>
      <c r="IR34" s="25"/>
      <c r="IS34" s="25"/>
      <c r="IU34" s="42"/>
      <c r="IV34" s="42"/>
      <c r="IW34" s="3"/>
      <c r="IX34" s="3"/>
      <c r="IY34" s="3"/>
      <c r="IZ34" s="3"/>
      <c r="JB34" s="42"/>
      <c r="JC34" s="3"/>
      <c r="JD34" s="3"/>
      <c r="JE34" s="3"/>
      <c r="JF34" s="3"/>
      <c r="JG34" s="3"/>
      <c r="JH34" s="3"/>
      <c r="JI34" s="19"/>
      <c r="JK34" s="35"/>
      <c r="JL34" s="81"/>
      <c r="JM34" s="81"/>
      <c r="JO34" s="3"/>
      <c r="JP34" s="3"/>
      <c r="JQ34" s="3"/>
      <c r="JR34" s="3"/>
      <c r="JS34" s="3"/>
      <c r="JT34" s="3"/>
    </row>
    <row r="35" spans="2:280">
      <c r="B35" s="3"/>
      <c r="D35" s="39" t="str">
        <f t="shared" si="36"/>
        <v>-/-</v>
      </c>
      <c r="F35" s="3"/>
      <c r="H35" s="118"/>
      <c r="J35" s="118"/>
      <c r="L35" s="118"/>
      <c r="N35" s="118"/>
      <c r="O35" s="118"/>
      <c r="P35" s="118"/>
      <c r="Q35" s="118"/>
      <c r="R35" s="118"/>
      <c r="S35" s="118"/>
      <c r="U35" s="118"/>
      <c r="V35" s="118"/>
      <c r="W35" s="118"/>
      <c r="X35" s="118"/>
      <c r="Z35" s="118"/>
      <c r="AB35" s="19"/>
      <c r="AC35" s="19"/>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Q35" s="25"/>
      <c r="CR35" s="25"/>
      <c r="CS35" s="25"/>
      <c r="CT35" s="25"/>
      <c r="CU35" s="25"/>
      <c r="CV35" s="25"/>
      <c r="CW35" s="25"/>
      <c r="CX35" s="25"/>
      <c r="CY35" s="25"/>
      <c r="CZ35" s="25"/>
      <c r="DA35" s="25"/>
      <c r="DB35" s="25"/>
      <c r="DC35" s="25"/>
      <c r="DD35" s="25"/>
      <c r="DE35" s="25"/>
      <c r="DF35" s="25"/>
      <c r="DG35" s="25"/>
      <c r="DH35" s="25"/>
      <c r="DI35" s="25"/>
      <c r="DJ35" s="25"/>
      <c r="DK35" s="25"/>
      <c r="DL35" s="25"/>
      <c r="DM35" s="25"/>
      <c r="DN35" s="25"/>
      <c r="DO35" s="25"/>
      <c r="DP35" s="25"/>
      <c r="DQ35" s="25"/>
      <c r="DR35" s="25"/>
      <c r="DS35" s="25"/>
      <c r="DT35" s="25"/>
      <c r="DU35" s="25"/>
      <c r="DW35" s="25"/>
      <c r="DX35" s="25"/>
      <c r="DY35" s="25"/>
      <c r="DZ35" s="2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C35" s="25"/>
      <c r="FD35" s="25"/>
      <c r="FE35" s="25"/>
      <c r="FF35" s="25"/>
      <c r="FG35" s="25"/>
      <c r="FH35" s="25"/>
      <c r="FI35" s="25"/>
      <c r="FJ35" s="25"/>
      <c r="FK35" s="25"/>
      <c r="FL35" s="25"/>
      <c r="FM35" s="25"/>
      <c r="FN35" s="25"/>
      <c r="FO35" s="25"/>
      <c r="FP35" s="25"/>
      <c r="FQ35" s="25"/>
      <c r="FR35" s="25"/>
      <c r="FS35" s="25"/>
      <c r="FT35" s="25"/>
      <c r="FU35" s="25"/>
      <c r="FV35" s="25"/>
      <c r="FW35" s="25"/>
      <c r="FX35" s="25"/>
      <c r="FY35" s="25"/>
      <c r="FZ35" s="25"/>
      <c r="GA35" s="25"/>
      <c r="GB35" s="25"/>
      <c r="GC35" s="25"/>
      <c r="GD35" s="25"/>
      <c r="GE35" s="25"/>
      <c r="GF35" s="25"/>
      <c r="GG35" s="25"/>
      <c r="GI35" s="25"/>
      <c r="GJ35" s="25"/>
      <c r="GK35" s="25"/>
      <c r="GL35" s="25"/>
      <c r="GM35" s="25"/>
      <c r="GN35" s="25"/>
      <c r="GO35" s="25"/>
      <c r="GP35" s="25"/>
      <c r="GQ35" s="25"/>
      <c r="GR35" s="25"/>
      <c r="GS35" s="25"/>
      <c r="GT35" s="25"/>
      <c r="GU35" s="25"/>
      <c r="GV35" s="25"/>
      <c r="GW35" s="25"/>
      <c r="GX35" s="25"/>
      <c r="GY35" s="25"/>
      <c r="GZ35" s="25"/>
      <c r="HA35" s="25"/>
      <c r="HB35" s="25"/>
      <c r="HC35" s="25"/>
      <c r="HD35" s="25"/>
      <c r="HE35" s="25"/>
      <c r="HF35" s="25"/>
      <c r="HG35" s="25"/>
      <c r="HH35" s="25"/>
      <c r="HI35" s="25"/>
      <c r="HJ35" s="25"/>
      <c r="HK35" s="25"/>
      <c r="HL35" s="25"/>
      <c r="HM35" s="25"/>
      <c r="HO35" s="25"/>
      <c r="HP35" s="25"/>
      <c r="HQ35" s="25"/>
      <c r="HR35" s="25"/>
      <c r="HS35" s="25"/>
      <c r="HT35" s="25"/>
      <c r="HU35" s="25"/>
      <c r="HV35" s="25"/>
      <c r="HW35" s="25"/>
      <c r="HX35" s="25"/>
      <c r="HY35" s="25"/>
      <c r="HZ35" s="25"/>
      <c r="IA35" s="25"/>
      <c r="IB35" s="25"/>
      <c r="IC35" s="25"/>
      <c r="ID35" s="25"/>
      <c r="IE35" s="25"/>
      <c r="IF35" s="25"/>
      <c r="IG35" s="25"/>
      <c r="IH35" s="25"/>
      <c r="II35" s="25"/>
      <c r="IJ35" s="25"/>
      <c r="IK35" s="25"/>
      <c r="IL35" s="25"/>
      <c r="IM35" s="25"/>
      <c r="IN35" s="25"/>
      <c r="IO35" s="25"/>
      <c r="IP35" s="25"/>
      <c r="IQ35" s="25"/>
      <c r="IR35" s="25"/>
      <c r="IS35" s="25"/>
      <c r="IU35" s="42"/>
      <c r="IV35" s="42"/>
      <c r="IW35" s="3"/>
      <c r="IX35" s="3"/>
      <c r="IY35" s="3"/>
      <c r="IZ35" s="3"/>
      <c r="JB35" s="42"/>
      <c r="JC35" s="3"/>
      <c r="JD35" s="3"/>
      <c r="JE35" s="3"/>
      <c r="JF35" s="3"/>
      <c r="JG35" s="3"/>
      <c r="JH35" s="3"/>
      <c r="JI35" s="19"/>
      <c r="JK35" s="35"/>
      <c r="JL35" s="81"/>
      <c r="JM35" s="81"/>
      <c r="JO35" s="3"/>
      <c r="JP35" s="3"/>
      <c r="JQ35" s="3"/>
      <c r="JR35" s="3"/>
      <c r="JS35" s="3"/>
      <c r="JT35" s="3"/>
    </row>
  </sheetData>
  <conditionalFormatting sqref="D11:D35">
    <cfRule type="cellIs" dxfId="15" priority="6" operator="equal">
      <formula>FALSE</formula>
    </cfRule>
  </conditionalFormatting>
  <conditionalFormatting sqref="A11:A35">
    <cfRule type="duplicateValues" dxfId="14" priority="1736"/>
  </conditionalFormatting>
  <dataValidations count="6">
    <dataValidation type="list" allowBlank="1" showInputMessage="1" showErrorMessage="1" sqref="AB11:AC35 U11:X35 N11:S35" xr:uid="{54D18E78-B915-4E4B-9F7E-F222617669D6}">
      <formula1>"TRUE,FALSE"</formula1>
    </dataValidation>
    <dataValidation type="list" allowBlank="1" showInputMessage="1" showErrorMessage="1" sqref="H11:H35" xr:uid="{622DA8F6-7101-EE41-8BCC-4AFE34702383}">
      <formula1>OFFSET(lists_zones,,,COUNTA(lists_zones))</formula1>
    </dataValidation>
    <dataValidation type="list" allowBlank="1" showInputMessage="1" showErrorMessage="1" sqref="Z11:Z35" xr:uid="{A460822C-119F-814A-9BE1-BF7DB1936C3A}">
      <formula1>OFFSET(lists_elcc_surfaces,,,COUNTA(lists_elcc_surfaces))</formula1>
    </dataValidation>
    <dataValidation type="list" allowBlank="1" showInputMessage="1" showErrorMessage="1" sqref="L11:L35" xr:uid="{65ACFE34-1C59-4991-BA89-818861E37F68}">
      <formula1>OFFSET(lists_outage_distributions,,,COUNTA(lists_outage_distributions))</formula1>
    </dataValidation>
    <dataValidation type="list" allowBlank="1" showInputMessage="1" showErrorMessage="1" sqref="J11:L35" xr:uid="{4F62CA8F-E6DA-4657-8F50-CE491B754B32}">
      <formula1>ResourceGroup</formula1>
    </dataValidation>
    <dataValidation type="list" allowBlank="1" showInputMessage="1" showErrorMessage="1" sqref="JI11:JI35" xr:uid="{B37B27E1-74D8-4866-B8BA-7C78361E2607}">
      <formula1>"linear, integer"</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18" id="{3AD94F80-F092-7546-814C-0F99986D12C6}">
            <xm:f>ISNUMBER(MATCH(F11,'RESOLVE Case Settings'!$C$19:$C$42,0))</xm:f>
            <x14:dxf>
              <font>
                <color rgb="FF006100"/>
              </font>
              <fill>
                <patternFill>
                  <bgColor rgb="FFC6EFCE"/>
                </patternFill>
              </fill>
            </x14:dxf>
          </x14:cfRule>
          <xm:sqref>F11:F35</xm:sqref>
        </x14:conditionalFormatting>
      </x14:conditionalFormatting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17F86-BA25-DA46-A858-344384DF6689}">
  <sheetPr codeName="Sheet30">
    <tabColor theme="7" tint="0.79998168889431442"/>
  </sheetPr>
  <dimension ref="A1:JA35"/>
  <sheetViews>
    <sheetView showGridLines="0" zoomScale="90" zoomScaleNormal="90" workbookViewId="0">
      <pane xSplit="7" ySplit="10" topLeftCell="AB11" activePane="bottomRight" state="frozen"/>
      <selection pane="topRight" activeCell="N35" sqref="N35"/>
      <selection pane="bottomLeft" activeCell="N35" sqref="N35"/>
      <selection pane="bottomRight" activeCell="JD18" sqref="JD18"/>
    </sheetView>
  </sheetViews>
  <sheetFormatPr baseColWidth="10" defaultColWidth="11" defaultRowHeight="12" outlineLevelRow="1" outlineLevelCol="1"/>
  <cols>
    <col min="2" max="2" width="43.59765625" customWidth="1"/>
    <col min="3" max="3" width="3" customWidth="1" outlineLevel="1"/>
    <col min="4" max="4" width="25" customWidth="1" outlineLevel="1"/>
    <col min="5" max="5" width="3" customWidth="1" outlineLevel="1"/>
    <col min="6" max="6" width="30.3984375" customWidth="1" outlineLevel="1"/>
    <col min="7" max="7" width="3" customWidth="1"/>
    <col min="8" max="8" width="18.3984375" customWidth="1" outlineLevel="1"/>
    <col min="9" max="9" width="3" customWidth="1" outlineLevel="1"/>
    <col min="10" max="10" width="17" customWidth="1" outlineLevel="1"/>
    <col min="11" max="11" width="5" customWidth="1"/>
    <col min="12" max="12" width="13.3984375" customWidth="1"/>
    <col min="13" max="13" width="3" customWidth="1" outlineLevel="1"/>
    <col min="14" max="19" width="16" customWidth="1" outlineLevel="1"/>
    <col min="20" max="20" width="3" customWidth="1" outlineLevel="1"/>
    <col min="21" max="24" width="16" customWidth="1" outlineLevel="1"/>
    <col min="25" max="25" width="3" customWidth="1" outlineLevel="1"/>
    <col min="26" max="26" width="20" customWidth="1" outlineLevel="1"/>
    <col min="27" max="27" width="3" customWidth="1"/>
    <col min="28" max="28" width="29" bestFit="1" customWidth="1"/>
    <col min="29" max="29" width="3" customWidth="1"/>
    <col min="30" max="31" width="16" customWidth="1"/>
    <col min="32" max="32" width="3" customWidth="1"/>
    <col min="33" max="33" width="16" customWidth="1"/>
    <col min="34" max="35" width="16" hidden="1" customWidth="1" outlineLevel="1"/>
    <col min="36" max="36" width="16" hidden="1" customWidth="1" outlineLevel="1" collapsed="1"/>
    <col min="37" max="37" width="16" hidden="1" customWidth="1" outlineLevel="1"/>
    <col min="38" max="38" width="16" customWidth="1" collapsed="1"/>
    <col min="39" max="40" width="16" hidden="1" customWidth="1" outlineLevel="1"/>
    <col min="41" max="41" width="16" hidden="1" customWidth="1" outlineLevel="1" collapsed="1"/>
    <col min="42" max="42" width="16" hidden="1" customWidth="1" outlineLevel="1"/>
    <col min="43" max="43" width="16" customWidth="1" collapsed="1"/>
    <col min="44" max="44" width="16" hidden="1" customWidth="1" outlineLevel="1"/>
    <col min="45" max="45" width="16" hidden="1" customWidth="1" outlineLevel="1" collapsed="1"/>
    <col min="46" max="47" width="16" hidden="1" customWidth="1" outlineLevel="1"/>
    <col min="48" max="48" width="16" customWidth="1" collapsed="1"/>
    <col min="49" max="51" width="16" hidden="1" customWidth="1" outlineLevel="1"/>
    <col min="52" max="52" width="16" hidden="1" customWidth="1" outlineLevel="1" collapsed="1"/>
    <col min="53" max="53" width="16" customWidth="1" collapsed="1"/>
    <col min="54" max="57" width="16" hidden="1" customWidth="1" outlineLevel="1"/>
    <col min="58" max="58" width="16" customWidth="1" collapsed="1"/>
    <col min="59" max="62" width="16" hidden="1" customWidth="1" outlineLevel="1"/>
    <col min="63" max="63" width="16" customWidth="1" collapsed="1"/>
    <col min="64" max="64" width="3" customWidth="1"/>
    <col min="65" max="65" width="16" customWidth="1"/>
    <col min="66" max="67" width="16" hidden="1" customWidth="1" outlineLevel="1"/>
    <col min="68" max="68" width="16" hidden="1" customWidth="1" outlineLevel="1" collapsed="1"/>
    <col min="69" max="69" width="16" hidden="1" customWidth="1" outlineLevel="1"/>
    <col min="70" max="70" width="16" customWidth="1" collapsed="1"/>
    <col min="71" max="72" width="16" hidden="1" customWidth="1" outlineLevel="1"/>
    <col min="73" max="73" width="16" hidden="1" customWidth="1" outlineLevel="1" collapsed="1"/>
    <col min="74" max="74" width="16" hidden="1" customWidth="1" outlineLevel="1"/>
    <col min="75" max="75" width="16" customWidth="1" collapsed="1"/>
    <col min="76" max="76" width="16" hidden="1" customWidth="1" outlineLevel="1"/>
    <col min="77" max="77" width="16" hidden="1" customWidth="1" outlineLevel="1" collapsed="1"/>
    <col min="78" max="79" width="16" hidden="1" customWidth="1" outlineLevel="1"/>
    <col min="80" max="80" width="16" customWidth="1" collapsed="1"/>
    <col min="81" max="83" width="16" hidden="1" customWidth="1" outlineLevel="1"/>
    <col min="84" max="84" width="16" hidden="1" customWidth="1" outlineLevel="1" collapsed="1"/>
    <col min="85" max="85" width="16" customWidth="1" collapsed="1"/>
    <col min="86" max="89" width="16" hidden="1" customWidth="1" outlineLevel="1"/>
    <col min="90" max="90" width="16" customWidth="1" collapsed="1"/>
    <col min="91" max="94" width="16" hidden="1" customWidth="1" outlineLevel="1"/>
    <col min="95" max="95" width="16" customWidth="1" collapsed="1"/>
    <col min="96" max="96" width="16" customWidth="1"/>
    <col min="97" max="97" width="16" customWidth="1" collapsed="1"/>
    <col min="98" max="99" width="16" hidden="1" customWidth="1" outlineLevel="1"/>
    <col min="100" max="100" width="16" hidden="1" customWidth="1" outlineLevel="1" collapsed="1"/>
    <col min="101" max="101" width="16" hidden="1" customWidth="1" outlineLevel="1"/>
    <col min="102" max="102" width="16" customWidth="1" collapsed="1"/>
    <col min="103" max="104" width="16" hidden="1" customWidth="1" outlineLevel="1"/>
    <col min="105" max="105" width="16" hidden="1" customWidth="1" outlineLevel="1" collapsed="1"/>
    <col min="106" max="106" width="16" hidden="1" customWidth="1" outlineLevel="1"/>
    <col min="107" max="107" width="16" customWidth="1" collapsed="1"/>
    <col min="108" max="108" width="16" hidden="1" customWidth="1" outlineLevel="1"/>
    <col min="109" max="109" width="16" hidden="1" customWidth="1" outlineLevel="1" collapsed="1"/>
    <col min="110" max="111" width="16" hidden="1" customWidth="1" outlineLevel="1"/>
    <col min="112" max="112" width="16" customWidth="1" collapsed="1"/>
    <col min="113" max="115" width="16" hidden="1" customWidth="1" outlineLevel="1"/>
    <col min="116" max="116" width="16" hidden="1" customWidth="1" outlineLevel="1" collapsed="1"/>
    <col min="117" max="117" width="16" customWidth="1" collapsed="1"/>
    <col min="118" max="121" width="16" hidden="1" customWidth="1" outlineLevel="1"/>
    <col min="122" max="122" width="16" customWidth="1" collapsed="1"/>
    <col min="123" max="126" width="16" hidden="1" customWidth="1" outlineLevel="1"/>
    <col min="127" max="127" width="16" customWidth="1" collapsed="1"/>
    <col min="128" max="128" width="16" customWidth="1"/>
    <col min="129" max="129" width="16" customWidth="1" collapsed="1"/>
    <col min="130" max="131" width="16" hidden="1" customWidth="1" outlineLevel="1"/>
    <col min="132" max="132" width="16" hidden="1" customWidth="1" outlineLevel="1" collapsed="1"/>
    <col min="133" max="133" width="16" hidden="1" customWidth="1" outlineLevel="1"/>
    <col min="134" max="134" width="16" customWidth="1" collapsed="1"/>
    <col min="135" max="136" width="16" hidden="1" customWidth="1" outlineLevel="1"/>
    <col min="137" max="137" width="16" hidden="1" customWidth="1" outlineLevel="1" collapsed="1"/>
    <col min="138" max="138" width="16" hidden="1" customWidth="1" outlineLevel="1"/>
    <col min="139" max="139" width="16" customWidth="1" collapsed="1"/>
    <col min="140" max="140" width="16" hidden="1" customWidth="1" outlineLevel="1"/>
    <col min="141" max="141" width="16" hidden="1" customWidth="1" outlineLevel="1" collapsed="1"/>
    <col min="142" max="143" width="16" hidden="1" customWidth="1" outlineLevel="1"/>
    <col min="144" max="144" width="16" customWidth="1" collapsed="1"/>
    <col min="145" max="147" width="16" hidden="1" customWidth="1" outlineLevel="1"/>
    <col min="148" max="148" width="16" hidden="1" customWidth="1" outlineLevel="1" collapsed="1"/>
    <col min="149" max="149" width="16" customWidth="1" collapsed="1"/>
    <col min="150" max="153" width="16" hidden="1" customWidth="1" outlineLevel="1"/>
    <col min="154" max="154" width="16" customWidth="1" collapsed="1"/>
    <col min="155" max="158" width="16" hidden="1" customWidth="1" outlineLevel="1"/>
    <col min="159" max="159" width="16" customWidth="1" collapsed="1"/>
    <col min="160" max="160" width="3" customWidth="1"/>
    <col min="161" max="161" width="16" customWidth="1"/>
    <col min="162" max="163" width="16" hidden="1" customWidth="1" outlineLevel="1"/>
    <col min="164" max="164" width="16" hidden="1" customWidth="1" outlineLevel="1" collapsed="1"/>
    <col min="165" max="165" width="16" hidden="1" customWidth="1" outlineLevel="1"/>
    <col min="166" max="166" width="16" customWidth="1" collapsed="1"/>
    <col min="167" max="168" width="16" hidden="1" customWidth="1" outlineLevel="1"/>
    <col min="169" max="169" width="16" hidden="1" customWidth="1" outlineLevel="1" collapsed="1"/>
    <col min="170" max="170" width="16" hidden="1" customWidth="1" outlineLevel="1"/>
    <col min="171" max="171" width="16" customWidth="1" collapsed="1"/>
    <col min="172" max="172" width="16" hidden="1" customWidth="1" outlineLevel="1"/>
    <col min="173" max="173" width="16" hidden="1" customWidth="1" outlineLevel="1" collapsed="1"/>
    <col min="174" max="175" width="16" hidden="1" customWidth="1" outlineLevel="1"/>
    <col min="176" max="176" width="16" customWidth="1" collapsed="1"/>
    <col min="177" max="179" width="16" hidden="1" customWidth="1" outlineLevel="1"/>
    <col min="180" max="180" width="16" hidden="1" customWidth="1" outlineLevel="1" collapsed="1"/>
    <col min="181" max="181" width="16" customWidth="1" collapsed="1"/>
    <col min="182" max="185" width="16" hidden="1" customWidth="1" outlineLevel="1"/>
    <col min="186" max="186" width="16" customWidth="1" collapsed="1"/>
    <col min="187" max="190" width="16" hidden="1" customWidth="1" outlineLevel="1"/>
    <col min="191" max="191" width="16" customWidth="1" collapsed="1"/>
    <col min="192" max="192" width="3" customWidth="1"/>
    <col min="193" max="193" width="16" customWidth="1"/>
    <col min="194" max="197" width="16" hidden="1" customWidth="1" outlineLevel="1"/>
    <col min="198" max="198" width="16" customWidth="1" collapsed="1"/>
    <col min="199" max="202" width="16" hidden="1" customWidth="1" outlineLevel="1"/>
    <col min="203" max="203" width="16" customWidth="1" collapsed="1"/>
    <col min="204" max="207" width="16" hidden="1" customWidth="1" outlineLevel="1"/>
    <col min="208" max="208" width="16" customWidth="1" collapsed="1"/>
    <col min="209" max="212" width="16" hidden="1" customWidth="1" outlineLevel="1"/>
    <col min="213" max="213" width="16" customWidth="1" collapsed="1"/>
    <col min="214" max="217" width="16" hidden="1" customWidth="1" outlineLevel="1"/>
    <col min="218" max="218" width="16" customWidth="1" collapsed="1"/>
    <col min="219" max="222" width="16" hidden="1" customWidth="1" outlineLevel="1"/>
    <col min="223" max="223" width="16" customWidth="1" collapsed="1"/>
    <col min="224" max="224" width="3" customWidth="1"/>
    <col min="225" max="230" width="21" customWidth="1"/>
    <col min="231" max="231" width="18" customWidth="1"/>
    <col min="232" max="232" width="17" customWidth="1"/>
    <col min="233" max="233" width="3" customWidth="1"/>
    <col min="234" max="237" width="21" customWidth="1"/>
    <col min="238" max="238" width="15" customWidth="1"/>
    <col min="239" max="239" width="21" customWidth="1"/>
    <col min="240" max="240" width="3" customWidth="1"/>
    <col min="241" max="241" width="21" customWidth="1"/>
    <col min="242" max="242" width="24" customWidth="1"/>
    <col min="243" max="243" width="19.59765625" customWidth="1"/>
    <col min="244" max="244" width="21" customWidth="1"/>
    <col min="245" max="245" width="13.19921875" customWidth="1"/>
    <col min="246" max="246" width="10.19921875" customWidth="1"/>
    <col min="247" max="247" width="15.796875" customWidth="1"/>
    <col min="248" max="248" width="18.3984375" customWidth="1"/>
    <col min="249" max="249" width="3" customWidth="1"/>
    <col min="250" max="255" width="21" customWidth="1"/>
    <col min="256" max="256" width="4" customWidth="1"/>
    <col min="257" max="257" width="2.796875" customWidth="1"/>
  </cols>
  <sheetData>
    <row r="1" spans="1:261" s="5" customFormat="1" ht="29" thickBot="1">
      <c r="A1" s="5" t="s">
        <v>538</v>
      </c>
    </row>
    <row r="4" spans="1:261" ht="19" thickBot="1">
      <c r="H4" s="9" t="s">
        <v>474</v>
      </c>
      <c r="I4" s="9"/>
      <c r="J4" s="9"/>
      <c r="K4" s="9"/>
      <c r="L4" s="9"/>
      <c r="M4" s="9"/>
      <c r="N4" s="9"/>
      <c r="O4" s="9"/>
      <c r="P4" s="9"/>
      <c r="Q4" s="9"/>
      <c r="R4" s="9"/>
      <c r="S4" s="9"/>
      <c r="T4" s="9"/>
      <c r="U4" s="9"/>
      <c r="V4" s="9"/>
      <c r="W4" s="9"/>
      <c r="X4" s="9"/>
      <c r="Y4" s="9"/>
      <c r="Z4" s="9"/>
      <c r="AB4" s="9" t="s">
        <v>539</v>
      </c>
      <c r="AD4" s="9" t="s">
        <v>398</v>
      </c>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E4" s="9" t="s">
        <v>399</v>
      </c>
      <c r="FF4" s="9"/>
      <c r="FG4" s="9"/>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Q4" s="9" t="s">
        <v>414</v>
      </c>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X4" s="9" t="s">
        <v>415</v>
      </c>
      <c r="IY4" s="9"/>
      <c r="IZ4" s="9"/>
      <c r="JA4" s="9"/>
    </row>
    <row r="6" spans="1:261" ht="15" thickBot="1">
      <c r="N6" s="83" t="s">
        <v>279</v>
      </c>
      <c r="O6" s="83"/>
      <c r="P6" s="83"/>
      <c r="Q6" s="83"/>
      <c r="R6" s="83"/>
      <c r="S6" s="83"/>
      <c r="U6" s="83" t="s">
        <v>302</v>
      </c>
      <c r="V6" s="83"/>
      <c r="W6" s="83"/>
      <c r="X6" s="83"/>
      <c r="Y6" s="83"/>
      <c r="Z6" s="83"/>
    </row>
    <row r="8" spans="1:261" ht="42">
      <c r="H8" s="11" t="s">
        <v>203</v>
      </c>
      <c r="J8" s="11" t="s">
        <v>392</v>
      </c>
      <c r="L8" s="11" t="s">
        <v>443</v>
      </c>
      <c r="N8" s="11" t="str" cm="1">
        <f t="array" aca="1" ref="N8" ca="1">TRANSPOSE(OFFSET(lists_reserves,,,COUNTA(lists_reserves)))</f>
        <v>regulating_up</v>
      </c>
      <c r="O8" s="11"/>
      <c r="P8" s="11"/>
      <c r="Q8" s="11"/>
      <c r="R8" s="11"/>
      <c r="S8" s="11"/>
      <c r="U8" s="11" t="e" cm="1" vm="1">
        <f t="array" aca="1" ref="U8" ca="1">TRANSPOSE(OFFSET(lists_prm,,,COUNTA(lists_prm)))</f>
        <v>#VALUE!</v>
      </c>
      <c r="V8" s="11"/>
      <c r="W8" s="11"/>
      <c r="X8" s="11"/>
      <c r="Z8" s="11" t="s">
        <v>349</v>
      </c>
      <c r="AB8" s="6" t="s">
        <v>539</v>
      </c>
      <c r="AD8" s="6" t="s">
        <v>417</v>
      </c>
      <c r="AE8" s="6" t="s">
        <v>418</v>
      </c>
      <c r="AG8" s="6" t="s">
        <v>400</v>
      </c>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M8" s="6" t="s">
        <v>419</v>
      </c>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6"/>
      <c r="CS8" s="6" t="s">
        <v>401</v>
      </c>
      <c r="CT8" s="6"/>
      <c r="CU8" s="6"/>
      <c r="CV8" s="6"/>
      <c r="CW8" s="6"/>
      <c r="CX8" s="6"/>
      <c r="CY8" s="6"/>
      <c r="CZ8" s="6"/>
      <c r="DA8" s="6"/>
      <c r="DB8" s="6"/>
      <c r="DC8" s="6"/>
      <c r="DD8" s="6"/>
      <c r="DE8" s="6"/>
      <c r="DF8" s="6"/>
      <c r="DG8" s="6"/>
      <c r="DH8" s="6"/>
      <c r="DI8" s="6"/>
      <c r="DJ8" s="6"/>
      <c r="DK8" s="6"/>
      <c r="DL8" s="6"/>
      <c r="DM8" s="6"/>
      <c r="DN8" s="6"/>
      <c r="DO8" s="6"/>
      <c r="DP8" s="6"/>
      <c r="DQ8" s="6"/>
      <c r="DR8" s="6"/>
      <c r="DS8" s="6"/>
      <c r="DT8" s="6"/>
      <c r="DU8" s="6"/>
      <c r="DV8" s="6"/>
      <c r="DW8" s="6"/>
      <c r="DY8" s="6" t="s">
        <v>403</v>
      </c>
      <c r="DZ8" s="6"/>
      <c r="EA8" s="6"/>
      <c r="EB8" s="6"/>
      <c r="EC8" s="6"/>
      <c r="ED8" s="6"/>
      <c r="EE8" s="6"/>
      <c r="EF8" s="6"/>
      <c r="EG8" s="6"/>
      <c r="EH8" s="6"/>
      <c r="EI8" s="6"/>
      <c r="EJ8" s="6"/>
      <c r="EK8" s="6"/>
      <c r="EL8" s="6"/>
      <c r="EM8" s="6"/>
      <c r="EN8" s="6"/>
      <c r="EO8" s="6"/>
      <c r="EP8" s="6"/>
      <c r="EQ8" s="6"/>
      <c r="ER8" s="6"/>
      <c r="ES8" s="6"/>
      <c r="ET8" s="6"/>
      <c r="EU8" s="6"/>
      <c r="EV8" s="6"/>
      <c r="EW8" s="6"/>
      <c r="EX8" s="6"/>
      <c r="EY8" s="6"/>
      <c r="EZ8" s="6"/>
      <c r="FA8" s="6"/>
      <c r="FB8" s="6"/>
      <c r="FC8" s="6"/>
      <c r="FE8" s="6" t="s">
        <v>523</v>
      </c>
      <c r="FF8" s="6"/>
      <c r="FG8" s="6"/>
      <c r="FH8" s="6"/>
      <c r="FI8" s="6"/>
      <c r="FJ8" s="6"/>
      <c r="FK8" s="6"/>
      <c r="FL8" s="6"/>
      <c r="FM8" s="6"/>
      <c r="FN8" s="6"/>
      <c r="FO8" s="6"/>
      <c r="FP8" s="6"/>
      <c r="FQ8" s="6"/>
      <c r="FR8" s="6"/>
      <c r="FS8" s="6"/>
      <c r="FT8" s="6"/>
      <c r="FU8" s="6"/>
      <c r="FV8" s="6"/>
      <c r="FW8" s="6"/>
      <c r="FX8" s="6"/>
      <c r="FY8" s="6"/>
      <c r="FZ8" s="6"/>
      <c r="GA8" s="6"/>
      <c r="GB8" s="6"/>
      <c r="GC8" s="6"/>
      <c r="GD8" s="6"/>
      <c r="GE8" s="6"/>
      <c r="GF8" s="6"/>
      <c r="GG8" s="6"/>
      <c r="GH8" s="6"/>
      <c r="GI8" s="6"/>
      <c r="GK8" s="6" t="s">
        <v>420</v>
      </c>
      <c r="GL8" s="6"/>
      <c r="GM8" s="6"/>
      <c r="GN8" s="6"/>
      <c r="GO8" s="6"/>
      <c r="GP8" s="6"/>
      <c r="GQ8" s="6"/>
      <c r="GR8" s="6"/>
      <c r="GS8" s="6"/>
      <c r="GT8" s="6"/>
      <c r="GU8" s="6"/>
      <c r="GV8" s="6"/>
      <c r="GW8" s="6"/>
      <c r="GX8" s="6"/>
      <c r="GY8" s="6"/>
      <c r="GZ8" s="6"/>
      <c r="HA8" s="6"/>
      <c r="HB8" s="6"/>
      <c r="HC8" s="6"/>
      <c r="HD8" s="6"/>
      <c r="HE8" s="6"/>
      <c r="HF8" s="6"/>
      <c r="HG8" s="6"/>
      <c r="HH8" s="6"/>
      <c r="HI8" s="6"/>
      <c r="HJ8" s="6"/>
      <c r="HK8" s="6"/>
      <c r="HL8" s="6"/>
      <c r="HM8" s="6"/>
      <c r="HN8" s="6"/>
      <c r="HO8" s="6"/>
      <c r="HQ8" s="11" t="s">
        <v>505</v>
      </c>
      <c r="HR8" s="11" t="s">
        <v>878</v>
      </c>
      <c r="HS8" s="11" t="s">
        <v>506</v>
      </c>
      <c r="HT8" s="11" t="s">
        <v>879</v>
      </c>
      <c r="HU8" s="11" t="s">
        <v>507</v>
      </c>
      <c r="HV8" s="11" t="s">
        <v>540</v>
      </c>
      <c r="HW8" s="11" t="s">
        <v>541</v>
      </c>
      <c r="HX8" s="113" t="s">
        <v>542</v>
      </c>
      <c r="HZ8" s="11" t="s">
        <v>524</v>
      </c>
      <c r="IA8" s="11" t="s">
        <v>867</v>
      </c>
      <c r="IB8" s="68" t="s">
        <v>525</v>
      </c>
      <c r="IC8" s="68" t="s">
        <v>868</v>
      </c>
      <c r="ID8" s="68" t="s">
        <v>526</v>
      </c>
      <c r="IE8" s="68" t="s">
        <v>869</v>
      </c>
      <c r="IG8" s="11" t="s">
        <v>527</v>
      </c>
      <c r="IH8" s="11" t="s">
        <v>528</v>
      </c>
      <c r="II8" s="11" t="s">
        <v>529</v>
      </c>
      <c r="IJ8" s="11" t="s">
        <v>530</v>
      </c>
      <c r="IK8" s="11" t="s">
        <v>431</v>
      </c>
      <c r="IL8" s="11" t="s">
        <v>432</v>
      </c>
      <c r="IM8" s="11" t="s">
        <v>863</v>
      </c>
      <c r="IN8" s="11" t="s">
        <v>862</v>
      </c>
      <c r="IP8" s="11" t="s">
        <v>478</v>
      </c>
      <c r="IQ8" s="11" t="s">
        <v>479</v>
      </c>
      <c r="IR8" s="11" t="s">
        <v>881</v>
      </c>
      <c r="IS8" s="11" t="s">
        <v>882</v>
      </c>
      <c r="IT8" s="11" t="s">
        <v>480</v>
      </c>
      <c r="IU8" s="11" t="s">
        <v>481</v>
      </c>
      <c r="IX8" s="11" t="s">
        <v>441</v>
      </c>
      <c r="IY8" s="11" t="s">
        <v>442</v>
      </c>
      <c r="IZ8" s="11" t="s">
        <v>388</v>
      </c>
    </row>
    <row r="9" spans="1:261" s="30" customFormat="1" outlineLevel="1">
      <c r="B9" s="30" t="s">
        <v>235</v>
      </c>
      <c r="F9"/>
      <c r="H9" s="30" t="s">
        <v>444</v>
      </c>
      <c r="J9" s="30" t="s">
        <v>445</v>
      </c>
      <c r="L9" s="30" t="s">
        <v>471</v>
      </c>
      <c r="N9" s="30" t="s">
        <v>447</v>
      </c>
      <c r="O9" s="30" t="s">
        <v>447</v>
      </c>
      <c r="P9" s="30" t="s">
        <v>447</v>
      </c>
      <c r="Q9" s="30" t="s">
        <v>447</v>
      </c>
      <c r="R9" s="30" t="s">
        <v>447</v>
      </c>
      <c r="S9" s="30" t="s">
        <v>447</v>
      </c>
      <c r="U9" s="30" t="s">
        <v>406</v>
      </c>
      <c r="V9" s="30" t="s">
        <v>406</v>
      </c>
      <c r="W9" s="30" t="s">
        <v>406</v>
      </c>
      <c r="X9" s="30" t="s">
        <v>406</v>
      </c>
      <c r="Z9" s="30" t="s">
        <v>510</v>
      </c>
      <c r="AD9" s="30" t="s">
        <v>410</v>
      </c>
      <c r="AE9" s="30" t="s">
        <v>448</v>
      </c>
      <c r="AF9"/>
      <c r="AG9" s="30" t="s">
        <v>408</v>
      </c>
      <c r="AH9" s="30" t="s">
        <v>408</v>
      </c>
      <c r="AI9" s="30" t="s">
        <v>408</v>
      </c>
      <c r="AJ9" s="30" t="s">
        <v>408</v>
      </c>
      <c r="AK9" s="30" t="s">
        <v>408</v>
      </c>
      <c r="AL9" s="30" t="s">
        <v>408</v>
      </c>
      <c r="AM9" s="30" t="s">
        <v>408</v>
      </c>
      <c r="AN9" s="30" t="s">
        <v>408</v>
      </c>
      <c r="AO9" s="30" t="s">
        <v>408</v>
      </c>
      <c r="AP9" s="30" t="s">
        <v>408</v>
      </c>
      <c r="AQ9" s="30" t="s">
        <v>408</v>
      </c>
      <c r="AR9" s="30" t="s">
        <v>408</v>
      </c>
      <c r="AS9" s="30" t="s">
        <v>408</v>
      </c>
      <c r="AT9" s="30" t="s">
        <v>408</v>
      </c>
      <c r="AU9" s="30" t="s">
        <v>408</v>
      </c>
      <c r="AV9" s="30" t="s">
        <v>408</v>
      </c>
      <c r="AW9" s="30" t="s">
        <v>408</v>
      </c>
      <c r="AX9" s="30" t="s">
        <v>408</v>
      </c>
      <c r="AY9" s="30" t="s">
        <v>408</v>
      </c>
      <c r="AZ9" s="30" t="s">
        <v>408</v>
      </c>
      <c r="BA9" s="30" t="s">
        <v>408</v>
      </c>
      <c r="BB9" s="30" t="s">
        <v>408</v>
      </c>
      <c r="BC9" s="30" t="s">
        <v>408</v>
      </c>
      <c r="BD9" s="30" t="s">
        <v>408</v>
      </c>
      <c r="BE9" s="30" t="s">
        <v>408</v>
      </c>
      <c r="BF9" s="30" t="s">
        <v>408</v>
      </c>
      <c r="BG9" s="30" t="s">
        <v>408</v>
      </c>
      <c r="BH9" s="30" t="s">
        <v>408</v>
      </c>
      <c r="BI9" s="30" t="s">
        <v>408</v>
      </c>
      <c r="BJ9" s="30" t="s">
        <v>408</v>
      </c>
      <c r="BK9" s="30" t="s">
        <v>408</v>
      </c>
      <c r="BM9" s="30" t="s">
        <v>449</v>
      </c>
      <c r="BN9" s="30" t="s">
        <v>449</v>
      </c>
      <c r="BO9" s="30" t="s">
        <v>449</v>
      </c>
      <c r="BP9" s="30" t="s">
        <v>449</v>
      </c>
      <c r="BQ9" s="30" t="s">
        <v>449</v>
      </c>
      <c r="BR9" s="30" t="s">
        <v>449</v>
      </c>
      <c r="BS9" s="30" t="s">
        <v>449</v>
      </c>
      <c r="BT9" s="30" t="s">
        <v>449</v>
      </c>
      <c r="BU9" s="30" t="s">
        <v>449</v>
      </c>
      <c r="BV9" s="30" t="s">
        <v>449</v>
      </c>
      <c r="BW9" s="30" t="s">
        <v>449</v>
      </c>
      <c r="BX9" s="30" t="s">
        <v>449</v>
      </c>
      <c r="BY9" s="30" t="s">
        <v>449</v>
      </c>
      <c r="BZ9" s="30" t="s">
        <v>449</v>
      </c>
      <c r="CA9" s="30" t="s">
        <v>449</v>
      </c>
      <c r="CB9" s="30" t="s">
        <v>449</v>
      </c>
      <c r="CC9" s="30" t="s">
        <v>449</v>
      </c>
      <c r="CD9" s="30" t="s">
        <v>449</v>
      </c>
      <c r="CE9" s="30" t="s">
        <v>449</v>
      </c>
      <c r="CF9" s="30" t="s">
        <v>449</v>
      </c>
      <c r="CG9" s="30" t="s">
        <v>449</v>
      </c>
      <c r="CH9" s="30" t="s">
        <v>449</v>
      </c>
      <c r="CI9" s="30" t="s">
        <v>449</v>
      </c>
      <c r="CJ9" s="30" t="s">
        <v>449</v>
      </c>
      <c r="CK9" s="30" t="s">
        <v>449</v>
      </c>
      <c r="CL9" s="30" t="s">
        <v>449</v>
      </c>
      <c r="CM9" s="30" t="s">
        <v>449</v>
      </c>
      <c r="CN9" s="30" t="s">
        <v>449</v>
      </c>
      <c r="CO9" s="30" t="s">
        <v>449</v>
      </c>
      <c r="CP9" s="30" t="s">
        <v>449</v>
      </c>
      <c r="CQ9" s="30" t="s">
        <v>449</v>
      </c>
      <c r="CS9" s="30" t="s">
        <v>409</v>
      </c>
      <c r="CT9" s="30" t="s">
        <v>409</v>
      </c>
      <c r="CU9" s="30" t="s">
        <v>409</v>
      </c>
      <c r="CV9" s="30" t="s">
        <v>409</v>
      </c>
      <c r="CW9" s="30" t="s">
        <v>409</v>
      </c>
      <c r="CX9" s="30" t="s">
        <v>409</v>
      </c>
      <c r="CY9" s="30" t="s">
        <v>409</v>
      </c>
      <c r="CZ9" s="30" t="s">
        <v>409</v>
      </c>
      <c r="DA9" s="30" t="s">
        <v>409</v>
      </c>
      <c r="DB9" s="30" t="s">
        <v>409</v>
      </c>
      <c r="DC9" s="30" t="s">
        <v>409</v>
      </c>
      <c r="DD9" s="30" t="s">
        <v>409</v>
      </c>
      <c r="DE9" s="30" t="s">
        <v>409</v>
      </c>
      <c r="DF9" s="30" t="s">
        <v>409</v>
      </c>
      <c r="DG9" s="30" t="s">
        <v>409</v>
      </c>
      <c r="DH9" s="30" t="s">
        <v>409</v>
      </c>
      <c r="DI9" s="30" t="s">
        <v>409</v>
      </c>
      <c r="DJ9" s="30" t="s">
        <v>409</v>
      </c>
      <c r="DK9" s="30" t="s">
        <v>409</v>
      </c>
      <c r="DL9" s="30" t="s">
        <v>409</v>
      </c>
      <c r="DM9" s="30" t="s">
        <v>409</v>
      </c>
      <c r="DN9" s="30" t="s">
        <v>409</v>
      </c>
      <c r="DO9" s="30" t="s">
        <v>409</v>
      </c>
      <c r="DP9" s="30" t="s">
        <v>409</v>
      </c>
      <c r="DQ9" s="30" t="s">
        <v>409</v>
      </c>
      <c r="DR9" s="30" t="s">
        <v>409</v>
      </c>
      <c r="DS9" s="30" t="s">
        <v>409</v>
      </c>
      <c r="DT9" s="30" t="s">
        <v>409</v>
      </c>
      <c r="DU9" s="30" t="s">
        <v>409</v>
      </c>
      <c r="DV9" s="30" t="s">
        <v>409</v>
      </c>
      <c r="DW9" s="30" t="s">
        <v>409</v>
      </c>
      <c r="DY9" s="30" t="s">
        <v>411</v>
      </c>
      <c r="DZ9" s="30" t="s">
        <v>411</v>
      </c>
      <c r="EA9" s="30" t="s">
        <v>411</v>
      </c>
      <c r="EB9" s="30" t="s">
        <v>411</v>
      </c>
      <c r="EC9" s="30" t="s">
        <v>411</v>
      </c>
      <c r="ED9" s="30" t="s">
        <v>411</v>
      </c>
      <c r="EE9" s="30" t="s">
        <v>411</v>
      </c>
      <c r="EF9" s="30" t="s">
        <v>411</v>
      </c>
      <c r="EG9" s="30" t="s">
        <v>411</v>
      </c>
      <c r="EH9" s="30" t="s">
        <v>411</v>
      </c>
      <c r="EI9" s="30" t="s">
        <v>411</v>
      </c>
      <c r="EJ9" s="30" t="s">
        <v>411</v>
      </c>
      <c r="EK9" s="30" t="s">
        <v>411</v>
      </c>
      <c r="EL9" s="30" t="s">
        <v>411</v>
      </c>
      <c r="EM9" s="30" t="s">
        <v>411</v>
      </c>
      <c r="EN9" s="30" t="s">
        <v>411</v>
      </c>
      <c r="EO9" s="30" t="s">
        <v>411</v>
      </c>
      <c r="EP9" s="30" t="s">
        <v>411</v>
      </c>
      <c r="EQ9" s="30" t="s">
        <v>411</v>
      </c>
      <c r="ER9" s="30" t="s">
        <v>411</v>
      </c>
      <c r="ES9" s="30" t="s">
        <v>411</v>
      </c>
      <c r="ET9" s="30" t="s">
        <v>411</v>
      </c>
      <c r="EU9" s="30" t="s">
        <v>411</v>
      </c>
      <c r="EV9" s="30" t="s">
        <v>411</v>
      </c>
      <c r="EW9" s="30" t="s">
        <v>411</v>
      </c>
      <c r="EX9" s="30" t="s">
        <v>411</v>
      </c>
      <c r="EY9" s="30" t="s">
        <v>411</v>
      </c>
      <c r="EZ9" s="30" t="s">
        <v>411</v>
      </c>
      <c r="FA9" s="30" t="s">
        <v>411</v>
      </c>
      <c r="FB9" s="30" t="s">
        <v>411</v>
      </c>
      <c r="FC9" s="30" t="s">
        <v>411</v>
      </c>
      <c r="FE9" s="30" t="s">
        <v>451</v>
      </c>
      <c r="FF9" s="30" t="s">
        <v>451</v>
      </c>
      <c r="FG9" s="30" t="s">
        <v>451</v>
      </c>
      <c r="FH9" s="30" t="s">
        <v>451</v>
      </c>
      <c r="FI9" s="30" t="s">
        <v>451</v>
      </c>
      <c r="FJ9" s="30" t="s">
        <v>451</v>
      </c>
      <c r="FK9" s="30" t="s">
        <v>451</v>
      </c>
      <c r="FL9" s="30" t="s">
        <v>451</v>
      </c>
      <c r="FM9" s="30" t="s">
        <v>451</v>
      </c>
      <c r="FN9" s="30" t="s">
        <v>451</v>
      </c>
      <c r="FO9" s="30" t="s">
        <v>451</v>
      </c>
      <c r="FP9" s="30" t="s">
        <v>451</v>
      </c>
      <c r="FQ9" s="30" t="s">
        <v>451</v>
      </c>
      <c r="FR9" s="30" t="s">
        <v>451</v>
      </c>
      <c r="FS9" s="30" t="s">
        <v>451</v>
      </c>
      <c r="FT9" s="30" t="s">
        <v>451</v>
      </c>
      <c r="FU9" s="30" t="s">
        <v>451</v>
      </c>
      <c r="FV9" s="30" t="s">
        <v>451</v>
      </c>
      <c r="FW9" s="30" t="s">
        <v>451</v>
      </c>
      <c r="FX9" s="30" t="s">
        <v>451</v>
      </c>
      <c r="FY9" s="30" t="s">
        <v>451</v>
      </c>
      <c r="FZ9" s="30" t="s">
        <v>451</v>
      </c>
      <c r="GA9" s="30" t="s">
        <v>451</v>
      </c>
      <c r="GB9" s="30" t="s">
        <v>451</v>
      </c>
      <c r="GC9" s="30" t="s">
        <v>451</v>
      </c>
      <c r="GD9" s="30" t="s">
        <v>451</v>
      </c>
      <c r="GE9" s="30" t="s">
        <v>451</v>
      </c>
      <c r="GF9" s="30" t="s">
        <v>451</v>
      </c>
      <c r="GG9" s="30" t="s">
        <v>451</v>
      </c>
      <c r="GH9" s="30" t="s">
        <v>451</v>
      </c>
      <c r="GI9" s="30" t="s">
        <v>451</v>
      </c>
      <c r="GK9" s="30" t="s">
        <v>450</v>
      </c>
      <c r="GL9" s="30" t="s">
        <v>450</v>
      </c>
      <c r="GM9" s="30" t="s">
        <v>450</v>
      </c>
      <c r="GN9" s="30" t="s">
        <v>450</v>
      </c>
      <c r="GO9" s="30" t="s">
        <v>450</v>
      </c>
      <c r="GP9" s="30" t="s">
        <v>450</v>
      </c>
      <c r="GQ9" s="30" t="s">
        <v>450</v>
      </c>
      <c r="GR9" s="30" t="s">
        <v>450</v>
      </c>
      <c r="GS9" s="30" t="s">
        <v>450</v>
      </c>
      <c r="GT9" s="30" t="s">
        <v>450</v>
      </c>
      <c r="GU9" s="30" t="s">
        <v>450</v>
      </c>
      <c r="GV9" s="30" t="s">
        <v>450</v>
      </c>
      <c r="GW9" s="30" t="s">
        <v>450</v>
      </c>
      <c r="GX9" s="30" t="s">
        <v>450</v>
      </c>
      <c r="GY9" s="30" t="s">
        <v>450</v>
      </c>
      <c r="GZ9" s="30" t="s">
        <v>450</v>
      </c>
      <c r="HA9" s="30" t="s">
        <v>450</v>
      </c>
      <c r="HB9" s="30" t="s">
        <v>450</v>
      </c>
      <c r="HC9" s="30" t="s">
        <v>450</v>
      </c>
      <c r="HD9" s="30" t="s">
        <v>450</v>
      </c>
      <c r="HE9" s="30" t="s">
        <v>450</v>
      </c>
      <c r="HF9" s="30" t="s">
        <v>450</v>
      </c>
      <c r="HG9" s="30" t="s">
        <v>450</v>
      </c>
      <c r="HH9" s="30" t="s">
        <v>450</v>
      </c>
      <c r="HI9" s="30" t="s">
        <v>450</v>
      </c>
      <c r="HJ9" s="30" t="s">
        <v>450</v>
      </c>
      <c r="HK9" s="30" t="s">
        <v>450</v>
      </c>
      <c r="HL9" s="30" t="s">
        <v>450</v>
      </c>
      <c r="HM9" s="30" t="s">
        <v>450</v>
      </c>
      <c r="HN9" s="30" t="s">
        <v>450</v>
      </c>
      <c r="HO9" s="30" t="s">
        <v>450</v>
      </c>
      <c r="HQ9" s="30" t="s">
        <v>516</v>
      </c>
      <c r="HR9" s="30" t="s">
        <v>516</v>
      </c>
      <c r="HS9" s="30" t="s">
        <v>517</v>
      </c>
      <c r="HT9" s="30" t="s">
        <v>517</v>
      </c>
      <c r="HU9" s="30" t="s">
        <v>518</v>
      </c>
      <c r="HV9" s="30" t="s">
        <v>543</v>
      </c>
      <c r="HW9" s="30" t="s">
        <v>544</v>
      </c>
      <c r="HX9" s="30" t="s">
        <v>545</v>
      </c>
      <c r="HZ9" s="30" t="s">
        <v>468</v>
      </c>
      <c r="IA9" s="30" t="s">
        <v>468</v>
      </c>
      <c r="IB9" s="30" t="s">
        <v>493</v>
      </c>
      <c r="IC9" s="30" t="s">
        <v>493</v>
      </c>
      <c r="ID9" s="30" t="s">
        <v>467</v>
      </c>
      <c r="IE9" s="30" t="s">
        <v>467</v>
      </c>
      <c r="IG9" s="30" t="s">
        <v>534</v>
      </c>
      <c r="IH9" s="30" t="s">
        <v>535</v>
      </c>
      <c r="II9" s="30" t="s">
        <v>536</v>
      </c>
      <c r="IJ9" s="30" t="s">
        <v>537</v>
      </c>
      <c r="IK9" s="30" t="s">
        <v>461</v>
      </c>
      <c r="IL9" s="30" t="s">
        <v>462</v>
      </c>
      <c r="IM9" s="30" t="s">
        <v>455</v>
      </c>
      <c r="IN9" s="30" t="s">
        <v>861</v>
      </c>
      <c r="IP9" s="30" t="s">
        <v>494</v>
      </c>
      <c r="IQ9" s="30" t="s">
        <v>494</v>
      </c>
      <c r="IR9" s="30" t="s">
        <v>495</v>
      </c>
      <c r="IS9" s="30" t="s">
        <v>495</v>
      </c>
      <c r="IT9" s="30" t="s">
        <v>496</v>
      </c>
      <c r="IU9" s="30" t="s">
        <v>496</v>
      </c>
      <c r="IX9" s="30" t="s">
        <v>469</v>
      </c>
      <c r="IY9" s="30" t="s">
        <v>470</v>
      </c>
      <c r="IZ9" s="30" t="s">
        <v>391</v>
      </c>
    </row>
    <row r="10" spans="1:261" ht="42">
      <c r="B10" s="6" t="s">
        <v>472</v>
      </c>
      <c r="D10" s="11" t="str">
        <f>"Included in Current System ("&amp;system_name&amp;")"</f>
        <v>Included in Current System (ISONE_toy_system)</v>
      </c>
      <c r="F10" s="11" t="s">
        <v>251</v>
      </c>
      <c r="H10" s="26"/>
      <c r="J10" s="26"/>
      <c r="L10" s="26"/>
      <c r="N10" s="26"/>
      <c r="O10" s="26"/>
      <c r="P10" s="26"/>
      <c r="Q10" s="26"/>
      <c r="R10" s="26"/>
      <c r="S10" s="26"/>
      <c r="U10" s="26"/>
      <c r="V10" s="26"/>
      <c r="W10" s="26"/>
      <c r="X10" s="26"/>
      <c r="Z10" s="26"/>
      <c r="AB10" s="48" t="s">
        <v>277</v>
      </c>
      <c r="AD10" s="26" t="s">
        <v>277</v>
      </c>
      <c r="AE10" s="26" t="s">
        <v>277</v>
      </c>
      <c r="AG10" s="59">
        <f>start_year</f>
        <v>43831</v>
      </c>
      <c r="AH10" s="59">
        <f t="shared" ref="AH10:BK10" si="0">EDATE(AG10,12)</f>
        <v>44197</v>
      </c>
      <c r="AI10" s="59">
        <f t="shared" si="0"/>
        <v>44562</v>
      </c>
      <c r="AJ10" s="59">
        <f t="shared" si="0"/>
        <v>44927</v>
      </c>
      <c r="AK10" s="59">
        <f t="shared" si="0"/>
        <v>45292</v>
      </c>
      <c r="AL10" s="59">
        <f t="shared" si="0"/>
        <v>45658</v>
      </c>
      <c r="AM10" s="59">
        <f t="shared" si="0"/>
        <v>46023</v>
      </c>
      <c r="AN10" s="59">
        <f t="shared" si="0"/>
        <v>46388</v>
      </c>
      <c r="AO10" s="59">
        <f t="shared" si="0"/>
        <v>46753</v>
      </c>
      <c r="AP10" s="59">
        <f t="shared" si="0"/>
        <v>47119</v>
      </c>
      <c r="AQ10" s="59">
        <f t="shared" si="0"/>
        <v>47484</v>
      </c>
      <c r="AR10" s="59">
        <f t="shared" si="0"/>
        <v>47849</v>
      </c>
      <c r="AS10" s="59">
        <f t="shared" si="0"/>
        <v>48214</v>
      </c>
      <c r="AT10" s="59">
        <f t="shared" si="0"/>
        <v>48580</v>
      </c>
      <c r="AU10" s="59">
        <f t="shared" si="0"/>
        <v>48945</v>
      </c>
      <c r="AV10" s="59">
        <f t="shared" si="0"/>
        <v>49310</v>
      </c>
      <c r="AW10" s="59">
        <f t="shared" si="0"/>
        <v>49675</v>
      </c>
      <c r="AX10" s="59">
        <f t="shared" si="0"/>
        <v>50041</v>
      </c>
      <c r="AY10" s="59">
        <f t="shared" si="0"/>
        <v>50406</v>
      </c>
      <c r="AZ10" s="59">
        <f t="shared" si="0"/>
        <v>50771</v>
      </c>
      <c r="BA10" s="59">
        <f t="shared" si="0"/>
        <v>51136</v>
      </c>
      <c r="BB10" s="59">
        <f t="shared" si="0"/>
        <v>51502</v>
      </c>
      <c r="BC10" s="59">
        <f t="shared" si="0"/>
        <v>51867</v>
      </c>
      <c r="BD10" s="59">
        <f t="shared" si="0"/>
        <v>52232</v>
      </c>
      <c r="BE10" s="59">
        <f t="shared" si="0"/>
        <v>52597</v>
      </c>
      <c r="BF10" s="59">
        <f t="shared" si="0"/>
        <v>52963</v>
      </c>
      <c r="BG10" s="59">
        <f t="shared" si="0"/>
        <v>53328</v>
      </c>
      <c r="BH10" s="59">
        <f t="shared" si="0"/>
        <v>53693</v>
      </c>
      <c r="BI10" s="59">
        <f t="shared" si="0"/>
        <v>54058</v>
      </c>
      <c r="BJ10" s="59">
        <f t="shared" si="0"/>
        <v>54424</v>
      </c>
      <c r="BK10" s="59">
        <f t="shared" si="0"/>
        <v>54789</v>
      </c>
      <c r="BM10" s="59">
        <f>start_year</f>
        <v>43831</v>
      </c>
      <c r="BN10" s="59">
        <f t="shared" ref="BN10:CQ10" si="1">EDATE(BM10,12)</f>
        <v>44197</v>
      </c>
      <c r="BO10" s="59">
        <f t="shared" si="1"/>
        <v>44562</v>
      </c>
      <c r="BP10" s="59">
        <f t="shared" si="1"/>
        <v>44927</v>
      </c>
      <c r="BQ10" s="59">
        <f t="shared" si="1"/>
        <v>45292</v>
      </c>
      <c r="BR10" s="59">
        <f t="shared" si="1"/>
        <v>45658</v>
      </c>
      <c r="BS10" s="59">
        <f t="shared" si="1"/>
        <v>46023</v>
      </c>
      <c r="BT10" s="59">
        <f t="shared" si="1"/>
        <v>46388</v>
      </c>
      <c r="BU10" s="59">
        <f t="shared" si="1"/>
        <v>46753</v>
      </c>
      <c r="BV10" s="59">
        <f t="shared" si="1"/>
        <v>47119</v>
      </c>
      <c r="BW10" s="59">
        <f t="shared" si="1"/>
        <v>47484</v>
      </c>
      <c r="BX10" s="59">
        <f t="shared" si="1"/>
        <v>47849</v>
      </c>
      <c r="BY10" s="59">
        <f t="shared" si="1"/>
        <v>48214</v>
      </c>
      <c r="BZ10" s="59">
        <f t="shared" si="1"/>
        <v>48580</v>
      </c>
      <c r="CA10" s="59">
        <f t="shared" si="1"/>
        <v>48945</v>
      </c>
      <c r="CB10" s="59">
        <f t="shared" si="1"/>
        <v>49310</v>
      </c>
      <c r="CC10" s="59">
        <f t="shared" si="1"/>
        <v>49675</v>
      </c>
      <c r="CD10" s="59">
        <f t="shared" si="1"/>
        <v>50041</v>
      </c>
      <c r="CE10" s="59">
        <f t="shared" si="1"/>
        <v>50406</v>
      </c>
      <c r="CF10" s="59">
        <f t="shared" si="1"/>
        <v>50771</v>
      </c>
      <c r="CG10" s="59">
        <f t="shared" si="1"/>
        <v>51136</v>
      </c>
      <c r="CH10" s="59">
        <f t="shared" si="1"/>
        <v>51502</v>
      </c>
      <c r="CI10" s="59">
        <f t="shared" si="1"/>
        <v>51867</v>
      </c>
      <c r="CJ10" s="59">
        <f t="shared" si="1"/>
        <v>52232</v>
      </c>
      <c r="CK10" s="59">
        <f t="shared" si="1"/>
        <v>52597</v>
      </c>
      <c r="CL10" s="59">
        <f t="shared" si="1"/>
        <v>52963</v>
      </c>
      <c r="CM10" s="59">
        <f t="shared" si="1"/>
        <v>53328</v>
      </c>
      <c r="CN10" s="59">
        <f t="shared" si="1"/>
        <v>53693</v>
      </c>
      <c r="CO10" s="59">
        <f t="shared" si="1"/>
        <v>54058</v>
      </c>
      <c r="CP10" s="59">
        <f t="shared" si="1"/>
        <v>54424</v>
      </c>
      <c r="CQ10" s="59">
        <f t="shared" si="1"/>
        <v>54789</v>
      </c>
      <c r="CS10" s="59">
        <f>start_year</f>
        <v>43831</v>
      </c>
      <c r="CT10" s="59">
        <f t="shared" ref="CT10:DW10" si="2">EDATE(CS10,12)</f>
        <v>44197</v>
      </c>
      <c r="CU10" s="59">
        <f t="shared" si="2"/>
        <v>44562</v>
      </c>
      <c r="CV10" s="59">
        <f t="shared" si="2"/>
        <v>44927</v>
      </c>
      <c r="CW10" s="59">
        <f t="shared" si="2"/>
        <v>45292</v>
      </c>
      <c r="CX10" s="59">
        <f t="shared" si="2"/>
        <v>45658</v>
      </c>
      <c r="CY10" s="59">
        <f t="shared" si="2"/>
        <v>46023</v>
      </c>
      <c r="CZ10" s="59">
        <f t="shared" si="2"/>
        <v>46388</v>
      </c>
      <c r="DA10" s="59">
        <f t="shared" si="2"/>
        <v>46753</v>
      </c>
      <c r="DB10" s="59">
        <f t="shared" si="2"/>
        <v>47119</v>
      </c>
      <c r="DC10" s="59">
        <f t="shared" si="2"/>
        <v>47484</v>
      </c>
      <c r="DD10" s="59">
        <f t="shared" si="2"/>
        <v>47849</v>
      </c>
      <c r="DE10" s="59">
        <f t="shared" si="2"/>
        <v>48214</v>
      </c>
      <c r="DF10" s="59">
        <f t="shared" si="2"/>
        <v>48580</v>
      </c>
      <c r="DG10" s="59">
        <f t="shared" si="2"/>
        <v>48945</v>
      </c>
      <c r="DH10" s="59">
        <f t="shared" si="2"/>
        <v>49310</v>
      </c>
      <c r="DI10" s="59">
        <f t="shared" si="2"/>
        <v>49675</v>
      </c>
      <c r="DJ10" s="59">
        <f t="shared" si="2"/>
        <v>50041</v>
      </c>
      <c r="DK10" s="59">
        <f t="shared" si="2"/>
        <v>50406</v>
      </c>
      <c r="DL10" s="59">
        <f t="shared" si="2"/>
        <v>50771</v>
      </c>
      <c r="DM10" s="59">
        <f t="shared" si="2"/>
        <v>51136</v>
      </c>
      <c r="DN10" s="59">
        <f t="shared" si="2"/>
        <v>51502</v>
      </c>
      <c r="DO10" s="59">
        <f t="shared" si="2"/>
        <v>51867</v>
      </c>
      <c r="DP10" s="59">
        <f t="shared" si="2"/>
        <v>52232</v>
      </c>
      <c r="DQ10" s="59">
        <f t="shared" si="2"/>
        <v>52597</v>
      </c>
      <c r="DR10" s="59">
        <f t="shared" si="2"/>
        <v>52963</v>
      </c>
      <c r="DS10" s="59">
        <f t="shared" si="2"/>
        <v>53328</v>
      </c>
      <c r="DT10" s="59">
        <f t="shared" si="2"/>
        <v>53693</v>
      </c>
      <c r="DU10" s="59">
        <f t="shared" si="2"/>
        <v>54058</v>
      </c>
      <c r="DV10" s="59">
        <f t="shared" si="2"/>
        <v>54424</v>
      </c>
      <c r="DW10" s="59">
        <f t="shared" si="2"/>
        <v>54789</v>
      </c>
      <c r="DY10" s="59">
        <f>start_year</f>
        <v>43831</v>
      </c>
      <c r="DZ10" s="59">
        <f t="shared" ref="DZ10:FC10" si="3">EDATE(DY10,12)</f>
        <v>44197</v>
      </c>
      <c r="EA10" s="59">
        <f t="shared" si="3"/>
        <v>44562</v>
      </c>
      <c r="EB10" s="59">
        <f t="shared" si="3"/>
        <v>44927</v>
      </c>
      <c r="EC10" s="59">
        <f t="shared" si="3"/>
        <v>45292</v>
      </c>
      <c r="ED10" s="59">
        <f t="shared" si="3"/>
        <v>45658</v>
      </c>
      <c r="EE10" s="59">
        <f t="shared" si="3"/>
        <v>46023</v>
      </c>
      <c r="EF10" s="59">
        <f t="shared" si="3"/>
        <v>46388</v>
      </c>
      <c r="EG10" s="59">
        <f t="shared" si="3"/>
        <v>46753</v>
      </c>
      <c r="EH10" s="59">
        <f t="shared" si="3"/>
        <v>47119</v>
      </c>
      <c r="EI10" s="59">
        <f t="shared" si="3"/>
        <v>47484</v>
      </c>
      <c r="EJ10" s="59">
        <f t="shared" si="3"/>
        <v>47849</v>
      </c>
      <c r="EK10" s="59">
        <f t="shared" si="3"/>
        <v>48214</v>
      </c>
      <c r="EL10" s="59">
        <f t="shared" si="3"/>
        <v>48580</v>
      </c>
      <c r="EM10" s="59">
        <f t="shared" si="3"/>
        <v>48945</v>
      </c>
      <c r="EN10" s="59">
        <f t="shared" si="3"/>
        <v>49310</v>
      </c>
      <c r="EO10" s="59">
        <f t="shared" si="3"/>
        <v>49675</v>
      </c>
      <c r="EP10" s="59">
        <f t="shared" si="3"/>
        <v>50041</v>
      </c>
      <c r="EQ10" s="59">
        <f t="shared" si="3"/>
        <v>50406</v>
      </c>
      <c r="ER10" s="59">
        <f t="shared" si="3"/>
        <v>50771</v>
      </c>
      <c r="ES10" s="59">
        <f t="shared" si="3"/>
        <v>51136</v>
      </c>
      <c r="ET10" s="59">
        <f t="shared" si="3"/>
        <v>51502</v>
      </c>
      <c r="EU10" s="59">
        <f t="shared" si="3"/>
        <v>51867</v>
      </c>
      <c r="EV10" s="59">
        <f t="shared" si="3"/>
        <v>52232</v>
      </c>
      <c r="EW10" s="59">
        <f t="shared" si="3"/>
        <v>52597</v>
      </c>
      <c r="EX10" s="59">
        <f t="shared" si="3"/>
        <v>52963</v>
      </c>
      <c r="EY10" s="59">
        <f t="shared" si="3"/>
        <v>53328</v>
      </c>
      <c r="EZ10" s="59">
        <f t="shared" si="3"/>
        <v>53693</v>
      </c>
      <c r="FA10" s="59">
        <f t="shared" si="3"/>
        <v>54058</v>
      </c>
      <c r="FB10" s="59">
        <f t="shared" si="3"/>
        <v>54424</v>
      </c>
      <c r="FC10" s="59">
        <f t="shared" si="3"/>
        <v>54789</v>
      </c>
      <c r="FE10" s="59">
        <f>start_year</f>
        <v>43831</v>
      </c>
      <c r="FF10" s="59">
        <f t="shared" ref="FF10:GI10" si="4">EDATE(FE10,12)</f>
        <v>44197</v>
      </c>
      <c r="FG10" s="59">
        <f t="shared" si="4"/>
        <v>44562</v>
      </c>
      <c r="FH10" s="59">
        <f t="shared" si="4"/>
        <v>44927</v>
      </c>
      <c r="FI10" s="59">
        <f t="shared" si="4"/>
        <v>45292</v>
      </c>
      <c r="FJ10" s="59">
        <f t="shared" si="4"/>
        <v>45658</v>
      </c>
      <c r="FK10" s="59">
        <f t="shared" si="4"/>
        <v>46023</v>
      </c>
      <c r="FL10" s="59">
        <f t="shared" si="4"/>
        <v>46388</v>
      </c>
      <c r="FM10" s="59">
        <f t="shared" si="4"/>
        <v>46753</v>
      </c>
      <c r="FN10" s="59">
        <f t="shared" si="4"/>
        <v>47119</v>
      </c>
      <c r="FO10" s="59">
        <f t="shared" si="4"/>
        <v>47484</v>
      </c>
      <c r="FP10" s="59">
        <f t="shared" si="4"/>
        <v>47849</v>
      </c>
      <c r="FQ10" s="59">
        <f t="shared" si="4"/>
        <v>48214</v>
      </c>
      <c r="FR10" s="59">
        <f t="shared" si="4"/>
        <v>48580</v>
      </c>
      <c r="FS10" s="59">
        <f t="shared" si="4"/>
        <v>48945</v>
      </c>
      <c r="FT10" s="59">
        <f t="shared" si="4"/>
        <v>49310</v>
      </c>
      <c r="FU10" s="59">
        <f t="shared" si="4"/>
        <v>49675</v>
      </c>
      <c r="FV10" s="59">
        <f t="shared" si="4"/>
        <v>50041</v>
      </c>
      <c r="FW10" s="59">
        <f t="shared" si="4"/>
        <v>50406</v>
      </c>
      <c r="FX10" s="59">
        <f t="shared" si="4"/>
        <v>50771</v>
      </c>
      <c r="FY10" s="59">
        <f t="shared" si="4"/>
        <v>51136</v>
      </c>
      <c r="FZ10" s="59">
        <f t="shared" si="4"/>
        <v>51502</v>
      </c>
      <c r="GA10" s="59">
        <f t="shared" si="4"/>
        <v>51867</v>
      </c>
      <c r="GB10" s="59">
        <f t="shared" si="4"/>
        <v>52232</v>
      </c>
      <c r="GC10" s="59">
        <f t="shared" si="4"/>
        <v>52597</v>
      </c>
      <c r="GD10" s="59">
        <f t="shared" si="4"/>
        <v>52963</v>
      </c>
      <c r="GE10" s="59">
        <f t="shared" si="4"/>
        <v>53328</v>
      </c>
      <c r="GF10" s="59">
        <f t="shared" si="4"/>
        <v>53693</v>
      </c>
      <c r="GG10" s="59">
        <f t="shared" si="4"/>
        <v>54058</v>
      </c>
      <c r="GH10" s="59">
        <f t="shared" si="4"/>
        <v>54424</v>
      </c>
      <c r="GI10" s="59">
        <f t="shared" si="4"/>
        <v>54789</v>
      </c>
      <c r="GK10" s="59">
        <f>start_year</f>
        <v>43831</v>
      </c>
      <c r="GL10" s="59">
        <f t="shared" ref="GL10:HO10" si="5">EDATE(GK10,12)</f>
        <v>44197</v>
      </c>
      <c r="GM10" s="59">
        <f t="shared" si="5"/>
        <v>44562</v>
      </c>
      <c r="GN10" s="59">
        <f t="shared" si="5"/>
        <v>44927</v>
      </c>
      <c r="GO10" s="59">
        <f t="shared" si="5"/>
        <v>45292</v>
      </c>
      <c r="GP10" s="59">
        <f t="shared" si="5"/>
        <v>45658</v>
      </c>
      <c r="GQ10" s="59">
        <f t="shared" si="5"/>
        <v>46023</v>
      </c>
      <c r="GR10" s="59">
        <f t="shared" si="5"/>
        <v>46388</v>
      </c>
      <c r="GS10" s="59">
        <f t="shared" si="5"/>
        <v>46753</v>
      </c>
      <c r="GT10" s="59">
        <f t="shared" si="5"/>
        <v>47119</v>
      </c>
      <c r="GU10" s="59">
        <f t="shared" si="5"/>
        <v>47484</v>
      </c>
      <c r="GV10" s="59">
        <f t="shared" si="5"/>
        <v>47849</v>
      </c>
      <c r="GW10" s="59">
        <f t="shared" si="5"/>
        <v>48214</v>
      </c>
      <c r="GX10" s="59">
        <f t="shared" si="5"/>
        <v>48580</v>
      </c>
      <c r="GY10" s="59">
        <f t="shared" si="5"/>
        <v>48945</v>
      </c>
      <c r="GZ10" s="59">
        <f t="shared" si="5"/>
        <v>49310</v>
      </c>
      <c r="HA10" s="59">
        <f t="shared" si="5"/>
        <v>49675</v>
      </c>
      <c r="HB10" s="59">
        <f t="shared" si="5"/>
        <v>50041</v>
      </c>
      <c r="HC10" s="59">
        <f t="shared" si="5"/>
        <v>50406</v>
      </c>
      <c r="HD10" s="59">
        <f t="shared" si="5"/>
        <v>50771</v>
      </c>
      <c r="HE10" s="59">
        <f t="shared" si="5"/>
        <v>51136</v>
      </c>
      <c r="HF10" s="59">
        <f t="shared" si="5"/>
        <v>51502</v>
      </c>
      <c r="HG10" s="59">
        <f t="shared" si="5"/>
        <v>51867</v>
      </c>
      <c r="HH10" s="59">
        <f t="shared" si="5"/>
        <v>52232</v>
      </c>
      <c r="HI10" s="59">
        <f t="shared" si="5"/>
        <v>52597</v>
      </c>
      <c r="HJ10" s="59">
        <f t="shared" si="5"/>
        <v>52963</v>
      </c>
      <c r="HK10" s="59">
        <f t="shared" si="5"/>
        <v>53328</v>
      </c>
      <c r="HL10" s="59">
        <f t="shared" si="5"/>
        <v>53693</v>
      </c>
      <c r="HM10" s="59">
        <f t="shared" si="5"/>
        <v>54058</v>
      </c>
      <c r="HN10" s="59">
        <f t="shared" si="5"/>
        <v>54424</v>
      </c>
      <c r="HO10" s="59">
        <f t="shared" si="5"/>
        <v>54789</v>
      </c>
      <c r="HQ10" s="86">
        <f>start_year</f>
        <v>43831</v>
      </c>
      <c r="HR10" s="59" t="s">
        <v>277</v>
      </c>
      <c r="HS10" s="86">
        <f>start_year</f>
        <v>43831</v>
      </c>
      <c r="HT10" s="59" t="s">
        <v>277</v>
      </c>
      <c r="HU10" s="59"/>
      <c r="HV10" s="59"/>
      <c r="HW10" s="59"/>
      <c r="HX10" s="59"/>
      <c r="HZ10" s="86">
        <f>start_year</f>
        <v>43831</v>
      </c>
      <c r="IA10" s="86" t="s">
        <v>277</v>
      </c>
      <c r="IB10" s="86">
        <f>start_year</f>
        <v>43831</v>
      </c>
      <c r="IC10" s="86" t="s">
        <v>277</v>
      </c>
      <c r="ID10" s="86">
        <f>start_year</f>
        <v>43831</v>
      </c>
      <c r="IE10" s="86" t="s">
        <v>277</v>
      </c>
      <c r="IG10" s="86"/>
      <c r="IH10" s="86"/>
      <c r="II10" s="86"/>
      <c r="IJ10" s="48"/>
      <c r="IK10" s="48"/>
      <c r="IL10" s="48"/>
      <c r="IM10" s="48"/>
      <c r="IN10" s="48"/>
      <c r="IP10" s="59">
        <f>start_year</f>
        <v>43831</v>
      </c>
      <c r="IQ10" s="26" t="s">
        <v>277</v>
      </c>
      <c r="IR10" s="59">
        <f>start_year</f>
        <v>43831</v>
      </c>
      <c r="IS10" s="26" t="s">
        <v>277</v>
      </c>
      <c r="IT10" s="59">
        <f>start_year</f>
        <v>43831</v>
      </c>
      <c r="IU10" s="26" t="s">
        <v>277</v>
      </c>
      <c r="IX10" s="14"/>
      <c r="IY10" s="40"/>
      <c r="IZ10" s="40"/>
    </row>
    <row r="11" spans="1:261">
      <c r="B11" s="3" t="s">
        <v>236</v>
      </c>
      <c r="D11" s="39" t="b">
        <f t="shared" ref="D11:D35" si="6">IF(ISBLANK($B11),"-/-",COUNTIFS(component_names,$B11,component_types,$B$9)&gt;0)</f>
        <v>1</v>
      </c>
      <c r="F11" s="3"/>
      <c r="H11" s="118" t="s">
        <v>110</v>
      </c>
      <c r="J11" s="118" t="s">
        <v>213</v>
      </c>
      <c r="L11" s="118" t="s">
        <v>216</v>
      </c>
      <c r="N11" s="118"/>
      <c r="O11" s="118"/>
      <c r="P11" s="118"/>
      <c r="Q11" s="118"/>
      <c r="R11" s="118"/>
      <c r="S11" s="118"/>
      <c r="U11" s="118"/>
      <c r="V11" s="118"/>
      <c r="W11" s="118"/>
      <c r="X11" s="118"/>
      <c r="Z11" s="118"/>
      <c r="AB11" s="25"/>
      <c r="AD11" s="19"/>
      <c r="AE11" s="19"/>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c r="BK11" s="25">
        <v>100</v>
      </c>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N11" s="25"/>
      <c r="HO11" s="25"/>
      <c r="HQ11" s="29">
        <v>1</v>
      </c>
      <c r="HR11" s="29"/>
      <c r="HS11" s="29">
        <v>1</v>
      </c>
      <c r="HT11" s="29"/>
      <c r="HU11" s="29"/>
      <c r="HV11" s="42">
        <v>5</v>
      </c>
      <c r="HW11" s="3">
        <v>0</v>
      </c>
      <c r="HX11" s="3" t="s">
        <v>546</v>
      </c>
      <c r="HZ11" s="29">
        <v>1</v>
      </c>
      <c r="IA11" s="29"/>
      <c r="IB11" s="29">
        <v>1</v>
      </c>
      <c r="IC11" s="29"/>
      <c r="ID11" s="3">
        <v>0</v>
      </c>
      <c r="IE11" s="29"/>
      <c r="IG11" s="116">
        <v>5</v>
      </c>
      <c r="IH11" s="117">
        <v>1</v>
      </c>
      <c r="II11" s="117">
        <v>1</v>
      </c>
      <c r="IJ11" s="117">
        <v>10</v>
      </c>
      <c r="IK11" s="3">
        <v>8</v>
      </c>
      <c r="IL11" s="3"/>
      <c r="IM11" s="3"/>
      <c r="IN11" s="19" t="s">
        <v>866</v>
      </c>
      <c r="IP11" s="29"/>
      <c r="IQ11" s="3"/>
      <c r="IR11" s="3"/>
      <c r="IS11" s="3"/>
      <c r="IT11" s="29"/>
      <c r="IU11" s="3"/>
      <c r="IX11" s="35">
        <v>0</v>
      </c>
      <c r="IY11" s="81">
        <v>24</v>
      </c>
      <c r="IZ11" s="81">
        <v>19</v>
      </c>
    </row>
    <row r="12" spans="1:261">
      <c r="B12" s="3"/>
      <c r="D12" s="39" t="str">
        <f t="shared" si="6"/>
        <v>-/-</v>
      </c>
      <c r="F12" s="3"/>
      <c r="H12" s="118"/>
      <c r="J12" s="118"/>
      <c r="L12" s="118"/>
      <c r="N12" s="118"/>
      <c r="O12" s="118"/>
      <c r="P12" s="118"/>
      <c r="Q12" s="118"/>
      <c r="R12" s="118"/>
      <c r="S12" s="118"/>
      <c r="U12" s="118"/>
      <c r="V12" s="118"/>
      <c r="W12" s="118"/>
      <c r="X12" s="118"/>
      <c r="Z12" s="118"/>
      <c r="AB12" s="25"/>
      <c r="AD12" s="19"/>
      <c r="AE12" s="19"/>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c r="BK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B12" s="25"/>
      <c r="FC12" s="25"/>
      <c r="FE12" s="25"/>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N12" s="25"/>
      <c r="HO12" s="25"/>
      <c r="HQ12" s="29"/>
      <c r="HR12" s="29"/>
      <c r="HS12" s="29"/>
      <c r="HT12" s="29"/>
      <c r="HU12" s="29"/>
      <c r="HV12" s="42"/>
      <c r="HW12" s="3"/>
      <c r="HX12" s="3"/>
      <c r="HZ12" s="29"/>
      <c r="IA12" s="29"/>
      <c r="IB12" s="29"/>
      <c r="IC12" s="29"/>
      <c r="ID12" s="3"/>
      <c r="IE12" s="29"/>
      <c r="IG12" s="116"/>
      <c r="IH12" s="117"/>
      <c r="II12" s="117"/>
      <c r="IJ12" s="117"/>
      <c r="IK12" s="3"/>
      <c r="IL12" s="3"/>
      <c r="IM12" s="3"/>
      <c r="IN12" s="19"/>
      <c r="IP12" s="29"/>
      <c r="IQ12" s="3"/>
      <c r="IR12" s="3"/>
      <c r="IS12" s="3"/>
      <c r="IT12" s="29"/>
      <c r="IU12" s="3"/>
      <c r="IX12" s="35"/>
      <c r="IY12" s="81"/>
      <c r="IZ12" s="81"/>
    </row>
    <row r="13" spans="1:261">
      <c r="B13" s="3"/>
      <c r="D13" s="39" t="str">
        <f t="shared" si="6"/>
        <v>-/-</v>
      </c>
      <c r="F13" s="3"/>
      <c r="H13" s="118"/>
      <c r="J13" s="118"/>
      <c r="L13" s="118"/>
      <c r="N13" s="118"/>
      <c r="O13" s="118"/>
      <c r="P13" s="118"/>
      <c r="Q13" s="118"/>
      <c r="R13" s="118"/>
      <c r="S13" s="118"/>
      <c r="U13" s="118"/>
      <c r="V13" s="118"/>
      <c r="W13" s="118"/>
      <c r="X13" s="118"/>
      <c r="Z13" s="118"/>
      <c r="AB13" s="25"/>
      <c r="AD13" s="19"/>
      <c r="AE13" s="19"/>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c r="BK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B13" s="25"/>
      <c r="FC13" s="25"/>
      <c r="FE13" s="25"/>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N13" s="25"/>
      <c r="HO13" s="25"/>
      <c r="HQ13" s="29"/>
      <c r="HR13" s="29"/>
      <c r="HS13" s="29"/>
      <c r="HT13" s="29"/>
      <c r="HU13" s="29"/>
      <c r="HV13" s="42"/>
      <c r="HW13" s="3"/>
      <c r="HX13" s="3"/>
      <c r="HZ13" s="29"/>
      <c r="IA13" s="29"/>
      <c r="IB13" s="29"/>
      <c r="IC13" s="29"/>
      <c r="ID13" s="3"/>
      <c r="IE13" s="29"/>
      <c r="IG13" s="116"/>
      <c r="IH13" s="117"/>
      <c r="II13" s="117"/>
      <c r="IJ13" s="117"/>
      <c r="IK13" s="3"/>
      <c r="IL13" s="3"/>
      <c r="IM13" s="3"/>
      <c r="IN13" s="19"/>
      <c r="IP13" s="29"/>
      <c r="IQ13" s="3"/>
      <c r="IR13" s="3"/>
      <c r="IS13" s="3"/>
      <c r="IT13" s="29"/>
      <c r="IU13" s="3"/>
      <c r="IX13" s="35"/>
      <c r="IY13" s="81"/>
      <c r="IZ13" s="81"/>
    </row>
    <row r="14" spans="1:261">
      <c r="B14" s="3"/>
      <c r="D14" s="39" t="str">
        <f t="shared" si="6"/>
        <v>-/-</v>
      </c>
      <c r="F14" s="3"/>
      <c r="H14" s="118"/>
      <c r="J14" s="118"/>
      <c r="L14" s="118"/>
      <c r="N14" s="118"/>
      <c r="O14" s="118"/>
      <c r="P14" s="118"/>
      <c r="Q14" s="118"/>
      <c r="R14" s="118"/>
      <c r="S14" s="118"/>
      <c r="U14" s="118"/>
      <c r="V14" s="118"/>
      <c r="W14" s="118"/>
      <c r="X14" s="118"/>
      <c r="Z14" s="118"/>
      <c r="AB14" s="25"/>
      <c r="AD14" s="19"/>
      <c r="AE14" s="19"/>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B14" s="25"/>
      <c r="FC14" s="25"/>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N14" s="25"/>
      <c r="HO14" s="25"/>
      <c r="HQ14" s="29"/>
      <c r="HR14" s="29"/>
      <c r="HS14" s="29"/>
      <c r="HT14" s="29"/>
      <c r="HU14" s="29"/>
      <c r="HV14" s="42"/>
      <c r="HW14" s="3"/>
      <c r="HX14" s="3"/>
      <c r="HZ14" s="29"/>
      <c r="IA14" s="29"/>
      <c r="IB14" s="29"/>
      <c r="IC14" s="29"/>
      <c r="ID14" s="3"/>
      <c r="IE14" s="29"/>
      <c r="IG14" s="116"/>
      <c r="IH14" s="117"/>
      <c r="II14" s="117"/>
      <c r="IJ14" s="117"/>
      <c r="IK14" s="3"/>
      <c r="IL14" s="3"/>
      <c r="IM14" s="3"/>
      <c r="IN14" s="19"/>
      <c r="IP14" s="29"/>
      <c r="IQ14" s="3"/>
      <c r="IR14" s="3"/>
      <c r="IS14" s="3"/>
      <c r="IT14" s="29"/>
      <c r="IU14" s="3"/>
      <c r="IX14" s="35"/>
      <c r="IY14" s="81"/>
      <c r="IZ14" s="81"/>
    </row>
    <row r="15" spans="1:261">
      <c r="B15" s="3"/>
      <c r="D15" s="39" t="str">
        <f t="shared" si="6"/>
        <v>-/-</v>
      </c>
      <c r="F15" s="3"/>
      <c r="H15" s="118"/>
      <c r="J15" s="118"/>
      <c r="L15" s="118"/>
      <c r="N15" s="118"/>
      <c r="O15" s="118"/>
      <c r="P15" s="118"/>
      <c r="Q15" s="118"/>
      <c r="R15" s="118"/>
      <c r="S15" s="118"/>
      <c r="U15" s="118"/>
      <c r="V15" s="118"/>
      <c r="W15" s="118"/>
      <c r="X15" s="118"/>
      <c r="Z15" s="118"/>
      <c r="AB15" s="25"/>
      <c r="AD15" s="19"/>
      <c r="AE15" s="19"/>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B15" s="25"/>
      <c r="FC15" s="25"/>
      <c r="FE15" s="25"/>
      <c r="FF15" s="25"/>
      <c r="FG15" s="25"/>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N15" s="25"/>
      <c r="HO15" s="25"/>
      <c r="HQ15" s="29"/>
      <c r="HR15" s="29"/>
      <c r="HS15" s="29"/>
      <c r="HT15" s="29"/>
      <c r="HU15" s="29"/>
      <c r="HV15" s="42"/>
      <c r="HW15" s="3"/>
      <c r="HX15" s="3"/>
      <c r="HZ15" s="29"/>
      <c r="IA15" s="29"/>
      <c r="IB15" s="29"/>
      <c r="IC15" s="29"/>
      <c r="ID15" s="3"/>
      <c r="IE15" s="29"/>
      <c r="IG15" s="116"/>
      <c r="IH15" s="117"/>
      <c r="II15" s="117"/>
      <c r="IJ15" s="117"/>
      <c r="IK15" s="3"/>
      <c r="IL15" s="3"/>
      <c r="IM15" s="3"/>
      <c r="IN15" s="19"/>
      <c r="IP15" s="29"/>
      <c r="IQ15" s="3"/>
      <c r="IR15" s="3"/>
      <c r="IS15" s="3"/>
      <c r="IT15" s="29"/>
      <c r="IU15" s="3"/>
      <c r="IX15" s="35"/>
      <c r="IY15" s="81"/>
      <c r="IZ15" s="81"/>
    </row>
    <row r="16" spans="1:261">
      <c r="B16" s="3"/>
      <c r="D16" s="39" t="str">
        <f t="shared" si="6"/>
        <v>-/-</v>
      </c>
      <c r="F16" s="3"/>
      <c r="H16" s="118"/>
      <c r="J16" s="118"/>
      <c r="L16" s="118"/>
      <c r="N16" s="118"/>
      <c r="O16" s="118"/>
      <c r="P16" s="118"/>
      <c r="Q16" s="118"/>
      <c r="R16" s="118"/>
      <c r="S16" s="118"/>
      <c r="U16" s="118"/>
      <c r="V16" s="118"/>
      <c r="W16" s="118"/>
      <c r="X16" s="118"/>
      <c r="Z16" s="118"/>
      <c r="AB16" s="25"/>
      <c r="AD16" s="19"/>
      <c r="AE16" s="19"/>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c r="BK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E16" s="25"/>
      <c r="FF16" s="25"/>
      <c r="FG16" s="25"/>
      <c r="FH16" s="25"/>
      <c r="FI16" s="25"/>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H16" s="25"/>
      <c r="GI16" s="25"/>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N16" s="25"/>
      <c r="HO16" s="25"/>
      <c r="HQ16" s="29"/>
      <c r="HR16" s="29"/>
      <c r="HS16" s="29"/>
      <c r="HT16" s="29"/>
      <c r="HU16" s="29"/>
      <c r="HV16" s="42"/>
      <c r="HW16" s="3"/>
      <c r="HX16" s="3"/>
      <c r="HZ16" s="29"/>
      <c r="IA16" s="29"/>
      <c r="IB16" s="29"/>
      <c r="IC16" s="29"/>
      <c r="ID16" s="3"/>
      <c r="IE16" s="29"/>
      <c r="IG16" s="116"/>
      <c r="IH16" s="117"/>
      <c r="II16" s="117"/>
      <c r="IJ16" s="117"/>
      <c r="IK16" s="3"/>
      <c r="IL16" s="3"/>
      <c r="IM16" s="3"/>
      <c r="IN16" s="19"/>
      <c r="IP16" s="29"/>
      <c r="IQ16" s="3"/>
      <c r="IR16" s="3"/>
      <c r="IS16" s="3"/>
      <c r="IT16" s="29"/>
      <c r="IU16" s="3"/>
      <c r="IX16" s="35"/>
      <c r="IY16" s="81"/>
      <c r="IZ16" s="81"/>
    </row>
    <row r="17" spans="2:260">
      <c r="B17" s="3"/>
      <c r="D17" s="39" t="str">
        <f t="shared" si="6"/>
        <v>-/-</v>
      </c>
      <c r="F17" s="3"/>
      <c r="H17" s="118"/>
      <c r="J17" s="118"/>
      <c r="L17" s="118"/>
      <c r="N17" s="118"/>
      <c r="O17" s="118"/>
      <c r="P17" s="118"/>
      <c r="Q17" s="118"/>
      <c r="R17" s="118"/>
      <c r="S17" s="118"/>
      <c r="U17" s="118"/>
      <c r="V17" s="118"/>
      <c r="W17" s="118"/>
      <c r="X17" s="118"/>
      <c r="Z17" s="118"/>
      <c r="AB17" s="25"/>
      <c r="AD17" s="19"/>
      <c r="AE17" s="19"/>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c r="BK17" s="25"/>
      <c r="BM17" s="25"/>
      <c r="BN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V17" s="25"/>
      <c r="DW17" s="25"/>
      <c r="DY17" s="25"/>
      <c r="DZ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B17" s="25"/>
      <c r="FC17" s="25"/>
      <c r="FE17" s="25"/>
      <c r="FF17" s="25"/>
      <c r="FG17" s="25"/>
      <c r="FH17" s="25"/>
      <c r="FI17" s="25"/>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H17" s="25"/>
      <c r="GI17" s="25"/>
      <c r="GK17" s="25"/>
      <c r="GL17" s="25"/>
      <c r="GM17" s="25"/>
      <c r="GN17" s="25"/>
      <c r="GO17" s="25"/>
      <c r="GP17" s="25"/>
      <c r="GQ17" s="25"/>
      <c r="GR17" s="25"/>
      <c r="GS17" s="25"/>
      <c r="GT17" s="25"/>
      <c r="GU17" s="25"/>
      <c r="GV17" s="25"/>
      <c r="GW17" s="25"/>
      <c r="GX17" s="25"/>
      <c r="GY17" s="25"/>
      <c r="GZ17" s="25"/>
      <c r="HA17" s="25"/>
      <c r="HB17" s="25"/>
      <c r="HC17" s="25"/>
      <c r="HD17" s="25"/>
      <c r="HE17" s="25"/>
      <c r="HF17" s="25"/>
      <c r="HG17" s="25"/>
      <c r="HH17" s="25"/>
      <c r="HI17" s="25"/>
      <c r="HJ17" s="25"/>
      <c r="HK17" s="25"/>
      <c r="HL17" s="25"/>
      <c r="HM17" s="25"/>
      <c r="HN17" s="25"/>
      <c r="HO17" s="25"/>
      <c r="HQ17" s="29"/>
      <c r="HR17" s="29"/>
      <c r="HS17" s="29"/>
      <c r="HT17" s="29"/>
      <c r="HU17" s="29"/>
      <c r="HV17" s="42"/>
      <c r="HW17" s="3"/>
      <c r="HX17" s="3"/>
      <c r="HZ17" s="29"/>
      <c r="IA17" s="29"/>
      <c r="IB17" s="29"/>
      <c r="IC17" s="29"/>
      <c r="ID17" s="3"/>
      <c r="IE17" s="29"/>
      <c r="IG17" s="116"/>
      <c r="IH17" s="117"/>
      <c r="II17" s="117"/>
      <c r="IJ17" s="117"/>
      <c r="IK17" s="3"/>
      <c r="IL17" s="3"/>
      <c r="IM17" s="3"/>
      <c r="IN17" s="19"/>
      <c r="IP17" s="29"/>
      <c r="IQ17" s="3"/>
      <c r="IR17" s="3"/>
      <c r="IS17" s="3"/>
      <c r="IT17" s="29"/>
      <c r="IU17" s="3"/>
      <c r="IX17" s="35"/>
      <c r="IY17" s="81"/>
      <c r="IZ17" s="81"/>
    </row>
    <row r="18" spans="2:260">
      <c r="B18" s="3"/>
      <c r="D18" s="39" t="str">
        <f t="shared" si="6"/>
        <v>-/-</v>
      </c>
      <c r="F18" s="3"/>
      <c r="H18" s="118"/>
      <c r="J18" s="118"/>
      <c r="L18" s="118"/>
      <c r="N18" s="118"/>
      <c r="O18" s="118"/>
      <c r="P18" s="118"/>
      <c r="Q18" s="118"/>
      <c r="R18" s="118"/>
      <c r="S18" s="118"/>
      <c r="U18" s="118"/>
      <c r="V18" s="118"/>
      <c r="W18" s="118"/>
      <c r="X18" s="118"/>
      <c r="Z18" s="118"/>
      <c r="AB18" s="25"/>
      <c r="AD18" s="19"/>
      <c r="AE18" s="19"/>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Q18" s="29"/>
      <c r="HR18" s="29"/>
      <c r="HS18" s="29"/>
      <c r="HT18" s="29"/>
      <c r="HU18" s="29"/>
      <c r="HV18" s="42"/>
      <c r="HW18" s="3"/>
      <c r="HX18" s="3"/>
      <c r="HZ18" s="29"/>
      <c r="IA18" s="29"/>
      <c r="IB18" s="29"/>
      <c r="IC18" s="29"/>
      <c r="ID18" s="3"/>
      <c r="IE18" s="29"/>
      <c r="IG18" s="116"/>
      <c r="IH18" s="117"/>
      <c r="II18" s="117"/>
      <c r="IJ18" s="117"/>
      <c r="IK18" s="3"/>
      <c r="IL18" s="3"/>
      <c r="IM18" s="3"/>
      <c r="IN18" s="19"/>
      <c r="IP18" s="29"/>
      <c r="IQ18" s="3"/>
      <c r="IR18" s="3"/>
      <c r="IS18" s="3"/>
      <c r="IT18" s="29"/>
      <c r="IU18" s="3"/>
      <c r="IX18" s="35"/>
      <c r="IY18" s="81"/>
      <c r="IZ18" s="81"/>
    </row>
    <row r="19" spans="2:260">
      <c r="B19" s="3"/>
      <c r="D19" s="39" t="str">
        <f t="shared" si="6"/>
        <v>-/-</v>
      </c>
      <c r="F19" s="3"/>
      <c r="H19" s="118"/>
      <c r="J19" s="118"/>
      <c r="L19" s="118"/>
      <c r="N19" s="118"/>
      <c r="O19" s="118"/>
      <c r="P19" s="118"/>
      <c r="Q19" s="118"/>
      <c r="R19" s="118"/>
      <c r="S19" s="118"/>
      <c r="U19" s="118"/>
      <c r="V19" s="118"/>
      <c r="W19" s="118"/>
      <c r="X19" s="118"/>
      <c r="Z19" s="118"/>
      <c r="AB19" s="25"/>
      <c r="AD19" s="19"/>
      <c r="AE19" s="19"/>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M19" s="25"/>
      <c r="BN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S19" s="25"/>
      <c r="CT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V19" s="25"/>
      <c r="DW19" s="25"/>
      <c r="DY19" s="25"/>
      <c r="DZ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B19" s="25"/>
      <c r="FC19" s="25"/>
      <c r="FE19" s="25"/>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K19" s="25"/>
      <c r="GL19" s="25"/>
      <c r="GM19" s="25"/>
      <c r="GN19" s="25"/>
      <c r="GO19" s="25"/>
      <c r="GP19" s="25"/>
      <c r="GQ19" s="25"/>
      <c r="GR19" s="25"/>
      <c r="GS19" s="25"/>
      <c r="GT19" s="25"/>
      <c r="GU19" s="25"/>
      <c r="GV19" s="25"/>
      <c r="GW19" s="25"/>
      <c r="GX19" s="25"/>
      <c r="GY19" s="25"/>
      <c r="GZ19" s="25"/>
      <c r="HA19" s="25"/>
      <c r="HB19" s="25"/>
      <c r="HC19" s="25"/>
      <c r="HD19" s="25"/>
      <c r="HE19" s="25"/>
      <c r="HF19" s="25"/>
      <c r="HG19" s="25"/>
      <c r="HH19" s="25"/>
      <c r="HI19" s="25"/>
      <c r="HJ19" s="25"/>
      <c r="HK19" s="25"/>
      <c r="HL19" s="25"/>
      <c r="HM19" s="25"/>
      <c r="HN19" s="25"/>
      <c r="HO19" s="25"/>
      <c r="HQ19" s="29"/>
      <c r="HR19" s="29"/>
      <c r="HS19" s="29"/>
      <c r="HT19" s="29"/>
      <c r="HU19" s="29"/>
      <c r="HV19" s="42"/>
      <c r="HW19" s="3"/>
      <c r="HX19" s="3"/>
      <c r="HZ19" s="29"/>
      <c r="IA19" s="29"/>
      <c r="IB19" s="29"/>
      <c r="IC19" s="29"/>
      <c r="ID19" s="3"/>
      <c r="IE19" s="29"/>
      <c r="IG19" s="116"/>
      <c r="IH19" s="117"/>
      <c r="II19" s="117"/>
      <c r="IJ19" s="117"/>
      <c r="IK19" s="3"/>
      <c r="IL19" s="3"/>
      <c r="IM19" s="3"/>
      <c r="IN19" s="19"/>
      <c r="IP19" s="29"/>
      <c r="IQ19" s="3"/>
      <c r="IR19" s="3"/>
      <c r="IS19" s="3"/>
      <c r="IT19" s="29"/>
      <c r="IU19" s="3"/>
      <c r="IX19" s="35"/>
      <c r="IY19" s="81"/>
      <c r="IZ19" s="81"/>
    </row>
    <row r="20" spans="2:260">
      <c r="B20" s="3"/>
      <c r="D20" s="39" t="str">
        <f t="shared" si="6"/>
        <v>-/-</v>
      </c>
      <c r="F20" s="3"/>
      <c r="H20" s="118"/>
      <c r="J20" s="118"/>
      <c r="L20" s="118"/>
      <c r="N20" s="118"/>
      <c r="O20" s="118"/>
      <c r="P20" s="118"/>
      <c r="Q20" s="118"/>
      <c r="R20" s="118"/>
      <c r="S20" s="118"/>
      <c r="U20" s="118"/>
      <c r="V20" s="118"/>
      <c r="W20" s="118"/>
      <c r="X20" s="118"/>
      <c r="Z20" s="118"/>
      <c r="AB20" s="25"/>
      <c r="AD20" s="19"/>
      <c r="AE20" s="19"/>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M20" s="25"/>
      <c r="BN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S20" s="25"/>
      <c r="CT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V20" s="25"/>
      <c r="DW20" s="25"/>
      <c r="DY20" s="25"/>
      <c r="DZ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B20" s="25"/>
      <c r="FC20" s="25"/>
      <c r="FE20" s="25"/>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K20" s="25"/>
      <c r="GL20" s="25"/>
      <c r="GM20" s="25"/>
      <c r="GN20" s="25"/>
      <c r="GO20" s="25"/>
      <c r="GP20" s="25"/>
      <c r="GQ20" s="25"/>
      <c r="GR20" s="25"/>
      <c r="GS20" s="25"/>
      <c r="GT20" s="25"/>
      <c r="GU20" s="25"/>
      <c r="GV20" s="25"/>
      <c r="GW20" s="25"/>
      <c r="GX20" s="25"/>
      <c r="GY20" s="25"/>
      <c r="GZ20" s="25"/>
      <c r="HA20" s="25"/>
      <c r="HB20" s="25"/>
      <c r="HC20" s="25"/>
      <c r="HD20" s="25"/>
      <c r="HE20" s="25"/>
      <c r="HF20" s="25"/>
      <c r="HG20" s="25"/>
      <c r="HH20" s="25"/>
      <c r="HI20" s="25"/>
      <c r="HJ20" s="25"/>
      <c r="HK20" s="25"/>
      <c r="HL20" s="25"/>
      <c r="HM20" s="25"/>
      <c r="HN20" s="25"/>
      <c r="HO20" s="25"/>
      <c r="HQ20" s="29"/>
      <c r="HR20" s="29"/>
      <c r="HS20" s="29"/>
      <c r="HT20" s="29"/>
      <c r="HU20" s="29"/>
      <c r="HV20" s="42"/>
      <c r="HW20" s="3"/>
      <c r="HX20" s="3"/>
      <c r="HZ20" s="29"/>
      <c r="IA20" s="29"/>
      <c r="IB20" s="29"/>
      <c r="IC20" s="29"/>
      <c r="ID20" s="3"/>
      <c r="IE20" s="29"/>
      <c r="IG20" s="116"/>
      <c r="IH20" s="117"/>
      <c r="II20" s="117"/>
      <c r="IJ20" s="117"/>
      <c r="IK20" s="3"/>
      <c r="IL20" s="3"/>
      <c r="IM20" s="3"/>
      <c r="IN20" s="19"/>
      <c r="IP20" s="29"/>
      <c r="IQ20" s="3"/>
      <c r="IR20" s="3"/>
      <c r="IS20" s="3"/>
      <c r="IT20" s="29"/>
      <c r="IU20" s="3"/>
      <c r="IX20" s="35"/>
      <c r="IY20" s="81"/>
      <c r="IZ20" s="81"/>
    </row>
    <row r="21" spans="2:260">
      <c r="B21" s="3"/>
      <c r="D21" s="39" t="str">
        <f t="shared" si="6"/>
        <v>-/-</v>
      </c>
      <c r="F21" s="3"/>
      <c r="H21" s="118"/>
      <c r="J21" s="118"/>
      <c r="L21" s="118"/>
      <c r="N21" s="118"/>
      <c r="O21" s="118"/>
      <c r="P21" s="118"/>
      <c r="Q21" s="118"/>
      <c r="R21" s="118"/>
      <c r="S21" s="118"/>
      <c r="U21" s="118"/>
      <c r="V21" s="118"/>
      <c r="W21" s="118"/>
      <c r="X21" s="118"/>
      <c r="Z21" s="118"/>
      <c r="AB21" s="25"/>
      <c r="AD21" s="19"/>
      <c r="AE21" s="19"/>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c r="BK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S21" s="25"/>
      <c r="CT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Y21" s="25"/>
      <c r="DZ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25"/>
      <c r="FB21" s="25"/>
      <c r="FC21" s="25"/>
      <c r="FE21" s="25"/>
      <c r="FF21" s="25"/>
      <c r="FG21" s="25"/>
      <c r="FH21" s="25"/>
      <c r="FI21" s="25"/>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H21" s="25"/>
      <c r="GI21" s="25"/>
      <c r="GK21" s="25"/>
      <c r="GL21" s="25"/>
      <c r="GM21" s="25"/>
      <c r="GN21" s="25"/>
      <c r="GO21" s="25"/>
      <c r="GP21" s="25"/>
      <c r="GQ21" s="25"/>
      <c r="GR21" s="25"/>
      <c r="GS21" s="25"/>
      <c r="GT21" s="25"/>
      <c r="GU21" s="25"/>
      <c r="GV21" s="25"/>
      <c r="GW21" s="25"/>
      <c r="GX21" s="25"/>
      <c r="GY21" s="25"/>
      <c r="GZ21" s="25"/>
      <c r="HA21" s="25"/>
      <c r="HB21" s="25"/>
      <c r="HC21" s="25"/>
      <c r="HD21" s="25"/>
      <c r="HE21" s="25"/>
      <c r="HF21" s="25"/>
      <c r="HG21" s="25"/>
      <c r="HH21" s="25"/>
      <c r="HI21" s="25"/>
      <c r="HJ21" s="25"/>
      <c r="HK21" s="25"/>
      <c r="HL21" s="25"/>
      <c r="HM21" s="25"/>
      <c r="HN21" s="25"/>
      <c r="HO21" s="25"/>
      <c r="HQ21" s="29"/>
      <c r="HR21" s="29"/>
      <c r="HS21" s="29"/>
      <c r="HT21" s="29"/>
      <c r="HU21" s="29"/>
      <c r="HV21" s="42"/>
      <c r="HW21" s="3"/>
      <c r="HX21" s="3"/>
      <c r="HZ21" s="29"/>
      <c r="IA21" s="29"/>
      <c r="IB21" s="29"/>
      <c r="IC21" s="29"/>
      <c r="ID21" s="3"/>
      <c r="IE21" s="29"/>
      <c r="IG21" s="116"/>
      <c r="IH21" s="117"/>
      <c r="II21" s="117"/>
      <c r="IJ21" s="117"/>
      <c r="IK21" s="3"/>
      <c r="IL21" s="3"/>
      <c r="IM21" s="3"/>
      <c r="IN21" s="19"/>
      <c r="IP21" s="29"/>
      <c r="IQ21" s="3"/>
      <c r="IR21" s="3"/>
      <c r="IS21" s="3"/>
      <c r="IT21" s="29"/>
      <c r="IU21" s="3"/>
      <c r="IX21" s="35"/>
      <c r="IY21" s="81"/>
      <c r="IZ21" s="81"/>
    </row>
    <row r="22" spans="2:260">
      <c r="B22" s="3"/>
      <c r="D22" s="39" t="str">
        <f t="shared" si="6"/>
        <v>-/-</v>
      </c>
      <c r="F22" s="3"/>
      <c r="H22" s="118"/>
      <c r="J22" s="118"/>
      <c r="L22" s="118"/>
      <c r="N22" s="118"/>
      <c r="O22" s="118"/>
      <c r="P22" s="118"/>
      <c r="Q22" s="118"/>
      <c r="R22" s="118"/>
      <c r="S22" s="118"/>
      <c r="U22" s="118"/>
      <c r="V22" s="118"/>
      <c r="W22" s="118"/>
      <c r="X22" s="118"/>
      <c r="Z22" s="118"/>
      <c r="AB22" s="25"/>
      <c r="AD22" s="19"/>
      <c r="AE22" s="19"/>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c r="BK22" s="25"/>
      <c r="BM22" s="25"/>
      <c r="BN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S22" s="25"/>
      <c r="CT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V22" s="25"/>
      <c r="DW22" s="25"/>
      <c r="DY22" s="25"/>
      <c r="DZ22" s="25"/>
      <c r="EA22" s="25"/>
      <c r="EB22" s="25"/>
      <c r="EC22" s="25"/>
      <c r="ED22" s="25"/>
      <c r="EE22" s="25"/>
      <c r="EF22" s="25"/>
      <c r="EG22" s="25"/>
      <c r="EH22" s="25"/>
      <c r="EI22" s="25"/>
      <c r="EJ22" s="25"/>
      <c r="EK22" s="25"/>
      <c r="EL22" s="25"/>
      <c r="EM22" s="25"/>
      <c r="EN22" s="25"/>
      <c r="EO22" s="25"/>
      <c r="EP22" s="25"/>
      <c r="EQ22" s="25"/>
      <c r="ER22" s="25"/>
      <c r="ES22" s="25"/>
      <c r="ET22" s="25"/>
      <c r="EU22" s="25"/>
      <c r="EV22" s="25"/>
      <c r="EW22" s="25"/>
      <c r="EX22" s="25"/>
      <c r="EY22" s="25"/>
      <c r="EZ22" s="25"/>
      <c r="FA22" s="25"/>
      <c r="FB22" s="25"/>
      <c r="FC22" s="25"/>
      <c r="FE22" s="25"/>
      <c r="FF22" s="25"/>
      <c r="FG22" s="25"/>
      <c r="FH22" s="25"/>
      <c r="FI22" s="25"/>
      <c r="FJ22" s="25"/>
      <c r="FK22" s="25"/>
      <c r="FL22" s="25"/>
      <c r="FM22" s="25"/>
      <c r="FN22" s="25"/>
      <c r="FO22" s="25"/>
      <c r="FP22" s="25"/>
      <c r="FQ22" s="25"/>
      <c r="FR22" s="25"/>
      <c r="FS22" s="25"/>
      <c r="FT22" s="25"/>
      <c r="FU22" s="25"/>
      <c r="FV22" s="25"/>
      <c r="FW22" s="25"/>
      <c r="FX22" s="25"/>
      <c r="FY22" s="25"/>
      <c r="FZ22" s="25"/>
      <c r="GA22" s="25"/>
      <c r="GB22" s="25"/>
      <c r="GC22" s="25"/>
      <c r="GD22" s="25"/>
      <c r="GE22" s="25"/>
      <c r="GF22" s="25"/>
      <c r="GG22" s="25"/>
      <c r="GH22" s="25"/>
      <c r="GI22" s="25"/>
      <c r="GK22" s="25"/>
      <c r="GL22" s="25"/>
      <c r="GM22" s="25"/>
      <c r="GN22" s="25"/>
      <c r="GO22" s="25"/>
      <c r="GP22" s="25"/>
      <c r="GQ22" s="25"/>
      <c r="GR22" s="25"/>
      <c r="GS22" s="25"/>
      <c r="GT22" s="25"/>
      <c r="GU22" s="25"/>
      <c r="GV22" s="25"/>
      <c r="GW22" s="25"/>
      <c r="GX22" s="25"/>
      <c r="GY22" s="25"/>
      <c r="GZ22" s="25"/>
      <c r="HA22" s="25"/>
      <c r="HB22" s="25"/>
      <c r="HC22" s="25"/>
      <c r="HD22" s="25"/>
      <c r="HE22" s="25"/>
      <c r="HF22" s="25"/>
      <c r="HG22" s="25"/>
      <c r="HH22" s="25"/>
      <c r="HI22" s="25"/>
      <c r="HJ22" s="25"/>
      <c r="HK22" s="25"/>
      <c r="HL22" s="25"/>
      <c r="HM22" s="25"/>
      <c r="HN22" s="25"/>
      <c r="HO22" s="25"/>
      <c r="HQ22" s="29"/>
      <c r="HR22" s="29"/>
      <c r="HS22" s="29"/>
      <c r="HT22" s="29"/>
      <c r="HU22" s="29"/>
      <c r="HV22" s="42"/>
      <c r="HW22" s="3"/>
      <c r="HX22" s="3"/>
      <c r="HZ22" s="29"/>
      <c r="IA22" s="29"/>
      <c r="IB22" s="29"/>
      <c r="IC22" s="29"/>
      <c r="ID22" s="3"/>
      <c r="IE22" s="29"/>
      <c r="IG22" s="116"/>
      <c r="IH22" s="117"/>
      <c r="II22" s="117"/>
      <c r="IJ22" s="117"/>
      <c r="IK22" s="3"/>
      <c r="IL22" s="3"/>
      <c r="IM22" s="3"/>
      <c r="IN22" s="19"/>
      <c r="IP22" s="29"/>
      <c r="IQ22" s="3"/>
      <c r="IR22" s="3"/>
      <c r="IS22" s="3"/>
      <c r="IT22" s="29"/>
      <c r="IU22" s="3"/>
      <c r="IX22" s="35"/>
      <c r="IY22" s="81"/>
      <c r="IZ22" s="81"/>
    </row>
    <row r="23" spans="2:260">
      <c r="B23" s="3"/>
      <c r="D23" s="39" t="str">
        <f t="shared" si="6"/>
        <v>-/-</v>
      </c>
      <c r="F23" s="3"/>
      <c r="H23" s="118"/>
      <c r="J23" s="118"/>
      <c r="L23" s="118"/>
      <c r="N23" s="118"/>
      <c r="O23" s="118"/>
      <c r="P23" s="118"/>
      <c r="Q23" s="118"/>
      <c r="R23" s="118"/>
      <c r="S23" s="118"/>
      <c r="U23" s="118"/>
      <c r="V23" s="118"/>
      <c r="W23" s="118"/>
      <c r="X23" s="118"/>
      <c r="Z23" s="118"/>
      <c r="AB23" s="25"/>
      <c r="AD23" s="19"/>
      <c r="AE23" s="19"/>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c r="BK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S23" s="25"/>
      <c r="CT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Y23" s="25"/>
      <c r="DZ23" s="25"/>
      <c r="EA23" s="25"/>
      <c r="EB23" s="25"/>
      <c r="EC23" s="25"/>
      <c r="ED23" s="25"/>
      <c r="EE23" s="25"/>
      <c r="EF23" s="25"/>
      <c r="EG23" s="25"/>
      <c r="EH23" s="25"/>
      <c r="EI23" s="25"/>
      <c r="EJ23" s="25"/>
      <c r="EK23" s="25"/>
      <c r="EL23" s="25"/>
      <c r="EM23" s="25"/>
      <c r="EN23" s="25"/>
      <c r="EO23" s="25"/>
      <c r="EP23" s="25"/>
      <c r="EQ23" s="25"/>
      <c r="ER23" s="25"/>
      <c r="ES23" s="25"/>
      <c r="ET23" s="25"/>
      <c r="EU23" s="25"/>
      <c r="EV23" s="25"/>
      <c r="EW23" s="25"/>
      <c r="EX23" s="25"/>
      <c r="EY23" s="25"/>
      <c r="EZ23" s="25"/>
      <c r="FA23" s="25"/>
      <c r="FB23" s="25"/>
      <c r="FC23" s="25"/>
      <c r="FE23" s="25"/>
      <c r="FF23" s="25"/>
      <c r="FG23" s="25"/>
      <c r="FH23" s="25"/>
      <c r="FI23" s="25"/>
      <c r="FJ23" s="25"/>
      <c r="FK23" s="25"/>
      <c r="FL23" s="25"/>
      <c r="FM23" s="25"/>
      <c r="FN23" s="25"/>
      <c r="FO23" s="25"/>
      <c r="FP23" s="25"/>
      <c r="FQ23" s="25"/>
      <c r="FR23" s="25"/>
      <c r="FS23" s="25"/>
      <c r="FT23" s="25"/>
      <c r="FU23" s="25"/>
      <c r="FV23" s="25"/>
      <c r="FW23" s="25"/>
      <c r="FX23" s="25"/>
      <c r="FY23" s="25"/>
      <c r="FZ23" s="25"/>
      <c r="GA23" s="25"/>
      <c r="GB23" s="25"/>
      <c r="GC23" s="25"/>
      <c r="GD23" s="25"/>
      <c r="GE23" s="25"/>
      <c r="GF23" s="25"/>
      <c r="GG23" s="25"/>
      <c r="GH23" s="25"/>
      <c r="GI23" s="25"/>
      <c r="GK23" s="25"/>
      <c r="GL23" s="25"/>
      <c r="GM23" s="25"/>
      <c r="GN23" s="25"/>
      <c r="GO23" s="25"/>
      <c r="GP23" s="25"/>
      <c r="GQ23" s="25"/>
      <c r="GR23" s="25"/>
      <c r="GS23" s="25"/>
      <c r="GT23" s="25"/>
      <c r="GU23" s="25"/>
      <c r="GV23" s="25"/>
      <c r="GW23" s="25"/>
      <c r="GX23" s="25"/>
      <c r="GY23" s="25"/>
      <c r="GZ23" s="25"/>
      <c r="HA23" s="25"/>
      <c r="HB23" s="25"/>
      <c r="HC23" s="25"/>
      <c r="HD23" s="25"/>
      <c r="HE23" s="25"/>
      <c r="HF23" s="25"/>
      <c r="HG23" s="25"/>
      <c r="HH23" s="25"/>
      <c r="HI23" s="25"/>
      <c r="HJ23" s="25"/>
      <c r="HK23" s="25"/>
      <c r="HL23" s="25"/>
      <c r="HM23" s="25"/>
      <c r="HN23" s="25"/>
      <c r="HO23" s="25"/>
      <c r="HQ23" s="29"/>
      <c r="HR23" s="29"/>
      <c r="HS23" s="29"/>
      <c r="HT23" s="29"/>
      <c r="HU23" s="29"/>
      <c r="HV23" s="42"/>
      <c r="HW23" s="3"/>
      <c r="HX23" s="3"/>
      <c r="HZ23" s="29"/>
      <c r="IA23" s="29"/>
      <c r="IB23" s="29"/>
      <c r="IC23" s="29"/>
      <c r="ID23" s="3"/>
      <c r="IE23" s="29"/>
      <c r="IG23" s="116"/>
      <c r="IH23" s="117"/>
      <c r="II23" s="117"/>
      <c r="IJ23" s="117"/>
      <c r="IK23" s="3"/>
      <c r="IL23" s="3"/>
      <c r="IM23" s="3"/>
      <c r="IN23" s="19"/>
      <c r="IP23" s="29"/>
      <c r="IQ23" s="3"/>
      <c r="IR23" s="3"/>
      <c r="IS23" s="3"/>
      <c r="IT23" s="29"/>
      <c r="IU23" s="3"/>
      <c r="IX23" s="35"/>
      <c r="IY23" s="81"/>
      <c r="IZ23" s="81"/>
    </row>
    <row r="24" spans="2:260">
      <c r="B24" s="3"/>
      <c r="D24" s="39" t="str">
        <f t="shared" si="6"/>
        <v>-/-</v>
      </c>
      <c r="F24" s="3"/>
      <c r="H24" s="118"/>
      <c r="J24" s="118"/>
      <c r="L24" s="118"/>
      <c r="N24" s="118"/>
      <c r="O24" s="118"/>
      <c r="P24" s="118"/>
      <c r="Q24" s="118"/>
      <c r="R24" s="118"/>
      <c r="S24" s="118"/>
      <c r="U24" s="118"/>
      <c r="V24" s="118"/>
      <c r="W24" s="118"/>
      <c r="X24" s="118"/>
      <c r="Z24" s="118"/>
      <c r="AB24" s="25"/>
      <c r="AD24" s="19"/>
      <c r="AE24" s="19"/>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Q24" s="29"/>
      <c r="HR24" s="29"/>
      <c r="HS24" s="29"/>
      <c r="HT24" s="29"/>
      <c r="HU24" s="29"/>
      <c r="HV24" s="42"/>
      <c r="HW24" s="3"/>
      <c r="HX24" s="3"/>
      <c r="HZ24" s="29"/>
      <c r="IA24" s="29"/>
      <c r="IB24" s="29"/>
      <c r="IC24" s="29"/>
      <c r="ID24" s="3"/>
      <c r="IE24" s="29"/>
      <c r="IG24" s="116"/>
      <c r="IH24" s="117"/>
      <c r="II24" s="117"/>
      <c r="IJ24" s="117"/>
      <c r="IK24" s="3"/>
      <c r="IL24" s="3"/>
      <c r="IM24" s="3"/>
      <c r="IN24" s="19"/>
      <c r="IP24" s="29"/>
      <c r="IQ24" s="3"/>
      <c r="IR24" s="3"/>
      <c r="IS24" s="3"/>
      <c r="IT24" s="29"/>
      <c r="IU24" s="3"/>
      <c r="IX24" s="35"/>
      <c r="IY24" s="81"/>
      <c r="IZ24" s="81"/>
    </row>
    <row r="25" spans="2:260">
      <c r="B25" s="3"/>
      <c r="D25" s="39" t="str">
        <f t="shared" si="6"/>
        <v>-/-</v>
      </c>
      <c r="F25" s="3"/>
      <c r="H25" s="118"/>
      <c r="J25" s="118"/>
      <c r="L25" s="118"/>
      <c r="N25" s="118"/>
      <c r="O25" s="118"/>
      <c r="P25" s="118"/>
      <c r="Q25" s="118"/>
      <c r="R25" s="118"/>
      <c r="S25" s="118"/>
      <c r="U25" s="118"/>
      <c r="V25" s="118"/>
      <c r="W25" s="118"/>
      <c r="X25" s="118"/>
      <c r="Z25" s="118"/>
      <c r="AB25" s="25"/>
      <c r="AD25" s="19"/>
      <c r="AE25" s="19"/>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Y25" s="25"/>
      <c r="DZ25" s="25"/>
      <c r="EA25" s="25"/>
      <c r="EB25" s="25"/>
      <c r="EC25" s="25"/>
      <c r="ED25" s="25"/>
      <c r="EE25" s="25"/>
      <c r="EF25" s="25"/>
      <c r="EG25" s="25"/>
      <c r="EH25" s="25"/>
      <c r="EI25" s="25"/>
      <c r="EJ25" s="25"/>
      <c r="EK25" s="25"/>
      <c r="EL25" s="25"/>
      <c r="EM25" s="25"/>
      <c r="EN25" s="25"/>
      <c r="EO25" s="25"/>
      <c r="EP25" s="25"/>
      <c r="EQ25" s="25"/>
      <c r="ER25" s="25"/>
      <c r="ES25" s="25"/>
      <c r="ET25" s="25"/>
      <c r="EU25" s="25"/>
      <c r="EV25" s="25"/>
      <c r="EW25" s="25"/>
      <c r="EX25" s="25"/>
      <c r="EY25" s="25"/>
      <c r="EZ25" s="25"/>
      <c r="FA25" s="25"/>
      <c r="FB25" s="25"/>
      <c r="FC25" s="25"/>
      <c r="FE25" s="25"/>
      <c r="FF25" s="25"/>
      <c r="FG25" s="25"/>
      <c r="FH25" s="25"/>
      <c r="FI25" s="25"/>
      <c r="FJ25" s="25"/>
      <c r="FK25" s="25"/>
      <c r="FL25" s="25"/>
      <c r="FM25" s="25"/>
      <c r="FN25" s="25"/>
      <c r="FO25" s="25"/>
      <c r="FP25" s="25"/>
      <c r="FQ25" s="25"/>
      <c r="FR25" s="25"/>
      <c r="FS25" s="25"/>
      <c r="FT25" s="25"/>
      <c r="FU25" s="25"/>
      <c r="FV25" s="25"/>
      <c r="FW25" s="25"/>
      <c r="FX25" s="25"/>
      <c r="FY25" s="25"/>
      <c r="FZ25" s="25"/>
      <c r="GA25" s="25"/>
      <c r="GB25" s="25"/>
      <c r="GC25" s="25"/>
      <c r="GD25" s="25"/>
      <c r="GE25" s="25"/>
      <c r="GF25" s="25"/>
      <c r="GG25" s="25"/>
      <c r="GH25" s="25"/>
      <c r="GI25" s="25"/>
      <c r="GK25" s="25"/>
      <c r="GL25" s="25"/>
      <c r="GM25" s="25"/>
      <c r="GN25" s="25"/>
      <c r="GO25" s="25"/>
      <c r="GP25" s="25"/>
      <c r="GQ25" s="25"/>
      <c r="GR25" s="25"/>
      <c r="GS25" s="25"/>
      <c r="GT25" s="25"/>
      <c r="GU25" s="25"/>
      <c r="GV25" s="25"/>
      <c r="GW25" s="25"/>
      <c r="GX25" s="25"/>
      <c r="GY25" s="25"/>
      <c r="GZ25" s="25"/>
      <c r="HA25" s="25"/>
      <c r="HB25" s="25"/>
      <c r="HC25" s="25"/>
      <c r="HD25" s="25"/>
      <c r="HE25" s="25"/>
      <c r="HF25" s="25"/>
      <c r="HG25" s="25"/>
      <c r="HH25" s="25"/>
      <c r="HI25" s="25"/>
      <c r="HJ25" s="25"/>
      <c r="HK25" s="25"/>
      <c r="HL25" s="25"/>
      <c r="HM25" s="25"/>
      <c r="HN25" s="25"/>
      <c r="HO25" s="25"/>
      <c r="HQ25" s="29"/>
      <c r="HR25" s="29"/>
      <c r="HS25" s="29"/>
      <c r="HT25" s="29"/>
      <c r="HU25" s="29"/>
      <c r="HV25" s="42"/>
      <c r="HW25" s="3"/>
      <c r="HX25" s="3"/>
      <c r="HZ25" s="29"/>
      <c r="IA25" s="29"/>
      <c r="IB25" s="29"/>
      <c r="IC25" s="29"/>
      <c r="ID25" s="3"/>
      <c r="IE25" s="29"/>
      <c r="IG25" s="116"/>
      <c r="IH25" s="117"/>
      <c r="II25" s="117"/>
      <c r="IJ25" s="117"/>
      <c r="IK25" s="3"/>
      <c r="IL25" s="3"/>
      <c r="IM25" s="3"/>
      <c r="IN25" s="19"/>
      <c r="IP25" s="29"/>
      <c r="IQ25" s="3"/>
      <c r="IR25" s="3"/>
      <c r="IS25" s="3"/>
      <c r="IT25" s="29"/>
      <c r="IU25" s="3"/>
      <c r="IX25" s="35"/>
      <c r="IY25" s="81"/>
      <c r="IZ25" s="81"/>
    </row>
    <row r="26" spans="2:260">
      <c r="B26" s="3"/>
      <c r="D26" s="39" t="str">
        <f t="shared" si="6"/>
        <v>-/-</v>
      </c>
      <c r="F26" s="3"/>
      <c r="H26" s="118"/>
      <c r="J26" s="118"/>
      <c r="L26" s="118"/>
      <c r="N26" s="118"/>
      <c r="O26" s="118"/>
      <c r="P26" s="118"/>
      <c r="Q26" s="118"/>
      <c r="R26" s="118"/>
      <c r="S26" s="118"/>
      <c r="U26" s="118"/>
      <c r="V26" s="118"/>
      <c r="W26" s="118"/>
      <c r="X26" s="118"/>
      <c r="Z26" s="118"/>
      <c r="AB26" s="25"/>
      <c r="AD26" s="19"/>
      <c r="AE26" s="19"/>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c r="BK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K26" s="25"/>
      <c r="GL26" s="25"/>
      <c r="GM26" s="25"/>
      <c r="GN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N26" s="25"/>
      <c r="HO26" s="25"/>
      <c r="HQ26" s="29"/>
      <c r="HR26" s="29"/>
      <c r="HS26" s="29"/>
      <c r="HT26" s="29"/>
      <c r="HU26" s="29"/>
      <c r="HV26" s="42"/>
      <c r="HW26" s="3"/>
      <c r="HX26" s="3"/>
      <c r="HZ26" s="29"/>
      <c r="IA26" s="29"/>
      <c r="IB26" s="29"/>
      <c r="IC26" s="29"/>
      <c r="ID26" s="3"/>
      <c r="IE26" s="29"/>
      <c r="IG26" s="116"/>
      <c r="IH26" s="117"/>
      <c r="II26" s="117"/>
      <c r="IJ26" s="117"/>
      <c r="IK26" s="3"/>
      <c r="IL26" s="3"/>
      <c r="IM26" s="3"/>
      <c r="IN26" s="19"/>
      <c r="IP26" s="29"/>
      <c r="IQ26" s="3"/>
      <c r="IR26" s="3"/>
      <c r="IS26" s="3"/>
      <c r="IT26" s="29"/>
      <c r="IU26" s="3"/>
      <c r="IX26" s="35"/>
      <c r="IY26" s="81"/>
      <c r="IZ26" s="81"/>
    </row>
    <row r="27" spans="2:260">
      <c r="B27" s="3"/>
      <c r="D27" s="39" t="str">
        <f t="shared" si="6"/>
        <v>-/-</v>
      </c>
      <c r="F27" s="3"/>
      <c r="H27" s="118"/>
      <c r="J27" s="118"/>
      <c r="L27" s="118"/>
      <c r="N27" s="118"/>
      <c r="O27" s="118"/>
      <c r="P27" s="118"/>
      <c r="Q27" s="118"/>
      <c r="R27" s="118"/>
      <c r="S27" s="118"/>
      <c r="U27" s="118"/>
      <c r="V27" s="118"/>
      <c r="W27" s="118"/>
      <c r="X27" s="118"/>
      <c r="Z27" s="118"/>
      <c r="AB27" s="25"/>
      <c r="AD27" s="19"/>
      <c r="AE27" s="19"/>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M27" s="25"/>
      <c r="BN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S27" s="25"/>
      <c r="CT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V27" s="25"/>
      <c r="DW27" s="25"/>
      <c r="DY27" s="25"/>
      <c r="DZ27" s="2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B27" s="25"/>
      <c r="FC27" s="25"/>
      <c r="FE27" s="25"/>
      <c r="FF27" s="25"/>
      <c r="FG27" s="25"/>
      <c r="FH27" s="25"/>
      <c r="FI27" s="25"/>
      <c r="FJ27" s="25"/>
      <c r="FK27" s="25"/>
      <c r="FL27" s="25"/>
      <c r="FM27" s="25"/>
      <c r="FN27" s="25"/>
      <c r="FO27" s="25"/>
      <c r="FP27" s="25"/>
      <c r="FQ27" s="25"/>
      <c r="FR27" s="25"/>
      <c r="FS27" s="25"/>
      <c r="FT27" s="25"/>
      <c r="FU27" s="25"/>
      <c r="FV27" s="25"/>
      <c r="FW27" s="25"/>
      <c r="FX27" s="25"/>
      <c r="FY27" s="25"/>
      <c r="FZ27" s="25"/>
      <c r="GA27" s="25"/>
      <c r="GB27" s="25"/>
      <c r="GC27" s="25"/>
      <c r="GD27" s="25"/>
      <c r="GE27" s="25"/>
      <c r="GF27" s="25"/>
      <c r="GG27" s="25"/>
      <c r="GH27" s="25"/>
      <c r="GI27" s="25"/>
      <c r="GK27" s="25"/>
      <c r="GL27" s="25"/>
      <c r="GM27" s="25"/>
      <c r="GN27" s="25"/>
      <c r="GO27" s="25"/>
      <c r="GP27" s="25"/>
      <c r="GQ27" s="25"/>
      <c r="GR27" s="25"/>
      <c r="GS27" s="25"/>
      <c r="GT27" s="25"/>
      <c r="GU27" s="25"/>
      <c r="GV27" s="25"/>
      <c r="GW27" s="25"/>
      <c r="GX27" s="25"/>
      <c r="GY27" s="25"/>
      <c r="GZ27" s="25"/>
      <c r="HA27" s="25"/>
      <c r="HB27" s="25"/>
      <c r="HC27" s="25"/>
      <c r="HD27" s="25"/>
      <c r="HE27" s="25"/>
      <c r="HF27" s="25"/>
      <c r="HG27" s="25"/>
      <c r="HH27" s="25"/>
      <c r="HI27" s="25"/>
      <c r="HJ27" s="25"/>
      <c r="HK27" s="25"/>
      <c r="HL27" s="25"/>
      <c r="HM27" s="25"/>
      <c r="HN27" s="25"/>
      <c r="HO27" s="25"/>
      <c r="HQ27" s="29"/>
      <c r="HR27" s="29"/>
      <c r="HS27" s="29"/>
      <c r="HT27" s="29"/>
      <c r="HU27" s="29"/>
      <c r="HV27" s="42"/>
      <c r="HW27" s="3"/>
      <c r="HX27" s="3"/>
      <c r="HZ27" s="29"/>
      <c r="IA27" s="29"/>
      <c r="IB27" s="29"/>
      <c r="IC27" s="29"/>
      <c r="ID27" s="3"/>
      <c r="IE27" s="29"/>
      <c r="IG27" s="116"/>
      <c r="IH27" s="117"/>
      <c r="II27" s="117"/>
      <c r="IJ27" s="117"/>
      <c r="IK27" s="3"/>
      <c r="IL27" s="3"/>
      <c r="IM27" s="3"/>
      <c r="IN27" s="19"/>
      <c r="IP27" s="29"/>
      <c r="IQ27" s="3"/>
      <c r="IR27" s="3"/>
      <c r="IS27" s="3"/>
      <c r="IT27" s="29"/>
      <c r="IU27" s="3"/>
      <c r="IX27" s="35"/>
      <c r="IY27" s="81"/>
      <c r="IZ27" s="81"/>
    </row>
    <row r="28" spans="2:260">
      <c r="B28" s="3"/>
      <c r="D28" s="39" t="str">
        <f t="shared" si="6"/>
        <v>-/-</v>
      </c>
      <c r="F28" s="3"/>
      <c r="H28" s="118"/>
      <c r="J28" s="118"/>
      <c r="L28" s="118"/>
      <c r="N28" s="118"/>
      <c r="O28" s="118"/>
      <c r="P28" s="118"/>
      <c r="Q28" s="118"/>
      <c r="R28" s="118"/>
      <c r="S28" s="118"/>
      <c r="U28" s="118"/>
      <c r="V28" s="118"/>
      <c r="W28" s="118"/>
      <c r="X28" s="118"/>
      <c r="Z28" s="118"/>
      <c r="AB28" s="25"/>
      <c r="AD28" s="19"/>
      <c r="AE28" s="19"/>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Y28" s="25"/>
      <c r="DZ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E28" s="25"/>
      <c r="FF28" s="25"/>
      <c r="FG28" s="25"/>
      <c r="FH28" s="25"/>
      <c r="FI28" s="25"/>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H28" s="25"/>
      <c r="GI28" s="25"/>
      <c r="GK28" s="25"/>
      <c r="GL28" s="25"/>
      <c r="GM28" s="25"/>
      <c r="GN28" s="25"/>
      <c r="GO28" s="25"/>
      <c r="GP28" s="25"/>
      <c r="GQ28" s="25"/>
      <c r="GR28" s="25"/>
      <c r="GS28" s="25"/>
      <c r="GT28" s="25"/>
      <c r="GU28" s="25"/>
      <c r="GV28" s="25"/>
      <c r="GW28" s="25"/>
      <c r="GX28" s="25"/>
      <c r="GY28" s="25"/>
      <c r="GZ28" s="25"/>
      <c r="HA28" s="25"/>
      <c r="HB28" s="25"/>
      <c r="HC28" s="25"/>
      <c r="HD28" s="25"/>
      <c r="HE28" s="25"/>
      <c r="HF28" s="25"/>
      <c r="HG28" s="25"/>
      <c r="HH28" s="25"/>
      <c r="HI28" s="25"/>
      <c r="HJ28" s="25"/>
      <c r="HK28" s="25"/>
      <c r="HL28" s="25"/>
      <c r="HM28" s="25"/>
      <c r="HN28" s="25"/>
      <c r="HO28" s="25"/>
      <c r="HQ28" s="29"/>
      <c r="HR28" s="29"/>
      <c r="HS28" s="29"/>
      <c r="HT28" s="29"/>
      <c r="HU28" s="29"/>
      <c r="HV28" s="42"/>
      <c r="HW28" s="3"/>
      <c r="HX28" s="3"/>
      <c r="HZ28" s="29"/>
      <c r="IA28" s="29"/>
      <c r="IB28" s="29"/>
      <c r="IC28" s="29"/>
      <c r="ID28" s="3"/>
      <c r="IE28" s="29"/>
      <c r="IG28" s="116"/>
      <c r="IH28" s="117"/>
      <c r="II28" s="117"/>
      <c r="IJ28" s="117"/>
      <c r="IK28" s="3"/>
      <c r="IL28" s="3"/>
      <c r="IM28" s="3"/>
      <c r="IN28" s="19"/>
      <c r="IP28" s="29"/>
      <c r="IQ28" s="3"/>
      <c r="IR28" s="3"/>
      <c r="IS28" s="3"/>
      <c r="IT28" s="29"/>
      <c r="IU28" s="3"/>
      <c r="IX28" s="35"/>
      <c r="IY28" s="81"/>
      <c r="IZ28" s="81"/>
    </row>
    <row r="29" spans="2:260">
      <c r="B29" s="3"/>
      <c r="D29" s="39" t="str">
        <f t="shared" si="6"/>
        <v>-/-</v>
      </c>
      <c r="F29" s="3"/>
      <c r="H29" s="118"/>
      <c r="J29" s="118"/>
      <c r="L29" s="118"/>
      <c r="N29" s="118"/>
      <c r="O29" s="118"/>
      <c r="P29" s="118"/>
      <c r="Q29" s="118"/>
      <c r="R29" s="118"/>
      <c r="S29" s="118"/>
      <c r="U29" s="118"/>
      <c r="V29" s="118"/>
      <c r="W29" s="118"/>
      <c r="X29" s="118"/>
      <c r="Z29" s="118"/>
      <c r="AB29" s="25"/>
      <c r="AD29" s="19"/>
      <c r="AE29" s="19"/>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c r="BK29" s="25"/>
      <c r="BM29" s="25"/>
      <c r="BN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S29" s="25"/>
      <c r="CT29" s="25"/>
      <c r="CU29" s="25"/>
      <c r="CV29" s="25"/>
      <c r="CW29" s="25"/>
      <c r="CX29" s="25"/>
      <c r="CY29" s="25"/>
      <c r="CZ29" s="25"/>
      <c r="DA29" s="25"/>
      <c r="DB29" s="25"/>
      <c r="DC29" s="25"/>
      <c r="DD29" s="25"/>
      <c r="DE29" s="25"/>
      <c r="DF29" s="25"/>
      <c r="DG29" s="25"/>
      <c r="DH29" s="25"/>
      <c r="DI29" s="25"/>
      <c r="DJ29" s="25"/>
      <c r="DK29" s="25"/>
      <c r="DL29" s="25"/>
      <c r="DM29" s="25"/>
      <c r="DN29" s="25"/>
      <c r="DO29" s="25"/>
      <c r="DP29" s="25"/>
      <c r="DQ29" s="25"/>
      <c r="DR29" s="25"/>
      <c r="DS29" s="25"/>
      <c r="DT29" s="25"/>
      <c r="DU29" s="25"/>
      <c r="DV29" s="25"/>
      <c r="DW29" s="25"/>
      <c r="DY29" s="25"/>
      <c r="DZ29" s="2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B29" s="25"/>
      <c r="FC29" s="25"/>
      <c r="FE29" s="25"/>
      <c r="FF29" s="25"/>
      <c r="FG29" s="25"/>
      <c r="FH29" s="25"/>
      <c r="FI29" s="25"/>
      <c r="FJ29" s="25"/>
      <c r="FK29" s="25"/>
      <c r="FL29" s="25"/>
      <c r="FM29" s="25"/>
      <c r="FN29" s="25"/>
      <c r="FO29" s="25"/>
      <c r="FP29" s="25"/>
      <c r="FQ29" s="25"/>
      <c r="FR29" s="25"/>
      <c r="FS29" s="25"/>
      <c r="FT29" s="25"/>
      <c r="FU29" s="25"/>
      <c r="FV29" s="25"/>
      <c r="FW29" s="25"/>
      <c r="FX29" s="25"/>
      <c r="FY29" s="25"/>
      <c r="FZ29" s="25"/>
      <c r="GA29" s="25"/>
      <c r="GB29" s="25"/>
      <c r="GC29" s="25"/>
      <c r="GD29" s="25"/>
      <c r="GE29" s="25"/>
      <c r="GF29" s="25"/>
      <c r="GG29" s="25"/>
      <c r="GH29" s="25"/>
      <c r="GI29" s="25"/>
      <c r="GK29" s="25"/>
      <c r="GL29" s="25"/>
      <c r="GM29" s="25"/>
      <c r="GN29" s="25"/>
      <c r="GO29" s="25"/>
      <c r="GP29" s="25"/>
      <c r="GQ29" s="25"/>
      <c r="GR29" s="25"/>
      <c r="GS29" s="25"/>
      <c r="GT29" s="25"/>
      <c r="GU29" s="25"/>
      <c r="GV29" s="25"/>
      <c r="GW29" s="25"/>
      <c r="GX29" s="25"/>
      <c r="GY29" s="25"/>
      <c r="GZ29" s="25"/>
      <c r="HA29" s="25"/>
      <c r="HB29" s="25"/>
      <c r="HC29" s="25"/>
      <c r="HD29" s="25"/>
      <c r="HE29" s="25"/>
      <c r="HF29" s="25"/>
      <c r="HG29" s="25"/>
      <c r="HH29" s="25"/>
      <c r="HI29" s="25"/>
      <c r="HJ29" s="25"/>
      <c r="HK29" s="25"/>
      <c r="HL29" s="25"/>
      <c r="HM29" s="25"/>
      <c r="HN29" s="25"/>
      <c r="HO29" s="25"/>
      <c r="HQ29" s="29"/>
      <c r="HR29" s="29"/>
      <c r="HS29" s="29"/>
      <c r="HT29" s="29"/>
      <c r="HU29" s="29"/>
      <c r="HV29" s="42"/>
      <c r="HW29" s="3"/>
      <c r="HX29" s="3"/>
      <c r="HZ29" s="29"/>
      <c r="IA29" s="29"/>
      <c r="IB29" s="29"/>
      <c r="IC29" s="29"/>
      <c r="ID29" s="3"/>
      <c r="IE29" s="29"/>
      <c r="IG29" s="116"/>
      <c r="IH29" s="117"/>
      <c r="II29" s="117"/>
      <c r="IJ29" s="117"/>
      <c r="IK29" s="3"/>
      <c r="IL29" s="3"/>
      <c r="IM29" s="3"/>
      <c r="IN29" s="19"/>
      <c r="IP29" s="29"/>
      <c r="IQ29" s="3"/>
      <c r="IR29" s="3"/>
      <c r="IS29" s="3"/>
      <c r="IT29" s="29"/>
      <c r="IU29" s="3"/>
      <c r="IX29" s="35"/>
      <c r="IY29" s="81"/>
      <c r="IZ29" s="81"/>
    </row>
    <row r="30" spans="2:260">
      <c r="B30" s="3"/>
      <c r="D30" s="39" t="str">
        <f t="shared" si="6"/>
        <v>-/-</v>
      </c>
      <c r="F30" s="3"/>
      <c r="H30" s="118"/>
      <c r="J30" s="118"/>
      <c r="L30" s="118"/>
      <c r="N30" s="118"/>
      <c r="O30" s="118"/>
      <c r="P30" s="118"/>
      <c r="Q30" s="118"/>
      <c r="R30" s="118"/>
      <c r="S30" s="118"/>
      <c r="U30" s="118"/>
      <c r="V30" s="118"/>
      <c r="W30" s="118"/>
      <c r="X30" s="118"/>
      <c r="Z30" s="118"/>
      <c r="AB30" s="25"/>
      <c r="AD30" s="19"/>
      <c r="AE30" s="19"/>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M30" s="25"/>
      <c r="BN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S30" s="25"/>
      <c r="CT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c r="DR30" s="25"/>
      <c r="DS30" s="25"/>
      <c r="DT30" s="25"/>
      <c r="DU30" s="25"/>
      <c r="DV30" s="25"/>
      <c r="DW30" s="25"/>
      <c r="DY30" s="25"/>
      <c r="DZ30" s="25"/>
      <c r="EA30" s="25"/>
      <c r="EB30" s="25"/>
      <c r="EC30" s="25"/>
      <c r="ED30" s="25"/>
      <c r="EE30" s="25"/>
      <c r="EF30" s="25"/>
      <c r="EG30" s="25"/>
      <c r="EH30" s="25"/>
      <c r="EI30" s="25"/>
      <c r="EJ30" s="25"/>
      <c r="EK30" s="25"/>
      <c r="EL30" s="25"/>
      <c r="EM30" s="25"/>
      <c r="EN30" s="25"/>
      <c r="EO30" s="25"/>
      <c r="EP30" s="25"/>
      <c r="EQ30" s="25"/>
      <c r="ER30" s="25"/>
      <c r="ES30" s="25"/>
      <c r="ET30" s="25"/>
      <c r="EU30" s="25"/>
      <c r="EV30" s="25"/>
      <c r="EW30" s="25"/>
      <c r="EX30" s="25"/>
      <c r="EY30" s="25"/>
      <c r="EZ30" s="25"/>
      <c r="FA30" s="25"/>
      <c r="FB30" s="25"/>
      <c r="FC30" s="25"/>
      <c r="FE30" s="25"/>
      <c r="FF30" s="25"/>
      <c r="FG30" s="25"/>
      <c r="FH30" s="25"/>
      <c r="FI30" s="25"/>
      <c r="FJ30" s="25"/>
      <c r="FK30" s="25"/>
      <c r="FL30" s="25"/>
      <c r="FM30" s="25"/>
      <c r="FN30" s="25"/>
      <c r="FO30" s="25"/>
      <c r="FP30" s="25"/>
      <c r="FQ30" s="25"/>
      <c r="FR30" s="25"/>
      <c r="FS30" s="25"/>
      <c r="FT30" s="25"/>
      <c r="FU30" s="25"/>
      <c r="FV30" s="25"/>
      <c r="FW30" s="25"/>
      <c r="FX30" s="25"/>
      <c r="FY30" s="25"/>
      <c r="FZ30" s="25"/>
      <c r="GA30" s="25"/>
      <c r="GB30" s="25"/>
      <c r="GC30" s="25"/>
      <c r="GD30" s="25"/>
      <c r="GE30" s="25"/>
      <c r="GF30" s="25"/>
      <c r="GG30" s="25"/>
      <c r="GH30" s="25"/>
      <c r="GI30" s="25"/>
      <c r="GK30" s="25"/>
      <c r="GL30" s="25"/>
      <c r="GM30" s="25"/>
      <c r="GN30" s="25"/>
      <c r="GO30" s="25"/>
      <c r="GP30" s="25"/>
      <c r="GQ30" s="25"/>
      <c r="GR30" s="25"/>
      <c r="GS30" s="25"/>
      <c r="GT30" s="25"/>
      <c r="GU30" s="25"/>
      <c r="GV30" s="25"/>
      <c r="GW30" s="25"/>
      <c r="GX30" s="25"/>
      <c r="GY30" s="25"/>
      <c r="GZ30" s="25"/>
      <c r="HA30" s="25"/>
      <c r="HB30" s="25"/>
      <c r="HC30" s="25"/>
      <c r="HD30" s="25"/>
      <c r="HE30" s="25"/>
      <c r="HF30" s="25"/>
      <c r="HG30" s="25"/>
      <c r="HH30" s="25"/>
      <c r="HI30" s="25"/>
      <c r="HJ30" s="25"/>
      <c r="HK30" s="25"/>
      <c r="HL30" s="25"/>
      <c r="HM30" s="25"/>
      <c r="HN30" s="25"/>
      <c r="HO30" s="25"/>
      <c r="HQ30" s="29"/>
      <c r="HR30" s="29"/>
      <c r="HS30" s="29"/>
      <c r="HT30" s="29"/>
      <c r="HU30" s="29"/>
      <c r="HV30" s="42"/>
      <c r="HW30" s="3"/>
      <c r="HX30" s="3"/>
      <c r="HZ30" s="29"/>
      <c r="IA30" s="29"/>
      <c r="IB30" s="29"/>
      <c r="IC30" s="29"/>
      <c r="ID30" s="3"/>
      <c r="IE30" s="29"/>
      <c r="IG30" s="116"/>
      <c r="IH30" s="117"/>
      <c r="II30" s="117"/>
      <c r="IJ30" s="117"/>
      <c r="IK30" s="3"/>
      <c r="IL30" s="3"/>
      <c r="IM30" s="3"/>
      <c r="IN30" s="19"/>
      <c r="IP30" s="29"/>
      <c r="IQ30" s="3"/>
      <c r="IR30" s="3"/>
      <c r="IS30" s="3"/>
      <c r="IT30" s="29"/>
      <c r="IU30" s="3"/>
      <c r="IX30" s="35"/>
      <c r="IY30" s="81"/>
      <c r="IZ30" s="81"/>
    </row>
    <row r="31" spans="2:260">
      <c r="B31" s="3"/>
      <c r="D31" s="39" t="str">
        <f t="shared" si="6"/>
        <v>-/-</v>
      </c>
      <c r="F31" s="3"/>
      <c r="H31" s="118"/>
      <c r="J31" s="118"/>
      <c r="L31" s="118"/>
      <c r="N31" s="118"/>
      <c r="O31" s="118"/>
      <c r="P31" s="118"/>
      <c r="Q31" s="118"/>
      <c r="R31" s="118"/>
      <c r="S31" s="118"/>
      <c r="U31" s="118"/>
      <c r="V31" s="118"/>
      <c r="W31" s="118"/>
      <c r="X31" s="118"/>
      <c r="Z31" s="118"/>
      <c r="AB31" s="25"/>
      <c r="AD31" s="19"/>
      <c r="AE31" s="19"/>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c r="BK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c r="DR31" s="25"/>
      <c r="DS31" s="25"/>
      <c r="DT31" s="25"/>
      <c r="DU31" s="25"/>
      <c r="DV31" s="25"/>
      <c r="DW31" s="25"/>
      <c r="DY31" s="25"/>
      <c r="DZ31" s="2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B31" s="25"/>
      <c r="FC31" s="25"/>
      <c r="FE31" s="25"/>
      <c r="FF31" s="25"/>
      <c r="FG31" s="25"/>
      <c r="FH31" s="25"/>
      <c r="FI31" s="25"/>
      <c r="FJ31" s="25"/>
      <c r="FK31" s="25"/>
      <c r="FL31" s="25"/>
      <c r="FM31" s="25"/>
      <c r="FN31" s="25"/>
      <c r="FO31" s="25"/>
      <c r="FP31" s="25"/>
      <c r="FQ31" s="25"/>
      <c r="FR31" s="25"/>
      <c r="FS31" s="25"/>
      <c r="FT31" s="25"/>
      <c r="FU31" s="25"/>
      <c r="FV31" s="25"/>
      <c r="FW31" s="25"/>
      <c r="FX31" s="25"/>
      <c r="FY31" s="25"/>
      <c r="FZ31" s="25"/>
      <c r="GA31" s="25"/>
      <c r="GB31" s="25"/>
      <c r="GC31" s="25"/>
      <c r="GD31" s="25"/>
      <c r="GE31" s="25"/>
      <c r="GF31" s="25"/>
      <c r="GG31" s="25"/>
      <c r="GH31" s="25"/>
      <c r="GI31" s="25"/>
      <c r="GK31" s="25"/>
      <c r="GL31" s="25"/>
      <c r="GM31" s="25"/>
      <c r="GN31" s="25"/>
      <c r="GO31" s="25"/>
      <c r="GP31" s="25"/>
      <c r="GQ31" s="25"/>
      <c r="GR31" s="25"/>
      <c r="GS31" s="25"/>
      <c r="GT31" s="25"/>
      <c r="GU31" s="25"/>
      <c r="GV31" s="25"/>
      <c r="GW31" s="25"/>
      <c r="GX31" s="25"/>
      <c r="GY31" s="25"/>
      <c r="GZ31" s="25"/>
      <c r="HA31" s="25"/>
      <c r="HB31" s="25"/>
      <c r="HC31" s="25"/>
      <c r="HD31" s="25"/>
      <c r="HE31" s="25"/>
      <c r="HF31" s="25"/>
      <c r="HG31" s="25"/>
      <c r="HH31" s="25"/>
      <c r="HI31" s="25"/>
      <c r="HJ31" s="25"/>
      <c r="HK31" s="25"/>
      <c r="HL31" s="25"/>
      <c r="HM31" s="25"/>
      <c r="HN31" s="25"/>
      <c r="HO31" s="25"/>
      <c r="HQ31" s="29"/>
      <c r="HR31" s="29"/>
      <c r="HS31" s="29"/>
      <c r="HT31" s="29"/>
      <c r="HU31" s="29"/>
      <c r="HV31" s="42"/>
      <c r="HW31" s="3"/>
      <c r="HX31" s="3"/>
      <c r="HZ31" s="29"/>
      <c r="IA31" s="29"/>
      <c r="IB31" s="29"/>
      <c r="IC31" s="29"/>
      <c r="ID31" s="3"/>
      <c r="IE31" s="29"/>
      <c r="IG31" s="116"/>
      <c r="IH31" s="117"/>
      <c r="II31" s="117"/>
      <c r="IJ31" s="117"/>
      <c r="IK31" s="3"/>
      <c r="IL31" s="3"/>
      <c r="IM31" s="3"/>
      <c r="IN31" s="19"/>
      <c r="IP31" s="29"/>
      <c r="IQ31" s="3"/>
      <c r="IR31" s="3"/>
      <c r="IS31" s="3"/>
      <c r="IT31" s="29"/>
      <c r="IU31" s="3"/>
      <c r="IX31" s="35"/>
      <c r="IY31" s="81"/>
      <c r="IZ31" s="81"/>
    </row>
    <row r="32" spans="2:260">
      <c r="B32" s="3"/>
      <c r="D32" s="39" t="str">
        <f t="shared" si="6"/>
        <v>-/-</v>
      </c>
      <c r="F32" s="3"/>
      <c r="H32" s="118"/>
      <c r="J32" s="118"/>
      <c r="L32" s="118"/>
      <c r="N32" s="118"/>
      <c r="O32" s="118"/>
      <c r="P32" s="118"/>
      <c r="Q32" s="118"/>
      <c r="R32" s="118"/>
      <c r="S32" s="118"/>
      <c r="U32" s="118"/>
      <c r="V32" s="118"/>
      <c r="W32" s="118"/>
      <c r="X32" s="118"/>
      <c r="Z32" s="118"/>
      <c r="AB32" s="25"/>
      <c r="AD32" s="19"/>
      <c r="AE32" s="19"/>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c r="BK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V32" s="25"/>
      <c r="DW32" s="25"/>
      <c r="DY32" s="25"/>
      <c r="DZ32" s="2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B32" s="25"/>
      <c r="FC32" s="25"/>
      <c r="FE32" s="25"/>
      <c r="FF32" s="25"/>
      <c r="FG32" s="25"/>
      <c r="FH32" s="25"/>
      <c r="FI32" s="25"/>
      <c r="FJ32" s="25"/>
      <c r="FK32" s="25"/>
      <c r="FL32" s="25"/>
      <c r="FM32" s="25"/>
      <c r="FN32" s="25"/>
      <c r="FO32" s="25"/>
      <c r="FP32" s="25"/>
      <c r="FQ32" s="25"/>
      <c r="FR32" s="25"/>
      <c r="FS32" s="25"/>
      <c r="FT32" s="25"/>
      <c r="FU32" s="25"/>
      <c r="FV32" s="25"/>
      <c r="FW32" s="25"/>
      <c r="FX32" s="25"/>
      <c r="FY32" s="25"/>
      <c r="FZ32" s="25"/>
      <c r="GA32" s="25"/>
      <c r="GB32" s="25"/>
      <c r="GC32" s="25"/>
      <c r="GD32" s="25"/>
      <c r="GE32" s="25"/>
      <c r="GF32" s="25"/>
      <c r="GG32" s="25"/>
      <c r="GH32" s="25"/>
      <c r="GI32" s="25"/>
      <c r="GK32" s="25"/>
      <c r="GL32" s="25"/>
      <c r="GM32" s="25"/>
      <c r="GN32" s="25"/>
      <c r="GO32" s="25"/>
      <c r="GP32" s="25"/>
      <c r="GQ32" s="25"/>
      <c r="GR32" s="25"/>
      <c r="GS32" s="25"/>
      <c r="GT32" s="25"/>
      <c r="GU32" s="25"/>
      <c r="GV32" s="25"/>
      <c r="GW32" s="25"/>
      <c r="GX32" s="25"/>
      <c r="GY32" s="25"/>
      <c r="GZ32" s="25"/>
      <c r="HA32" s="25"/>
      <c r="HB32" s="25"/>
      <c r="HC32" s="25"/>
      <c r="HD32" s="25"/>
      <c r="HE32" s="25"/>
      <c r="HF32" s="25"/>
      <c r="HG32" s="25"/>
      <c r="HH32" s="25"/>
      <c r="HI32" s="25"/>
      <c r="HJ32" s="25"/>
      <c r="HK32" s="25"/>
      <c r="HL32" s="25"/>
      <c r="HM32" s="25"/>
      <c r="HN32" s="25"/>
      <c r="HO32" s="25"/>
      <c r="HQ32" s="29"/>
      <c r="HR32" s="29"/>
      <c r="HS32" s="29"/>
      <c r="HT32" s="29"/>
      <c r="HU32" s="29"/>
      <c r="HV32" s="42"/>
      <c r="HW32" s="3"/>
      <c r="HX32" s="3"/>
      <c r="HZ32" s="29"/>
      <c r="IA32" s="29"/>
      <c r="IB32" s="29"/>
      <c r="IC32" s="29"/>
      <c r="ID32" s="3"/>
      <c r="IE32" s="29"/>
      <c r="IG32" s="116"/>
      <c r="IH32" s="117"/>
      <c r="II32" s="117"/>
      <c r="IJ32" s="117"/>
      <c r="IK32" s="3"/>
      <c r="IL32" s="3"/>
      <c r="IM32" s="3"/>
      <c r="IN32" s="19"/>
      <c r="IP32" s="29"/>
      <c r="IQ32" s="3"/>
      <c r="IR32" s="3"/>
      <c r="IS32" s="3"/>
      <c r="IT32" s="29"/>
      <c r="IU32" s="3"/>
      <c r="IX32" s="35"/>
      <c r="IY32" s="81"/>
      <c r="IZ32" s="81"/>
    </row>
    <row r="33" spans="2:260">
      <c r="B33" s="3"/>
      <c r="D33" s="39" t="str">
        <f t="shared" si="6"/>
        <v>-/-</v>
      </c>
      <c r="F33" s="3"/>
      <c r="H33" s="118"/>
      <c r="J33" s="118"/>
      <c r="L33" s="118"/>
      <c r="N33" s="118"/>
      <c r="O33" s="118"/>
      <c r="P33" s="118"/>
      <c r="Q33" s="118"/>
      <c r="R33" s="118"/>
      <c r="S33" s="118"/>
      <c r="U33" s="118"/>
      <c r="V33" s="118"/>
      <c r="W33" s="118"/>
      <c r="X33" s="118"/>
      <c r="Z33" s="118"/>
      <c r="AB33" s="25"/>
      <c r="AD33" s="19"/>
      <c r="AE33" s="19"/>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V33" s="25"/>
      <c r="DW33" s="25"/>
      <c r="DY33" s="25"/>
      <c r="DZ33" s="2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B33" s="25"/>
      <c r="FC33" s="25"/>
      <c r="FE33" s="25"/>
      <c r="FF33" s="25"/>
      <c r="FG33" s="25"/>
      <c r="FH33" s="25"/>
      <c r="FI33" s="25"/>
      <c r="FJ33" s="25"/>
      <c r="FK33" s="25"/>
      <c r="FL33" s="25"/>
      <c r="FM33" s="25"/>
      <c r="FN33" s="25"/>
      <c r="FO33" s="25"/>
      <c r="FP33" s="25"/>
      <c r="FQ33" s="25"/>
      <c r="FR33" s="25"/>
      <c r="FS33" s="25"/>
      <c r="FT33" s="25"/>
      <c r="FU33" s="25"/>
      <c r="FV33" s="25"/>
      <c r="FW33" s="25"/>
      <c r="FX33" s="25"/>
      <c r="FY33" s="25"/>
      <c r="FZ33" s="25"/>
      <c r="GA33" s="25"/>
      <c r="GB33" s="25"/>
      <c r="GC33" s="25"/>
      <c r="GD33" s="25"/>
      <c r="GE33" s="25"/>
      <c r="GF33" s="25"/>
      <c r="GG33" s="25"/>
      <c r="GH33" s="25"/>
      <c r="GI33" s="25"/>
      <c r="GK33" s="25"/>
      <c r="GL33" s="25"/>
      <c r="GM33" s="25"/>
      <c r="GN33" s="25"/>
      <c r="GO33" s="25"/>
      <c r="GP33" s="25"/>
      <c r="GQ33" s="25"/>
      <c r="GR33" s="25"/>
      <c r="GS33" s="25"/>
      <c r="GT33" s="25"/>
      <c r="GU33" s="25"/>
      <c r="GV33" s="25"/>
      <c r="GW33" s="25"/>
      <c r="GX33" s="25"/>
      <c r="GY33" s="25"/>
      <c r="GZ33" s="25"/>
      <c r="HA33" s="25"/>
      <c r="HB33" s="25"/>
      <c r="HC33" s="25"/>
      <c r="HD33" s="25"/>
      <c r="HE33" s="25"/>
      <c r="HF33" s="25"/>
      <c r="HG33" s="25"/>
      <c r="HH33" s="25"/>
      <c r="HI33" s="25"/>
      <c r="HJ33" s="25"/>
      <c r="HK33" s="25"/>
      <c r="HL33" s="25"/>
      <c r="HM33" s="25"/>
      <c r="HN33" s="25"/>
      <c r="HO33" s="25"/>
      <c r="HQ33" s="29"/>
      <c r="HR33" s="29"/>
      <c r="HS33" s="29"/>
      <c r="HT33" s="29"/>
      <c r="HU33" s="29"/>
      <c r="HV33" s="42"/>
      <c r="HW33" s="3"/>
      <c r="HX33" s="3"/>
      <c r="HZ33" s="29"/>
      <c r="IA33" s="29"/>
      <c r="IB33" s="29"/>
      <c r="IC33" s="29"/>
      <c r="ID33" s="3"/>
      <c r="IE33" s="29"/>
      <c r="IG33" s="116"/>
      <c r="IH33" s="117"/>
      <c r="II33" s="117"/>
      <c r="IJ33" s="117"/>
      <c r="IK33" s="3"/>
      <c r="IL33" s="3"/>
      <c r="IM33" s="3"/>
      <c r="IN33" s="19"/>
      <c r="IP33" s="29"/>
      <c r="IQ33" s="3"/>
      <c r="IR33" s="3"/>
      <c r="IS33" s="3"/>
      <c r="IT33" s="29"/>
      <c r="IU33" s="3"/>
      <c r="IX33" s="35"/>
      <c r="IY33" s="81"/>
      <c r="IZ33" s="81"/>
    </row>
    <row r="34" spans="2:260">
      <c r="B34" s="3"/>
      <c r="D34" s="39" t="str">
        <f t="shared" si="6"/>
        <v>-/-</v>
      </c>
      <c r="F34" s="3"/>
      <c r="H34" s="118"/>
      <c r="J34" s="118"/>
      <c r="L34" s="118"/>
      <c r="N34" s="118"/>
      <c r="O34" s="118"/>
      <c r="P34" s="118"/>
      <c r="Q34" s="118"/>
      <c r="R34" s="118"/>
      <c r="S34" s="118"/>
      <c r="U34" s="118"/>
      <c r="V34" s="118"/>
      <c r="W34" s="118"/>
      <c r="X34" s="118"/>
      <c r="Z34" s="118"/>
      <c r="AB34" s="25"/>
      <c r="AD34" s="19"/>
      <c r="AE34" s="19"/>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K34" s="25"/>
      <c r="GL34" s="25"/>
      <c r="GM34" s="25"/>
      <c r="GN34" s="25"/>
      <c r="GO34" s="25"/>
      <c r="GP34" s="25"/>
      <c r="GQ34" s="25"/>
      <c r="GR34" s="25"/>
      <c r="GS34" s="25"/>
      <c r="GT34" s="25"/>
      <c r="GU34" s="25"/>
      <c r="GV34" s="25"/>
      <c r="GW34" s="25"/>
      <c r="GX34" s="25"/>
      <c r="GY34" s="25"/>
      <c r="GZ34" s="25"/>
      <c r="HA34" s="25"/>
      <c r="HB34" s="25"/>
      <c r="HC34" s="25"/>
      <c r="HD34" s="25"/>
      <c r="HE34" s="25"/>
      <c r="HF34" s="25"/>
      <c r="HG34" s="25"/>
      <c r="HH34" s="25"/>
      <c r="HI34" s="25"/>
      <c r="HJ34" s="25"/>
      <c r="HK34" s="25"/>
      <c r="HL34" s="25"/>
      <c r="HM34" s="25"/>
      <c r="HN34" s="25"/>
      <c r="HO34" s="25"/>
      <c r="HQ34" s="29"/>
      <c r="HR34" s="29"/>
      <c r="HS34" s="29"/>
      <c r="HT34" s="29"/>
      <c r="HU34" s="29"/>
      <c r="HV34" s="42"/>
      <c r="HW34" s="3"/>
      <c r="HX34" s="3"/>
      <c r="HZ34" s="29"/>
      <c r="IA34" s="29"/>
      <c r="IB34" s="29"/>
      <c r="IC34" s="29"/>
      <c r="ID34" s="3"/>
      <c r="IE34" s="29"/>
      <c r="IG34" s="116"/>
      <c r="IH34" s="117"/>
      <c r="II34" s="117"/>
      <c r="IJ34" s="117"/>
      <c r="IK34" s="3"/>
      <c r="IL34" s="3"/>
      <c r="IM34" s="3"/>
      <c r="IN34" s="19"/>
      <c r="IP34" s="29"/>
      <c r="IQ34" s="3"/>
      <c r="IR34" s="3"/>
      <c r="IS34" s="3"/>
      <c r="IT34" s="29"/>
      <c r="IU34" s="3"/>
      <c r="IX34" s="35"/>
      <c r="IY34" s="81"/>
      <c r="IZ34" s="81"/>
    </row>
    <row r="35" spans="2:260">
      <c r="B35" s="3"/>
      <c r="D35" s="39" t="str">
        <f t="shared" si="6"/>
        <v>-/-</v>
      </c>
      <c r="F35" s="3"/>
      <c r="H35" s="118"/>
      <c r="J35" s="118"/>
      <c r="L35" s="118"/>
      <c r="N35" s="118"/>
      <c r="O35" s="118"/>
      <c r="P35" s="118"/>
      <c r="Q35" s="118"/>
      <c r="R35" s="118"/>
      <c r="S35" s="118"/>
      <c r="U35" s="118"/>
      <c r="V35" s="118"/>
      <c r="W35" s="118"/>
      <c r="X35" s="118"/>
      <c r="Z35" s="118"/>
      <c r="AB35" s="25"/>
      <c r="AD35" s="19"/>
      <c r="AE35" s="19"/>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S35" s="25"/>
      <c r="CT35" s="25"/>
      <c r="CU35" s="25"/>
      <c r="CV35" s="25"/>
      <c r="CW35" s="25"/>
      <c r="CX35" s="25"/>
      <c r="CY35" s="25"/>
      <c r="CZ35" s="25"/>
      <c r="DA35" s="25"/>
      <c r="DB35" s="25"/>
      <c r="DC35" s="25"/>
      <c r="DD35" s="25"/>
      <c r="DE35" s="25"/>
      <c r="DF35" s="25"/>
      <c r="DG35" s="25"/>
      <c r="DH35" s="25"/>
      <c r="DI35" s="25"/>
      <c r="DJ35" s="25"/>
      <c r="DK35" s="25"/>
      <c r="DL35" s="25"/>
      <c r="DM35" s="25"/>
      <c r="DN35" s="25"/>
      <c r="DO35" s="25"/>
      <c r="DP35" s="25"/>
      <c r="DQ35" s="25"/>
      <c r="DR35" s="25"/>
      <c r="DS35" s="25"/>
      <c r="DT35" s="25"/>
      <c r="DU35" s="25"/>
      <c r="DV35" s="25"/>
      <c r="DW35" s="25"/>
      <c r="DY35" s="25"/>
      <c r="DZ35" s="2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B35" s="25"/>
      <c r="FC35" s="25"/>
      <c r="FE35" s="25"/>
      <c r="FF35" s="25"/>
      <c r="FG35" s="25"/>
      <c r="FH35" s="25"/>
      <c r="FI35" s="25"/>
      <c r="FJ35" s="25"/>
      <c r="FK35" s="25"/>
      <c r="FL35" s="25"/>
      <c r="FM35" s="25"/>
      <c r="FN35" s="25"/>
      <c r="FO35" s="25"/>
      <c r="FP35" s="25"/>
      <c r="FQ35" s="25"/>
      <c r="FR35" s="25"/>
      <c r="FS35" s="25"/>
      <c r="FT35" s="25"/>
      <c r="FU35" s="25"/>
      <c r="FV35" s="25"/>
      <c r="FW35" s="25"/>
      <c r="FX35" s="25"/>
      <c r="FY35" s="25"/>
      <c r="FZ35" s="25"/>
      <c r="GA35" s="25"/>
      <c r="GB35" s="25"/>
      <c r="GC35" s="25"/>
      <c r="GD35" s="25"/>
      <c r="GE35" s="25"/>
      <c r="GF35" s="25"/>
      <c r="GG35" s="25"/>
      <c r="GH35" s="25"/>
      <c r="GI35" s="25"/>
      <c r="GK35" s="25"/>
      <c r="GL35" s="25"/>
      <c r="GM35" s="25"/>
      <c r="GN35" s="25"/>
      <c r="GO35" s="25"/>
      <c r="GP35" s="25"/>
      <c r="GQ35" s="25"/>
      <c r="GR35" s="25"/>
      <c r="GS35" s="25"/>
      <c r="GT35" s="25"/>
      <c r="GU35" s="25"/>
      <c r="GV35" s="25"/>
      <c r="GW35" s="25"/>
      <c r="GX35" s="25"/>
      <c r="GY35" s="25"/>
      <c r="GZ35" s="25"/>
      <c r="HA35" s="25"/>
      <c r="HB35" s="25"/>
      <c r="HC35" s="25"/>
      <c r="HD35" s="25"/>
      <c r="HE35" s="25"/>
      <c r="HF35" s="25"/>
      <c r="HG35" s="25"/>
      <c r="HH35" s="25"/>
      <c r="HI35" s="25"/>
      <c r="HJ35" s="25"/>
      <c r="HK35" s="25"/>
      <c r="HL35" s="25"/>
      <c r="HM35" s="25"/>
      <c r="HN35" s="25"/>
      <c r="HO35" s="25"/>
      <c r="HQ35" s="29"/>
      <c r="HR35" s="29"/>
      <c r="HS35" s="29"/>
      <c r="HT35" s="29"/>
      <c r="HU35" s="29"/>
      <c r="HV35" s="42"/>
      <c r="HW35" s="3"/>
      <c r="HX35" s="3"/>
      <c r="HZ35" s="29"/>
      <c r="IA35" s="29"/>
      <c r="IB35" s="29"/>
      <c r="IC35" s="29"/>
      <c r="ID35" s="3"/>
      <c r="IE35" s="29"/>
      <c r="IG35" s="116"/>
      <c r="IH35" s="117"/>
      <c r="II35" s="117"/>
      <c r="IJ35" s="117"/>
      <c r="IK35" s="3"/>
      <c r="IL35" s="3"/>
      <c r="IM35" s="3"/>
      <c r="IN35" s="19"/>
      <c r="IP35" s="29"/>
      <c r="IQ35" s="3"/>
      <c r="IR35" s="3"/>
      <c r="IS35" s="3"/>
      <c r="IT35" s="29"/>
      <c r="IU35" s="3"/>
      <c r="IX35" s="35"/>
      <c r="IY35" s="81"/>
      <c r="IZ35" s="81"/>
    </row>
  </sheetData>
  <dataConsolidate/>
  <conditionalFormatting sqref="IU11:IU35 IQ11:IR35">
    <cfRule type="expression" dxfId="12" priority="10">
      <formula>NOT(ISBLANK(IP11))</formula>
    </cfRule>
  </conditionalFormatting>
  <conditionalFormatting sqref="IT11:IT35 IP11:IP35">
    <cfRule type="expression" dxfId="11" priority="11">
      <formula>NOT(ISBLANK(IQ11))</formula>
    </cfRule>
  </conditionalFormatting>
  <conditionalFormatting sqref="D11:D35">
    <cfRule type="cellIs" dxfId="10" priority="9" operator="equal">
      <formula>FALSE</formula>
    </cfRule>
  </conditionalFormatting>
  <conditionalFormatting sqref="A11:A35">
    <cfRule type="duplicateValues" dxfId="9" priority="1746"/>
  </conditionalFormatting>
  <conditionalFormatting sqref="IB11:IC35">
    <cfRule type="expression" dxfId="8" priority="1747">
      <formula>NOT(ISBLANK(IO11))</formula>
    </cfRule>
  </conditionalFormatting>
  <conditionalFormatting sqref="IE11:IE35">
    <cfRule type="expression" dxfId="7" priority="1">
      <formula>NOT(ISBLANK(IT11))</formula>
    </cfRule>
  </conditionalFormatting>
  <conditionalFormatting sqref="IS11:IS35">
    <cfRule type="expression" dxfId="6" priority="1767">
      <formula>NOT(ISBLANK(IQ11))</formula>
    </cfRule>
  </conditionalFormatting>
  <dataValidations count="6">
    <dataValidation type="list" allowBlank="1" showInputMessage="1" showErrorMessage="1" sqref="Z11:Z35" xr:uid="{E0620C9A-F36B-DB41-A3CE-11BE1DD97473}">
      <formula1>OFFSET(lists_elcc_surfaces,,,COUNTA(lists_elcc_surfaces))</formula1>
    </dataValidation>
    <dataValidation type="list" allowBlank="1" showInputMessage="1" showErrorMessage="1" sqref="H11:H35" xr:uid="{EA1B21CB-491C-4143-B57F-2ACDE084E3DE}">
      <formula1>OFFSET(lists_zones,,,COUNTA(lists_zones))</formula1>
    </dataValidation>
    <dataValidation type="list" allowBlank="1" showInputMessage="1" showErrorMessage="1" sqref="AD11:AE35 U11:X35 N11:S35" xr:uid="{E6C0695C-3D77-D642-B596-EDB46FCCD0CC}">
      <formula1>"TRUE,FALSE"</formula1>
    </dataValidation>
    <dataValidation type="list" allowBlank="1" showInputMessage="1" showErrorMessage="1" sqref="L11:L35" xr:uid="{0794C8F4-FB72-466D-B632-5F88230E79BE}">
      <formula1>OFFSET(lists_outage_distributions,,,COUNTA(lists_outage_distributions))</formula1>
    </dataValidation>
    <dataValidation type="list" allowBlank="1" showInputMessage="1" showErrorMessage="1" sqref="J11:L35" xr:uid="{C02DAED1-C81E-4AE4-A5DD-8ABEB924A560}">
      <formula1>ResourceGroup</formula1>
    </dataValidation>
    <dataValidation type="list" allowBlank="1" showInputMessage="1" showErrorMessage="1" sqref="IN11:IN35" xr:uid="{440FAE1D-DC85-424D-BC83-1EA069562FF8}">
      <formula1>"linear, integer"</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23" id="{C7E7F147-43A6-264F-AC2D-20AD82DED560}">
            <xm:f>ISNUMBER(MATCH(F11,'RESOLVE Case Settings'!$C$19:$C$42,0))</xm:f>
            <x14:dxf>
              <font>
                <color rgb="FF006100"/>
              </font>
              <fill>
                <patternFill>
                  <bgColor rgb="FFC6EFCE"/>
                </patternFill>
              </fill>
            </x14:dxf>
          </x14:cfRule>
          <xm:sqref>F11:F35</xm:sqref>
        </x14:conditionalFormatting>
      </x14:conditionalFormatting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1C654-5757-3845-B9E3-D7255FB61042}">
  <sheetPr codeName="Sheet24">
    <tabColor theme="7" tint="-0.249977111117893"/>
  </sheetPr>
  <dimension ref="A1:J31"/>
  <sheetViews>
    <sheetView showGridLines="0" zoomScale="72" zoomScaleNormal="72" workbookViewId="0">
      <selection activeCell="B3" sqref="B3"/>
    </sheetView>
  </sheetViews>
  <sheetFormatPr baseColWidth="10" defaultColWidth="11.3984375" defaultRowHeight="12" outlineLevelRow="1"/>
  <cols>
    <col min="1" max="1" width="3" customWidth="1"/>
    <col min="2" max="2" width="26" customWidth="1"/>
    <col min="3" max="3" width="19" bestFit="1" customWidth="1"/>
    <col min="4" max="4" width="3" customWidth="1"/>
    <col min="5" max="5" width="26" customWidth="1"/>
    <col min="6" max="6" width="3" customWidth="1"/>
    <col min="7" max="7" width="26" customWidth="1"/>
    <col min="8" max="8" width="3" customWidth="1"/>
    <col min="9" max="9" width="22.59765625" customWidth="1"/>
    <col min="10" max="10" width="24.796875" customWidth="1"/>
  </cols>
  <sheetData>
    <row r="1" spans="1:10" s="5" customFormat="1" ht="29" thickBot="1">
      <c r="A1" s="5" t="s">
        <v>547</v>
      </c>
    </row>
    <row r="5" spans="1:10" ht="70">
      <c r="I5" s="66" t="s">
        <v>548</v>
      </c>
      <c r="J5" s="66" t="s">
        <v>549</v>
      </c>
    </row>
    <row r="6" spans="1:10" hidden="1" outlineLevel="1">
      <c r="B6" s="27" t="s">
        <v>215</v>
      </c>
      <c r="E6" s="27"/>
      <c r="I6" s="27" t="s">
        <v>550</v>
      </c>
      <c r="J6" s="27" t="s">
        <v>551</v>
      </c>
    </row>
    <row r="7" spans="1:10" ht="42" collapsed="1">
      <c r="B7" s="6" t="s">
        <v>547</v>
      </c>
      <c r="C7" s="6" t="s">
        <v>552</v>
      </c>
      <c r="E7" s="11" t="str">
        <f>"Included in Current System ("&amp;system_name&amp;")"</f>
        <v>Included in Current System (ISONE_toy_system)</v>
      </c>
      <c r="G7" s="11" t="s">
        <v>251</v>
      </c>
      <c r="I7" s="26" t="s">
        <v>277</v>
      </c>
      <c r="J7" s="26" t="s">
        <v>277</v>
      </c>
    </row>
    <row r="8" spans="1:10">
      <c r="B8" s="3" t="s">
        <v>216</v>
      </c>
      <c r="C8" s="3">
        <v>1</v>
      </c>
      <c r="E8" s="39" t="b">
        <f t="shared" ref="E8:E31" si="0">IF(ISBLANK($B8),"-/-",COUNTIFS(component_names,$B8,component_types,$B$6)&gt;0)</f>
        <v>1</v>
      </c>
      <c r="G8" s="3"/>
      <c r="I8" s="29">
        <v>1</v>
      </c>
      <c r="J8" s="29">
        <v>1</v>
      </c>
    </row>
    <row r="9" spans="1:10">
      <c r="B9" s="3"/>
      <c r="C9" s="3"/>
      <c r="E9" s="39" t="str">
        <f t="shared" si="0"/>
        <v>-/-</v>
      </c>
      <c r="G9" s="3"/>
      <c r="I9" s="29"/>
      <c r="J9" s="29"/>
    </row>
    <row r="10" spans="1:10">
      <c r="B10" s="3"/>
      <c r="C10" s="3"/>
      <c r="E10" s="39" t="str">
        <f t="shared" si="0"/>
        <v>-/-</v>
      </c>
      <c r="G10" s="3"/>
      <c r="I10" s="29"/>
      <c r="J10" s="29"/>
    </row>
    <row r="11" spans="1:10">
      <c r="B11" s="3"/>
      <c r="C11" s="3"/>
      <c r="E11" s="39" t="str">
        <f t="shared" si="0"/>
        <v>-/-</v>
      </c>
      <c r="G11" s="3"/>
      <c r="I11" s="29"/>
      <c r="J11" s="29"/>
    </row>
    <row r="12" spans="1:10">
      <c r="B12" s="3"/>
      <c r="C12" s="3"/>
      <c r="E12" s="39" t="str">
        <f t="shared" si="0"/>
        <v>-/-</v>
      </c>
      <c r="G12" s="3"/>
      <c r="I12" s="29"/>
      <c r="J12" s="29"/>
    </row>
    <row r="13" spans="1:10">
      <c r="B13" s="3"/>
      <c r="C13" s="3"/>
      <c r="E13" s="39" t="str">
        <f t="shared" si="0"/>
        <v>-/-</v>
      </c>
      <c r="G13" s="3"/>
      <c r="I13" s="29"/>
      <c r="J13" s="29"/>
    </row>
    <row r="14" spans="1:10">
      <c r="B14" s="3"/>
      <c r="C14" s="3"/>
      <c r="E14" s="39" t="str">
        <f t="shared" si="0"/>
        <v>-/-</v>
      </c>
      <c r="G14" s="3"/>
      <c r="I14" s="29"/>
      <c r="J14" s="29"/>
    </row>
    <row r="15" spans="1:10">
      <c r="B15" s="3"/>
      <c r="C15" s="3"/>
      <c r="E15" s="39" t="str">
        <f t="shared" si="0"/>
        <v>-/-</v>
      </c>
      <c r="G15" s="3"/>
      <c r="I15" s="29"/>
      <c r="J15" s="29"/>
    </row>
    <row r="16" spans="1:10">
      <c r="B16" s="3"/>
      <c r="C16" s="3"/>
      <c r="E16" s="39" t="str">
        <f t="shared" si="0"/>
        <v>-/-</v>
      </c>
      <c r="G16" s="3"/>
      <c r="I16" s="29"/>
      <c r="J16" s="29"/>
    </row>
    <row r="17" spans="2:10">
      <c r="B17" s="3"/>
      <c r="C17" s="3"/>
      <c r="E17" s="39" t="str">
        <f t="shared" si="0"/>
        <v>-/-</v>
      </c>
      <c r="G17" s="3"/>
      <c r="I17" s="29"/>
      <c r="J17" s="29"/>
    </row>
    <row r="18" spans="2:10">
      <c r="B18" s="3"/>
      <c r="C18" s="3"/>
      <c r="E18" s="39" t="str">
        <f t="shared" si="0"/>
        <v>-/-</v>
      </c>
      <c r="G18" s="3"/>
      <c r="I18" s="29"/>
      <c r="J18" s="29"/>
    </row>
    <row r="19" spans="2:10">
      <c r="B19" s="3"/>
      <c r="C19" s="3"/>
      <c r="E19" s="39" t="str">
        <f t="shared" si="0"/>
        <v>-/-</v>
      </c>
      <c r="G19" s="3"/>
      <c r="I19" s="29"/>
      <c r="J19" s="29"/>
    </row>
    <row r="20" spans="2:10">
      <c r="B20" s="3"/>
      <c r="C20" s="3"/>
      <c r="E20" s="39" t="str">
        <f t="shared" si="0"/>
        <v>-/-</v>
      </c>
      <c r="G20" s="3"/>
      <c r="I20" s="29"/>
      <c r="J20" s="29"/>
    </row>
    <row r="21" spans="2:10">
      <c r="B21" s="3"/>
      <c r="C21" s="3"/>
      <c r="E21" s="39" t="str">
        <f t="shared" si="0"/>
        <v>-/-</v>
      </c>
      <c r="G21" s="3"/>
      <c r="I21" s="29"/>
      <c r="J21" s="29"/>
    </row>
    <row r="22" spans="2:10">
      <c r="B22" s="3"/>
      <c r="C22" s="3"/>
      <c r="E22" s="39" t="str">
        <f t="shared" si="0"/>
        <v>-/-</v>
      </c>
      <c r="G22" s="3"/>
      <c r="I22" s="29"/>
      <c r="J22" s="29"/>
    </row>
    <row r="23" spans="2:10">
      <c r="B23" s="3"/>
      <c r="C23" s="3"/>
      <c r="E23" s="39" t="str">
        <f t="shared" si="0"/>
        <v>-/-</v>
      </c>
      <c r="G23" s="3"/>
      <c r="I23" s="29"/>
      <c r="J23" s="29"/>
    </row>
    <row r="24" spans="2:10">
      <c r="B24" s="3"/>
      <c r="C24" s="3"/>
      <c r="E24" s="39" t="str">
        <f t="shared" si="0"/>
        <v>-/-</v>
      </c>
      <c r="G24" s="3"/>
      <c r="I24" s="29"/>
      <c r="J24" s="29"/>
    </row>
    <row r="25" spans="2:10">
      <c r="B25" s="3"/>
      <c r="C25" s="3"/>
      <c r="E25" s="39" t="str">
        <f t="shared" si="0"/>
        <v>-/-</v>
      </c>
      <c r="G25" s="3"/>
      <c r="I25" s="29"/>
      <c r="J25" s="29"/>
    </row>
    <row r="26" spans="2:10">
      <c r="B26" s="3"/>
      <c r="C26" s="3"/>
      <c r="E26" s="39" t="str">
        <f t="shared" si="0"/>
        <v>-/-</v>
      </c>
      <c r="G26" s="3"/>
      <c r="I26" s="29"/>
      <c r="J26" s="29"/>
    </row>
    <row r="27" spans="2:10">
      <c r="B27" s="3"/>
      <c r="C27" s="3"/>
      <c r="E27" s="39" t="str">
        <f t="shared" si="0"/>
        <v>-/-</v>
      </c>
      <c r="G27" s="3"/>
      <c r="I27" s="29"/>
      <c r="J27" s="29"/>
    </row>
    <row r="28" spans="2:10">
      <c r="B28" s="3"/>
      <c r="C28" s="3"/>
      <c r="E28" s="39" t="str">
        <f t="shared" si="0"/>
        <v>-/-</v>
      </c>
      <c r="G28" s="3"/>
      <c r="I28" s="29"/>
      <c r="J28" s="29"/>
    </row>
    <row r="29" spans="2:10">
      <c r="B29" s="3"/>
      <c r="C29" s="3"/>
      <c r="E29" s="39" t="str">
        <f t="shared" si="0"/>
        <v>-/-</v>
      </c>
      <c r="G29" s="3"/>
      <c r="I29" s="29"/>
      <c r="J29" s="29"/>
    </row>
    <row r="30" spans="2:10">
      <c r="B30" s="3"/>
      <c r="C30" s="3"/>
      <c r="E30" s="39" t="str">
        <f t="shared" si="0"/>
        <v>-/-</v>
      </c>
      <c r="G30" s="3"/>
      <c r="I30" s="29"/>
      <c r="J30" s="29"/>
    </row>
    <row r="31" spans="2:10">
      <c r="B31" s="3"/>
      <c r="C31" s="3"/>
      <c r="E31" s="39" t="str">
        <f t="shared" si="0"/>
        <v>-/-</v>
      </c>
      <c r="G31" s="3"/>
      <c r="I31" s="29"/>
      <c r="J31" s="29"/>
    </row>
  </sheetData>
  <conditionalFormatting sqref="E8:E31">
    <cfRule type="cellIs" dxfId="4" priority="1" operator="equal">
      <formula>FALSE</formula>
    </cfRule>
  </conditionalFormatting>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25B60-03D4-49AB-AB6C-651F3FB4CA4D}">
  <sheetPr codeName="Sheet7">
    <tabColor rgb="FF00B050"/>
  </sheetPr>
  <dimension ref="A1:FS171"/>
  <sheetViews>
    <sheetView showGridLines="0" topLeftCell="A92" zoomScale="55" zoomScaleNormal="55" workbookViewId="0">
      <selection activeCell="N36" sqref="N36"/>
    </sheetView>
  </sheetViews>
  <sheetFormatPr baseColWidth="10" defaultColWidth="11" defaultRowHeight="12" outlineLevelRow="1" outlineLevelCol="1"/>
  <cols>
    <col min="1" max="2" width="3" customWidth="1"/>
    <col min="3" max="3" width="26" bestFit="1" customWidth="1"/>
    <col min="4" max="4" width="21" customWidth="1" outlineLevel="1"/>
    <col min="5" max="5" width="3" customWidth="1"/>
    <col min="6" max="6" width="24" bestFit="1" customWidth="1"/>
    <col min="7" max="7" width="3" customWidth="1"/>
    <col min="8" max="8" width="28.3984375" bestFit="1" customWidth="1"/>
    <col min="9" max="9" width="3" customWidth="1"/>
    <col min="10" max="11" width="19.796875" customWidth="1"/>
    <col min="12" max="12" width="3" customWidth="1"/>
    <col min="13" max="14" width="19.796875" customWidth="1"/>
    <col min="15" max="15" width="3" customWidth="1"/>
    <col min="16" max="16" width="28" hidden="1" customWidth="1" outlineLevel="1"/>
    <col min="17" max="17" width="11" collapsed="1"/>
    <col min="18" max="19" width="11" hidden="1" customWidth="1" outlineLevel="1"/>
    <col min="20" max="20" width="11" customWidth="1" collapsed="1"/>
    <col min="21" max="21" width="11" customWidth="1"/>
    <col min="22" max="22" width="11" collapsed="1"/>
    <col min="23" max="23" width="11" customWidth="1"/>
    <col min="24" max="24" width="11" hidden="1" customWidth="1" outlineLevel="1"/>
    <col min="25" max="25" width="11" customWidth="1" collapsed="1"/>
    <col min="26" max="26" width="11" hidden="1" customWidth="1" outlineLevel="1"/>
    <col min="27" max="27" width="11" collapsed="1"/>
    <col min="28" max="28" width="11" hidden="1" customWidth="1" outlineLevel="1"/>
    <col min="29" max="29" width="11" customWidth="1" collapsed="1"/>
    <col min="30" max="30" width="11" customWidth="1"/>
    <col min="31" max="31" width="11" hidden="1" customWidth="1" outlineLevel="1"/>
    <col min="32" max="32" width="11" collapsed="1"/>
    <col min="33" max="35" width="11" hidden="1" customWidth="1" outlineLevel="1"/>
    <col min="36" max="36" width="11" customWidth="1" collapsed="1"/>
    <col min="37" max="37" width="11" collapsed="1"/>
    <col min="38" max="41" width="11" hidden="1" customWidth="1" outlineLevel="1"/>
    <col min="42" max="42" width="11" collapsed="1"/>
    <col min="43" max="46" width="11" hidden="1" customWidth="1" outlineLevel="1"/>
    <col min="47" max="47" width="11" collapsed="1"/>
    <col min="48" max="48" width="3" customWidth="1"/>
    <col min="50" max="51" width="11" hidden="1" customWidth="1" outlineLevel="1"/>
    <col min="52" max="52" width="11" customWidth="1" collapsed="1"/>
    <col min="53" max="53" width="11" customWidth="1"/>
    <col min="54" max="54" width="11" collapsed="1"/>
    <col min="55" max="55" width="11" customWidth="1"/>
    <col min="56" max="56" width="11" hidden="1" customWidth="1" outlineLevel="1"/>
    <col min="57" max="57" width="11" customWidth="1" collapsed="1"/>
    <col min="58" max="58" width="11" hidden="1" customWidth="1" outlineLevel="1"/>
    <col min="59" max="59" width="11" collapsed="1"/>
    <col min="60" max="60" width="11" hidden="1" customWidth="1" outlineLevel="1"/>
    <col min="61" max="61" width="11" customWidth="1" collapsed="1"/>
    <col min="62" max="62" width="11" customWidth="1"/>
    <col min="63" max="63" width="11" hidden="1" customWidth="1" outlineLevel="1"/>
    <col min="64" max="64" width="11" collapsed="1"/>
    <col min="65" max="67" width="11" hidden="1" customWidth="1" outlineLevel="1"/>
    <col min="68" max="68" width="11" customWidth="1" collapsed="1"/>
    <col min="69" max="69" width="11" collapsed="1"/>
    <col min="70" max="73" width="11" hidden="1" customWidth="1" outlineLevel="1"/>
    <col min="74" max="74" width="11" collapsed="1"/>
    <col min="75" max="78" width="11" hidden="1" customWidth="1" outlineLevel="1"/>
    <col min="79" max="79" width="11" collapsed="1"/>
    <col min="80" max="80" width="3" customWidth="1"/>
    <col min="82" max="83" width="11" hidden="1" customWidth="1" outlineLevel="1"/>
    <col min="84" max="84" width="11" customWidth="1" collapsed="1"/>
    <col min="85" max="85" width="11" customWidth="1"/>
    <col min="86" max="86" width="11" collapsed="1"/>
    <col min="87" max="87" width="11" customWidth="1"/>
    <col min="88" max="88" width="11" hidden="1" customWidth="1" outlineLevel="1"/>
    <col min="89" max="89" width="11" customWidth="1" collapsed="1"/>
    <col min="90" max="90" width="11" hidden="1" customWidth="1" outlineLevel="1"/>
    <col min="91" max="91" width="11" collapsed="1"/>
    <col min="92" max="92" width="11" hidden="1" customWidth="1" outlineLevel="1"/>
    <col min="93" max="93" width="11" customWidth="1" collapsed="1"/>
    <col min="94" max="94" width="11" customWidth="1"/>
    <col min="95" max="95" width="11" hidden="1" customWidth="1" outlineLevel="1"/>
    <col min="96" max="96" width="11" collapsed="1"/>
    <col min="97" max="99" width="11" hidden="1" customWidth="1" outlineLevel="1"/>
    <col min="100" max="100" width="11" customWidth="1" collapsed="1"/>
    <col min="101" max="101" width="11" collapsed="1"/>
    <col min="102" max="105" width="11" hidden="1" customWidth="1" outlineLevel="1"/>
    <col min="106" max="106" width="11" collapsed="1"/>
    <col min="107" max="110" width="11" hidden="1" customWidth="1" outlineLevel="1"/>
    <col min="111" max="111" width="11" collapsed="1"/>
    <col min="112" max="112" width="3" customWidth="1"/>
    <col min="114" max="115" width="11" hidden="1" customWidth="1" outlineLevel="1"/>
    <col min="116" max="116" width="11" customWidth="1" collapsed="1"/>
    <col min="117" max="117" width="11" customWidth="1"/>
    <col min="118" max="118" width="11" collapsed="1"/>
    <col min="119" max="119" width="11" customWidth="1"/>
    <col min="120" max="120" width="11" hidden="1" customWidth="1" outlineLevel="1"/>
    <col min="121" max="121" width="11" customWidth="1" collapsed="1"/>
    <col min="122" max="122" width="11" hidden="1" customWidth="1" outlineLevel="1"/>
    <col min="123" max="123" width="11" collapsed="1"/>
    <col min="124" max="124" width="11" hidden="1" customWidth="1" outlineLevel="1"/>
    <col min="125" max="125" width="11" customWidth="1" collapsed="1"/>
    <col min="126" max="126" width="11" customWidth="1"/>
    <col min="127" max="127" width="11" hidden="1" customWidth="1" outlineLevel="1"/>
    <col min="128" max="128" width="11" collapsed="1"/>
    <col min="129" max="131" width="11" hidden="1" customWidth="1" outlineLevel="1"/>
    <col min="132" max="132" width="11" customWidth="1" collapsed="1"/>
    <col min="133" max="133" width="11" collapsed="1"/>
    <col min="134" max="137" width="11" hidden="1" customWidth="1" outlineLevel="1"/>
    <col min="138" max="138" width="11" collapsed="1"/>
    <col min="139" max="142" width="11" hidden="1" customWidth="1" outlineLevel="1"/>
    <col min="143" max="143" width="11" collapsed="1"/>
    <col min="144" max="144" width="3" customWidth="1"/>
    <col min="146" max="147" width="11" hidden="1" customWidth="1" outlineLevel="1"/>
    <col min="148" max="148" width="11" customWidth="1" collapsed="1"/>
    <col min="149" max="149" width="11" customWidth="1"/>
    <col min="151" max="151" width="11" customWidth="1"/>
    <col min="152" max="152" width="11" hidden="1" customWidth="1" outlineLevel="1"/>
    <col min="153" max="153" width="11" customWidth="1" collapsed="1"/>
    <col min="154" max="154" width="11" hidden="1" customWidth="1" outlineLevel="1"/>
    <col min="155" max="155" width="11" collapsed="1"/>
    <col min="156" max="156" width="11" hidden="1" customWidth="1" outlineLevel="1"/>
    <col min="157" max="157" width="11" customWidth="1" collapsed="1"/>
    <col min="158" max="158" width="11" customWidth="1"/>
    <col min="159" max="159" width="11" hidden="1" customWidth="1" outlineLevel="1"/>
    <col min="160" max="160" width="11" collapsed="1"/>
    <col min="161" max="163" width="11" hidden="1" customWidth="1" outlineLevel="1"/>
    <col min="164" max="164" width="11" customWidth="1" collapsed="1"/>
    <col min="166" max="169" width="11" hidden="1" customWidth="1" outlineLevel="1"/>
    <col min="170" max="170" width="11" collapsed="1"/>
    <col min="171" max="174" width="11" hidden="1" customWidth="1" outlineLevel="1"/>
    <col min="175" max="175" width="11" collapsed="1"/>
  </cols>
  <sheetData>
    <row r="1" spans="1:11" s="5" customFormat="1" ht="29" thickBot="1">
      <c r="A1" s="5" t="s">
        <v>553</v>
      </c>
    </row>
    <row r="2" spans="1:11">
      <c r="D2" s="16"/>
      <c r="E2" s="16"/>
      <c r="F2" s="16"/>
      <c r="G2" s="16"/>
      <c r="H2" s="16"/>
      <c r="I2" s="16"/>
    </row>
    <row r="5" spans="1:11" ht="19" thickBot="1">
      <c r="C5" s="9" t="s">
        <v>554</v>
      </c>
      <c r="D5" s="9"/>
      <c r="E5" s="9"/>
      <c r="F5" s="9"/>
      <c r="G5" s="9"/>
      <c r="H5" s="9"/>
      <c r="I5" s="9"/>
      <c r="J5" s="9"/>
      <c r="K5" s="9"/>
    </row>
    <row r="7" spans="1:11" ht="42">
      <c r="C7" s="6" t="s">
        <v>203</v>
      </c>
      <c r="F7" s="11" t="str">
        <f>"Included in Current System ("&amp;system_name&amp;")"</f>
        <v>Included in Current System (ISONE_toy_system)</v>
      </c>
      <c r="H7" s="11" t="s">
        <v>251</v>
      </c>
      <c r="J7" s="11" t="s">
        <v>555</v>
      </c>
      <c r="K7" s="11" t="s">
        <v>556</v>
      </c>
    </row>
    <row r="8" spans="1:11">
      <c r="J8" s="27" t="s">
        <v>557</v>
      </c>
      <c r="K8" s="27" t="s">
        <v>558</v>
      </c>
    </row>
    <row r="9" spans="1:11" outlineLevel="1">
      <c r="C9" s="27" t="s">
        <v>203</v>
      </c>
      <c r="F9" s="27"/>
      <c r="J9" s="26" t="s">
        <v>277</v>
      </c>
      <c r="K9" s="26" t="s">
        <v>277</v>
      </c>
    </row>
    <row r="10" spans="1:11">
      <c r="C10" s="3" t="s">
        <v>110</v>
      </c>
      <c r="F10" s="39" t="b">
        <f>IF(ISBLANK($C10),"-/-",COUNTIFS(component_names,$C10,component_types,$C$9)&gt;0)</f>
        <v>1</v>
      </c>
      <c r="H10" s="3"/>
      <c r="J10" s="3"/>
      <c r="K10" s="3"/>
    </row>
    <row r="11" spans="1:11">
      <c r="C11" s="3"/>
      <c r="F11" s="39" t="str">
        <f>IF(ISBLANK($C11),"-/-",COUNTIFS(component_names,$C11,component_types,#REF!)&gt;0)</f>
        <v>-/-</v>
      </c>
      <c r="H11" s="3"/>
      <c r="J11" s="25"/>
      <c r="K11" s="25"/>
    </row>
    <row r="12" spans="1:11">
      <c r="C12" s="3"/>
      <c r="F12" s="39" t="str">
        <f>IF(ISBLANK($C12),"-/-",COUNTIFS(component_names,$C12,component_types,#REF!)&gt;0)</f>
        <v>-/-</v>
      </c>
      <c r="H12" s="3"/>
      <c r="J12" s="3"/>
      <c r="K12" s="3"/>
    </row>
    <row r="13" spans="1:11">
      <c r="C13" s="3"/>
      <c r="F13" s="39" t="str">
        <f>IF(ISBLANK($C13),"-/-",COUNTIFS(component_names,$C13,component_types,#REF!)&gt;0)</f>
        <v>-/-</v>
      </c>
      <c r="H13" s="3"/>
      <c r="J13" s="3"/>
      <c r="K13" s="3"/>
    </row>
    <row r="14" spans="1:11">
      <c r="C14" s="3"/>
      <c r="F14" s="39" t="str">
        <f>IF(ISBLANK($C14),"-/-",COUNTIFS(component_names,$C14,component_types,#REF!)&gt;0)</f>
        <v>-/-</v>
      </c>
      <c r="H14" s="3"/>
      <c r="J14" s="3"/>
      <c r="K14" s="3"/>
    </row>
    <row r="15" spans="1:11">
      <c r="C15" s="3"/>
      <c r="F15" s="39" t="str">
        <f>IF(ISBLANK($C15),"-/-",COUNTIFS(component_names,$C15,component_types,#REF!)&gt;0)</f>
        <v>-/-</v>
      </c>
      <c r="H15" s="3"/>
      <c r="J15" s="3"/>
      <c r="K15" s="3"/>
    </row>
    <row r="16" spans="1:11">
      <c r="C16" s="3"/>
      <c r="F16" s="39" t="str">
        <f>IF(ISBLANK($C16),"-/-",COUNTIFS(component_names,$C16,component_types,#REF!)&gt;0)</f>
        <v>-/-</v>
      </c>
      <c r="H16" s="3"/>
      <c r="J16" s="3"/>
      <c r="K16" s="3"/>
    </row>
    <row r="17" spans="3:175">
      <c r="C17" s="3"/>
      <c r="F17" s="39" t="str">
        <f>IF(ISBLANK($C17),"-/-",COUNTIFS(component_names,$C17,component_types,#REF!)&gt;0)</f>
        <v>-/-</v>
      </c>
      <c r="H17" s="3"/>
      <c r="J17" s="3"/>
      <c r="K17" s="3"/>
    </row>
    <row r="18" spans="3:175">
      <c r="C18" s="3"/>
      <c r="F18" s="39" t="str">
        <f>IF(ISBLANK($C18),"-/-",COUNTIFS(component_names,$C18,component_types,#REF!)&gt;0)</f>
        <v>-/-</v>
      </c>
      <c r="H18" s="3"/>
      <c r="J18" s="3"/>
      <c r="K18" s="3"/>
    </row>
    <row r="21" spans="3:175" ht="19" thickBot="1">
      <c r="C21" s="9" t="s">
        <v>559</v>
      </c>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row>
    <row r="23" spans="3:175" ht="19" thickBot="1">
      <c r="F23" s="16"/>
      <c r="G23" s="16"/>
      <c r="H23" s="16"/>
      <c r="I23" s="16"/>
      <c r="J23" s="9" t="s">
        <v>474</v>
      </c>
      <c r="K23" s="9"/>
      <c r="M23" s="9" t="s">
        <v>398</v>
      </c>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I23" s="9" t="s">
        <v>399</v>
      </c>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row>
    <row r="24" spans="3:175">
      <c r="D24" s="16"/>
      <c r="E24" s="16"/>
      <c r="F24" s="16"/>
      <c r="G24" s="16"/>
      <c r="I24" s="16"/>
    </row>
    <row r="25" spans="3:175" ht="14">
      <c r="D25" s="16"/>
      <c r="E25" s="16"/>
      <c r="F25" s="16"/>
      <c r="G25" s="16"/>
      <c r="I25" s="16"/>
      <c r="J25" s="11" t="s">
        <v>560</v>
      </c>
      <c r="K25" s="11" t="s">
        <v>561</v>
      </c>
      <c r="M25" s="11" t="s">
        <v>402</v>
      </c>
      <c r="N25" s="11" t="s">
        <v>562</v>
      </c>
      <c r="Q25" s="6" t="s">
        <v>400</v>
      </c>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W25" s="6" t="s">
        <v>563</v>
      </c>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C25" s="6" t="s">
        <v>564</v>
      </c>
      <c r="CD25" s="6"/>
      <c r="CE25" s="6"/>
      <c r="CF25" s="6"/>
      <c r="CG25" s="6"/>
      <c r="CH25" s="6"/>
      <c r="CI25" s="6"/>
      <c r="CJ25" s="6"/>
      <c r="CK25" s="6"/>
      <c r="CL25" s="6"/>
      <c r="CM25" s="6"/>
      <c r="CN25" s="6"/>
      <c r="CO25" s="6"/>
      <c r="CP25" s="6"/>
      <c r="CQ25" s="6"/>
      <c r="CR25" s="6"/>
      <c r="CS25" s="6"/>
      <c r="CT25" s="6"/>
      <c r="CU25" s="6"/>
      <c r="CV25" s="6"/>
      <c r="CW25" s="6"/>
      <c r="CX25" s="6"/>
      <c r="CY25" s="6"/>
      <c r="CZ25" s="6"/>
      <c r="DA25" s="6"/>
      <c r="DB25" s="6"/>
      <c r="DC25" s="6"/>
      <c r="DD25" s="6"/>
      <c r="DE25" s="6"/>
      <c r="DF25" s="6"/>
      <c r="DG25" s="6"/>
      <c r="DI25" s="6" t="s">
        <v>565</v>
      </c>
      <c r="DJ25" s="6"/>
      <c r="DK25" s="6"/>
      <c r="DL25" s="6"/>
      <c r="DM25" s="6"/>
      <c r="DN25" s="6"/>
      <c r="DO25" s="6"/>
      <c r="DP25" s="6"/>
      <c r="DQ25" s="6"/>
      <c r="DR25" s="6"/>
      <c r="DS25" s="6"/>
      <c r="DT25" s="6"/>
      <c r="DU25" s="6"/>
      <c r="DV25" s="6"/>
      <c r="DW25" s="6"/>
      <c r="DX25" s="6"/>
      <c r="DY25" s="6"/>
      <c r="DZ25" s="6"/>
      <c r="EA25" s="6"/>
      <c r="EB25" s="6"/>
      <c r="EC25" s="6"/>
      <c r="ED25" s="6"/>
      <c r="EE25" s="6"/>
      <c r="EF25" s="6"/>
      <c r="EG25" s="6"/>
      <c r="EH25" s="6"/>
      <c r="EI25" s="6"/>
      <c r="EJ25" s="6"/>
      <c r="EK25" s="6"/>
      <c r="EL25" s="6"/>
      <c r="EM25" s="6"/>
      <c r="EO25" s="6" t="s">
        <v>566</v>
      </c>
      <c r="EP25" s="6"/>
      <c r="EQ25" s="6"/>
      <c r="ER25" s="6"/>
      <c r="ES25" s="6"/>
      <c r="ET25" s="6"/>
      <c r="EU25" s="6"/>
      <c r="EV25" s="6"/>
      <c r="EW25" s="6"/>
      <c r="EX25" s="6"/>
      <c r="EY25" s="6"/>
      <c r="EZ25" s="6"/>
      <c r="FA25" s="6"/>
      <c r="FB25" s="6"/>
      <c r="FC25" s="6"/>
      <c r="FD25" s="6"/>
      <c r="FE25" s="6"/>
      <c r="FF25" s="6"/>
      <c r="FG25" s="6"/>
      <c r="FH25" s="6"/>
      <c r="FI25" s="6"/>
      <c r="FJ25" s="6"/>
      <c r="FK25" s="6"/>
      <c r="FL25" s="6"/>
      <c r="FM25" s="6"/>
      <c r="FN25" s="6"/>
      <c r="FO25" s="6"/>
      <c r="FP25" s="6"/>
      <c r="FQ25" s="6"/>
      <c r="FR25" s="6"/>
      <c r="FS25" s="6"/>
    </row>
    <row r="26" spans="3:175" s="27" customFormat="1" outlineLevel="1">
      <c r="C26" s="27" t="s">
        <v>324</v>
      </c>
      <c r="H26"/>
      <c r="J26" s="27" t="s">
        <v>567</v>
      </c>
      <c r="K26" s="27" t="s">
        <v>568</v>
      </c>
      <c r="M26" s="27" t="s">
        <v>410</v>
      </c>
      <c r="N26" s="27" t="s">
        <v>448</v>
      </c>
      <c r="Q26" s="27" t="s">
        <v>408</v>
      </c>
      <c r="R26" s="27" t="s">
        <v>408</v>
      </c>
      <c r="S26" s="27" t="s">
        <v>408</v>
      </c>
      <c r="T26" s="27" t="s">
        <v>408</v>
      </c>
      <c r="U26" s="27" t="s">
        <v>408</v>
      </c>
      <c r="V26" s="27" t="s">
        <v>408</v>
      </c>
      <c r="W26" s="27" t="s">
        <v>408</v>
      </c>
      <c r="X26" s="27" t="s">
        <v>408</v>
      </c>
      <c r="Y26" s="27" t="s">
        <v>408</v>
      </c>
      <c r="Z26" s="27" t="s">
        <v>408</v>
      </c>
      <c r="AA26" s="27" t="s">
        <v>408</v>
      </c>
      <c r="AB26" s="27" t="s">
        <v>408</v>
      </c>
      <c r="AC26" s="27" t="s">
        <v>408</v>
      </c>
      <c r="AD26" s="27" t="s">
        <v>408</v>
      </c>
      <c r="AE26" s="27" t="s">
        <v>408</v>
      </c>
      <c r="AF26" s="27" t="s">
        <v>408</v>
      </c>
      <c r="AG26" s="27" t="s">
        <v>408</v>
      </c>
      <c r="AH26" s="27" t="s">
        <v>408</v>
      </c>
      <c r="AI26" s="27" t="s">
        <v>408</v>
      </c>
      <c r="AJ26" s="27" t="s">
        <v>408</v>
      </c>
      <c r="AK26" s="27" t="s">
        <v>408</v>
      </c>
      <c r="AL26" s="27" t="s">
        <v>408</v>
      </c>
      <c r="AM26" s="27" t="s">
        <v>408</v>
      </c>
      <c r="AN26" s="27" t="s">
        <v>408</v>
      </c>
      <c r="AO26" s="27" t="s">
        <v>408</v>
      </c>
      <c r="AP26" s="27" t="s">
        <v>408</v>
      </c>
      <c r="AQ26" s="27" t="s">
        <v>408</v>
      </c>
      <c r="AR26" s="27" t="s">
        <v>408</v>
      </c>
      <c r="AS26" s="27" t="s">
        <v>408</v>
      </c>
      <c r="AT26" s="27" t="s">
        <v>408</v>
      </c>
      <c r="AU26" s="27" t="s">
        <v>408</v>
      </c>
      <c r="AW26" s="27" t="s">
        <v>569</v>
      </c>
      <c r="AX26" s="27" t="s">
        <v>569</v>
      </c>
      <c r="AY26" s="27" t="s">
        <v>569</v>
      </c>
      <c r="AZ26" s="27" t="s">
        <v>569</v>
      </c>
      <c r="BA26" s="27" t="s">
        <v>569</v>
      </c>
      <c r="BB26" s="27" t="s">
        <v>569</v>
      </c>
      <c r="BC26" s="27" t="s">
        <v>569</v>
      </c>
      <c r="BD26" s="27" t="s">
        <v>569</v>
      </c>
      <c r="BE26" s="27" t="s">
        <v>569</v>
      </c>
      <c r="BF26" s="27" t="s">
        <v>569</v>
      </c>
      <c r="BG26" s="27" t="s">
        <v>569</v>
      </c>
      <c r="BH26" s="27" t="s">
        <v>569</v>
      </c>
      <c r="BI26" s="27" t="s">
        <v>569</v>
      </c>
      <c r="BJ26" s="27" t="s">
        <v>569</v>
      </c>
      <c r="BK26" s="27" t="s">
        <v>569</v>
      </c>
      <c r="BL26" s="27" t="s">
        <v>569</v>
      </c>
      <c r="BM26" s="27" t="s">
        <v>569</v>
      </c>
      <c r="BN26" s="27" t="s">
        <v>569</v>
      </c>
      <c r="BO26" s="27" t="s">
        <v>569</v>
      </c>
      <c r="BP26" s="27" t="s">
        <v>569</v>
      </c>
      <c r="BQ26" s="27" t="s">
        <v>569</v>
      </c>
      <c r="BR26" s="27" t="s">
        <v>569</v>
      </c>
      <c r="BS26" s="27" t="s">
        <v>569</v>
      </c>
      <c r="BT26" s="27" t="s">
        <v>569</v>
      </c>
      <c r="BU26" s="27" t="s">
        <v>569</v>
      </c>
      <c r="BV26" s="27" t="s">
        <v>569</v>
      </c>
      <c r="BW26" s="27" t="s">
        <v>569</v>
      </c>
      <c r="BX26" s="27" t="s">
        <v>569</v>
      </c>
      <c r="BY26" s="27" t="s">
        <v>569</v>
      </c>
      <c r="BZ26" s="27" t="s">
        <v>569</v>
      </c>
      <c r="CA26" s="27" t="s">
        <v>569</v>
      </c>
      <c r="CC26" s="27" t="s">
        <v>570</v>
      </c>
      <c r="CD26" s="27" t="s">
        <v>570</v>
      </c>
      <c r="CE26" s="27" t="s">
        <v>570</v>
      </c>
      <c r="CF26" s="27" t="s">
        <v>570</v>
      </c>
      <c r="CG26" s="27" t="s">
        <v>570</v>
      </c>
      <c r="CH26" s="27" t="s">
        <v>570</v>
      </c>
      <c r="CI26" s="27" t="s">
        <v>570</v>
      </c>
      <c r="CJ26" s="27" t="s">
        <v>570</v>
      </c>
      <c r="CK26" s="27" t="s">
        <v>570</v>
      </c>
      <c r="CL26" s="27" t="s">
        <v>570</v>
      </c>
      <c r="CM26" s="27" t="s">
        <v>570</v>
      </c>
      <c r="CN26" s="27" t="s">
        <v>570</v>
      </c>
      <c r="CO26" s="27" t="s">
        <v>570</v>
      </c>
      <c r="CP26" s="27" t="s">
        <v>570</v>
      </c>
      <c r="CQ26" s="27" t="s">
        <v>570</v>
      </c>
      <c r="CR26" s="27" t="s">
        <v>570</v>
      </c>
      <c r="CS26" s="27" t="s">
        <v>570</v>
      </c>
      <c r="CT26" s="27" t="s">
        <v>570</v>
      </c>
      <c r="CU26" s="27" t="s">
        <v>570</v>
      </c>
      <c r="CV26" s="27" t="s">
        <v>570</v>
      </c>
      <c r="CW26" s="27" t="s">
        <v>570</v>
      </c>
      <c r="CX26" s="27" t="s">
        <v>570</v>
      </c>
      <c r="CY26" s="27" t="s">
        <v>570</v>
      </c>
      <c r="CZ26" s="27" t="s">
        <v>570</v>
      </c>
      <c r="DA26" s="27" t="s">
        <v>570</v>
      </c>
      <c r="DB26" s="27" t="s">
        <v>570</v>
      </c>
      <c r="DC26" s="27" t="s">
        <v>570</v>
      </c>
      <c r="DD26" s="27" t="s">
        <v>570</v>
      </c>
      <c r="DE26" s="27" t="s">
        <v>570</v>
      </c>
      <c r="DF26" s="27" t="s">
        <v>570</v>
      </c>
      <c r="DG26" s="27" t="s">
        <v>570</v>
      </c>
      <c r="DI26" s="27" t="s">
        <v>571</v>
      </c>
      <c r="DJ26" s="27" t="s">
        <v>571</v>
      </c>
      <c r="DK26" s="27" t="s">
        <v>571</v>
      </c>
      <c r="DL26" s="27" t="s">
        <v>571</v>
      </c>
      <c r="DM26" s="27" t="s">
        <v>571</v>
      </c>
      <c r="DN26" s="27" t="s">
        <v>571</v>
      </c>
      <c r="DO26" s="27" t="s">
        <v>571</v>
      </c>
      <c r="DP26" s="27" t="s">
        <v>571</v>
      </c>
      <c r="DQ26" s="27" t="s">
        <v>571</v>
      </c>
      <c r="DR26" s="27" t="s">
        <v>571</v>
      </c>
      <c r="DS26" s="27" t="s">
        <v>571</v>
      </c>
      <c r="DT26" s="27" t="s">
        <v>571</v>
      </c>
      <c r="DU26" s="27" t="s">
        <v>571</v>
      </c>
      <c r="DV26" s="27" t="s">
        <v>571</v>
      </c>
      <c r="DW26" s="27" t="s">
        <v>571</v>
      </c>
      <c r="DX26" s="27" t="s">
        <v>571</v>
      </c>
      <c r="DY26" s="27" t="s">
        <v>571</v>
      </c>
      <c r="DZ26" s="27" t="s">
        <v>571</v>
      </c>
      <c r="EA26" s="27" t="s">
        <v>571</v>
      </c>
      <c r="EB26" s="27" t="s">
        <v>571</v>
      </c>
      <c r="EC26" s="27" t="s">
        <v>571</v>
      </c>
      <c r="ED26" s="27" t="s">
        <v>571</v>
      </c>
      <c r="EE26" s="27" t="s">
        <v>571</v>
      </c>
      <c r="EF26" s="27" t="s">
        <v>571</v>
      </c>
      <c r="EG26" s="27" t="s">
        <v>571</v>
      </c>
      <c r="EH26" s="27" t="s">
        <v>571</v>
      </c>
      <c r="EI26" s="27" t="s">
        <v>571</v>
      </c>
      <c r="EJ26" s="27" t="s">
        <v>571</v>
      </c>
      <c r="EK26" s="27" t="s">
        <v>571</v>
      </c>
      <c r="EL26" s="27" t="s">
        <v>571</v>
      </c>
      <c r="EM26" s="27" t="s">
        <v>571</v>
      </c>
      <c r="EO26" s="27" t="s">
        <v>572</v>
      </c>
      <c r="EP26" s="27" t="s">
        <v>572</v>
      </c>
      <c r="EQ26" s="27" t="s">
        <v>572</v>
      </c>
      <c r="ER26" s="27" t="s">
        <v>572</v>
      </c>
      <c r="ES26" s="27" t="s">
        <v>572</v>
      </c>
      <c r="ET26" s="27" t="s">
        <v>572</v>
      </c>
      <c r="EU26" s="27" t="s">
        <v>572</v>
      </c>
      <c r="EV26" s="27" t="s">
        <v>572</v>
      </c>
      <c r="EW26" s="27" t="s">
        <v>572</v>
      </c>
      <c r="EX26" s="27" t="s">
        <v>572</v>
      </c>
      <c r="EY26" s="27" t="s">
        <v>572</v>
      </c>
      <c r="EZ26" s="27" t="s">
        <v>572</v>
      </c>
      <c r="FA26" s="27" t="s">
        <v>572</v>
      </c>
      <c r="FB26" s="27" t="s">
        <v>572</v>
      </c>
      <c r="FC26" s="27" t="s">
        <v>572</v>
      </c>
      <c r="FD26" s="27" t="s">
        <v>572</v>
      </c>
      <c r="FE26" s="27" t="s">
        <v>572</v>
      </c>
      <c r="FF26" s="27" t="s">
        <v>572</v>
      </c>
      <c r="FG26" s="27" t="s">
        <v>572</v>
      </c>
      <c r="FH26" s="27" t="s">
        <v>572</v>
      </c>
      <c r="FI26" s="27" t="s">
        <v>572</v>
      </c>
      <c r="FJ26" s="27" t="s">
        <v>572</v>
      </c>
      <c r="FK26" s="27" t="s">
        <v>572</v>
      </c>
      <c r="FL26" s="27" t="s">
        <v>572</v>
      </c>
      <c r="FM26" s="27" t="s">
        <v>572</v>
      </c>
      <c r="FN26" s="27" t="s">
        <v>572</v>
      </c>
      <c r="FO26" s="27" t="s">
        <v>572</v>
      </c>
      <c r="FP26" s="27" t="s">
        <v>572</v>
      </c>
      <c r="FQ26" s="27" t="s">
        <v>572</v>
      </c>
      <c r="FR26" s="27" t="s">
        <v>572</v>
      </c>
      <c r="FS26" s="27" t="s">
        <v>572</v>
      </c>
    </row>
    <row r="27" spans="3:175" ht="42">
      <c r="C27" s="6" t="s">
        <v>573</v>
      </c>
      <c r="D27" s="16"/>
      <c r="E27" s="16"/>
      <c r="F27" s="11" t="str">
        <f>"Included in Current System ("&amp;system_name&amp;")"</f>
        <v>Included in Current System (ISONE_toy_system)</v>
      </c>
      <c r="G27" s="16"/>
      <c r="H27" s="11" t="s">
        <v>251</v>
      </c>
      <c r="I27" s="16"/>
      <c r="J27" s="13" t="s">
        <v>277</v>
      </c>
      <c r="K27" s="13" t="s">
        <v>277</v>
      </c>
      <c r="M27" s="26" t="s">
        <v>277</v>
      </c>
      <c r="N27" s="26" t="s">
        <v>277</v>
      </c>
      <c r="Q27" s="59">
        <f>start_year</f>
        <v>43831</v>
      </c>
      <c r="R27" s="59">
        <f>EDATE(Q27,12)</f>
        <v>44197</v>
      </c>
      <c r="S27" s="59">
        <f t="shared" ref="S27:AU27" si="0">EDATE(R27,12)</f>
        <v>44562</v>
      </c>
      <c r="T27" s="59">
        <f t="shared" si="0"/>
        <v>44927</v>
      </c>
      <c r="U27" s="59">
        <f t="shared" si="0"/>
        <v>45292</v>
      </c>
      <c r="V27" s="59">
        <f t="shared" si="0"/>
        <v>45658</v>
      </c>
      <c r="W27" s="59">
        <f t="shared" si="0"/>
        <v>46023</v>
      </c>
      <c r="X27" s="59">
        <f t="shared" si="0"/>
        <v>46388</v>
      </c>
      <c r="Y27" s="59">
        <f t="shared" si="0"/>
        <v>46753</v>
      </c>
      <c r="Z27" s="59">
        <f t="shared" si="0"/>
        <v>47119</v>
      </c>
      <c r="AA27" s="59">
        <f t="shared" si="0"/>
        <v>47484</v>
      </c>
      <c r="AB27" s="59">
        <f t="shared" si="0"/>
        <v>47849</v>
      </c>
      <c r="AC27" s="59">
        <f t="shared" si="0"/>
        <v>48214</v>
      </c>
      <c r="AD27" s="59">
        <f t="shared" si="0"/>
        <v>48580</v>
      </c>
      <c r="AE27" s="59">
        <f t="shared" si="0"/>
        <v>48945</v>
      </c>
      <c r="AF27" s="59">
        <f t="shared" si="0"/>
        <v>49310</v>
      </c>
      <c r="AG27" s="59">
        <f t="shared" si="0"/>
        <v>49675</v>
      </c>
      <c r="AH27" s="59">
        <f t="shared" si="0"/>
        <v>50041</v>
      </c>
      <c r="AI27" s="59">
        <f t="shared" si="0"/>
        <v>50406</v>
      </c>
      <c r="AJ27" s="59">
        <f t="shared" si="0"/>
        <v>50771</v>
      </c>
      <c r="AK27" s="59">
        <f t="shared" si="0"/>
        <v>51136</v>
      </c>
      <c r="AL27" s="59">
        <f t="shared" si="0"/>
        <v>51502</v>
      </c>
      <c r="AM27" s="59">
        <f t="shared" si="0"/>
        <v>51867</v>
      </c>
      <c r="AN27" s="59">
        <f t="shared" si="0"/>
        <v>52232</v>
      </c>
      <c r="AO27" s="59">
        <f t="shared" si="0"/>
        <v>52597</v>
      </c>
      <c r="AP27" s="59">
        <f t="shared" si="0"/>
        <v>52963</v>
      </c>
      <c r="AQ27" s="59">
        <f t="shared" si="0"/>
        <v>53328</v>
      </c>
      <c r="AR27" s="59">
        <f t="shared" si="0"/>
        <v>53693</v>
      </c>
      <c r="AS27" s="59">
        <f t="shared" si="0"/>
        <v>54058</v>
      </c>
      <c r="AT27" s="59">
        <f t="shared" si="0"/>
        <v>54424</v>
      </c>
      <c r="AU27" s="59">
        <f t="shared" si="0"/>
        <v>54789</v>
      </c>
      <c r="AW27" s="59">
        <f>start_year</f>
        <v>43831</v>
      </c>
      <c r="AX27" s="59">
        <f>EDATE(AW27,12)</f>
        <v>44197</v>
      </c>
      <c r="AY27" s="59">
        <f t="shared" ref="AY27:CA27" si="1">EDATE(AX27,12)</f>
        <v>44562</v>
      </c>
      <c r="AZ27" s="59">
        <f t="shared" si="1"/>
        <v>44927</v>
      </c>
      <c r="BA27" s="59">
        <f t="shared" si="1"/>
        <v>45292</v>
      </c>
      <c r="BB27" s="59">
        <f t="shared" si="1"/>
        <v>45658</v>
      </c>
      <c r="BC27" s="59">
        <f t="shared" si="1"/>
        <v>46023</v>
      </c>
      <c r="BD27" s="59">
        <f t="shared" si="1"/>
        <v>46388</v>
      </c>
      <c r="BE27" s="59">
        <f t="shared" si="1"/>
        <v>46753</v>
      </c>
      <c r="BF27" s="59">
        <f t="shared" si="1"/>
        <v>47119</v>
      </c>
      <c r="BG27" s="59">
        <f t="shared" si="1"/>
        <v>47484</v>
      </c>
      <c r="BH27" s="59">
        <f t="shared" si="1"/>
        <v>47849</v>
      </c>
      <c r="BI27" s="59">
        <f t="shared" si="1"/>
        <v>48214</v>
      </c>
      <c r="BJ27" s="59">
        <f t="shared" si="1"/>
        <v>48580</v>
      </c>
      <c r="BK27" s="59">
        <f t="shared" si="1"/>
        <v>48945</v>
      </c>
      <c r="BL27" s="59">
        <f t="shared" si="1"/>
        <v>49310</v>
      </c>
      <c r="BM27" s="59">
        <f t="shared" si="1"/>
        <v>49675</v>
      </c>
      <c r="BN27" s="59">
        <f t="shared" si="1"/>
        <v>50041</v>
      </c>
      <c r="BO27" s="59">
        <f t="shared" si="1"/>
        <v>50406</v>
      </c>
      <c r="BP27" s="59">
        <f t="shared" si="1"/>
        <v>50771</v>
      </c>
      <c r="BQ27" s="59">
        <f t="shared" si="1"/>
        <v>51136</v>
      </c>
      <c r="BR27" s="59">
        <f t="shared" si="1"/>
        <v>51502</v>
      </c>
      <c r="BS27" s="59">
        <f t="shared" si="1"/>
        <v>51867</v>
      </c>
      <c r="BT27" s="59">
        <f t="shared" si="1"/>
        <v>52232</v>
      </c>
      <c r="BU27" s="59">
        <f t="shared" si="1"/>
        <v>52597</v>
      </c>
      <c r="BV27" s="59">
        <f t="shared" si="1"/>
        <v>52963</v>
      </c>
      <c r="BW27" s="59">
        <f t="shared" si="1"/>
        <v>53328</v>
      </c>
      <c r="BX27" s="59">
        <f t="shared" si="1"/>
        <v>53693</v>
      </c>
      <c r="BY27" s="59">
        <f t="shared" si="1"/>
        <v>54058</v>
      </c>
      <c r="BZ27" s="59">
        <f t="shared" si="1"/>
        <v>54424</v>
      </c>
      <c r="CA27" s="59">
        <f t="shared" si="1"/>
        <v>54789</v>
      </c>
      <c r="CC27" s="59">
        <f>start_year</f>
        <v>43831</v>
      </c>
      <c r="CD27" s="59">
        <f>EDATE(CC27,12)</f>
        <v>44197</v>
      </c>
      <c r="CE27" s="59">
        <f t="shared" ref="CE27:DG27" si="2">EDATE(CD27,12)</f>
        <v>44562</v>
      </c>
      <c r="CF27" s="59">
        <f t="shared" si="2"/>
        <v>44927</v>
      </c>
      <c r="CG27" s="59">
        <f t="shared" si="2"/>
        <v>45292</v>
      </c>
      <c r="CH27" s="59">
        <f t="shared" si="2"/>
        <v>45658</v>
      </c>
      <c r="CI27" s="59">
        <f t="shared" si="2"/>
        <v>46023</v>
      </c>
      <c r="CJ27" s="59">
        <f t="shared" si="2"/>
        <v>46388</v>
      </c>
      <c r="CK27" s="59">
        <f t="shared" si="2"/>
        <v>46753</v>
      </c>
      <c r="CL27" s="59">
        <f t="shared" si="2"/>
        <v>47119</v>
      </c>
      <c r="CM27" s="59">
        <f t="shared" si="2"/>
        <v>47484</v>
      </c>
      <c r="CN27" s="59">
        <f t="shared" si="2"/>
        <v>47849</v>
      </c>
      <c r="CO27" s="59">
        <f t="shared" si="2"/>
        <v>48214</v>
      </c>
      <c r="CP27" s="59">
        <f t="shared" si="2"/>
        <v>48580</v>
      </c>
      <c r="CQ27" s="59">
        <f t="shared" si="2"/>
        <v>48945</v>
      </c>
      <c r="CR27" s="59">
        <f t="shared" si="2"/>
        <v>49310</v>
      </c>
      <c r="CS27" s="59">
        <f t="shared" si="2"/>
        <v>49675</v>
      </c>
      <c r="CT27" s="59">
        <f t="shared" si="2"/>
        <v>50041</v>
      </c>
      <c r="CU27" s="59">
        <f t="shared" si="2"/>
        <v>50406</v>
      </c>
      <c r="CV27" s="59">
        <f t="shared" si="2"/>
        <v>50771</v>
      </c>
      <c r="CW27" s="59">
        <f t="shared" si="2"/>
        <v>51136</v>
      </c>
      <c r="CX27" s="59">
        <f t="shared" si="2"/>
        <v>51502</v>
      </c>
      <c r="CY27" s="59">
        <f t="shared" si="2"/>
        <v>51867</v>
      </c>
      <c r="CZ27" s="59">
        <f t="shared" si="2"/>
        <v>52232</v>
      </c>
      <c r="DA27" s="59">
        <f t="shared" si="2"/>
        <v>52597</v>
      </c>
      <c r="DB27" s="59">
        <f t="shared" si="2"/>
        <v>52963</v>
      </c>
      <c r="DC27" s="59">
        <f t="shared" si="2"/>
        <v>53328</v>
      </c>
      <c r="DD27" s="59">
        <f t="shared" si="2"/>
        <v>53693</v>
      </c>
      <c r="DE27" s="59">
        <f t="shared" si="2"/>
        <v>54058</v>
      </c>
      <c r="DF27" s="59">
        <f t="shared" si="2"/>
        <v>54424</v>
      </c>
      <c r="DG27" s="59">
        <f t="shared" si="2"/>
        <v>54789</v>
      </c>
      <c r="DI27" s="59">
        <f>start_year</f>
        <v>43831</v>
      </c>
      <c r="DJ27" s="59">
        <f>EDATE(DI27,12)</f>
        <v>44197</v>
      </c>
      <c r="DK27" s="59">
        <f t="shared" ref="DK27:EM27" si="3">EDATE(DJ27,12)</f>
        <v>44562</v>
      </c>
      <c r="DL27" s="59">
        <f t="shared" si="3"/>
        <v>44927</v>
      </c>
      <c r="DM27" s="59">
        <f t="shared" si="3"/>
        <v>45292</v>
      </c>
      <c r="DN27" s="59">
        <f t="shared" si="3"/>
        <v>45658</v>
      </c>
      <c r="DO27" s="59">
        <f t="shared" si="3"/>
        <v>46023</v>
      </c>
      <c r="DP27" s="59">
        <f t="shared" si="3"/>
        <v>46388</v>
      </c>
      <c r="DQ27" s="59">
        <f t="shared" si="3"/>
        <v>46753</v>
      </c>
      <c r="DR27" s="59">
        <f t="shared" si="3"/>
        <v>47119</v>
      </c>
      <c r="DS27" s="59">
        <f t="shared" si="3"/>
        <v>47484</v>
      </c>
      <c r="DT27" s="59">
        <f t="shared" si="3"/>
        <v>47849</v>
      </c>
      <c r="DU27" s="59">
        <f t="shared" si="3"/>
        <v>48214</v>
      </c>
      <c r="DV27" s="59">
        <f t="shared" si="3"/>
        <v>48580</v>
      </c>
      <c r="DW27" s="59">
        <f t="shared" si="3"/>
        <v>48945</v>
      </c>
      <c r="DX27" s="59">
        <f t="shared" si="3"/>
        <v>49310</v>
      </c>
      <c r="DY27" s="59">
        <f t="shared" si="3"/>
        <v>49675</v>
      </c>
      <c r="DZ27" s="59">
        <f t="shared" si="3"/>
        <v>50041</v>
      </c>
      <c r="EA27" s="59">
        <f t="shared" si="3"/>
        <v>50406</v>
      </c>
      <c r="EB27" s="59">
        <f t="shared" si="3"/>
        <v>50771</v>
      </c>
      <c r="EC27" s="59">
        <f t="shared" si="3"/>
        <v>51136</v>
      </c>
      <c r="ED27" s="59">
        <f t="shared" si="3"/>
        <v>51502</v>
      </c>
      <c r="EE27" s="59">
        <f t="shared" si="3"/>
        <v>51867</v>
      </c>
      <c r="EF27" s="59">
        <f t="shared" si="3"/>
        <v>52232</v>
      </c>
      <c r="EG27" s="59">
        <f t="shared" si="3"/>
        <v>52597</v>
      </c>
      <c r="EH27" s="59">
        <f t="shared" si="3"/>
        <v>52963</v>
      </c>
      <c r="EI27" s="59">
        <f t="shared" si="3"/>
        <v>53328</v>
      </c>
      <c r="EJ27" s="59">
        <f t="shared" si="3"/>
        <v>53693</v>
      </c>
      <c r="EK27" s="59">
        <f t="shared" si="3"/>
        <v>54058</v>
      </c>
      <c r="EL27" s="59">
        <f t="shared" si="3"/>
        <v>54424</v>
      </c>
      <c r="EM27" s="59">
        <f t="shared" si="3"/>
        <v>54789</v>
      </c>
      <c r="EO27" s="59">
        <f>start_year</f>
        <v>43831</v>
      </c>
      <c r="EP27" s="59">
        <f>EDATE(EO27,12)</f>
        <v>44197</v>
      </c>
      <c r="EQ27" s="59">
        <f t="shared" ref="EQ27:FS27" si="4">EDATE(EP27,12)</f>
        <v>44562</v>
      </c>
      <c r="ER27" s="59">
        <f t="shared" si="4"/>
        <v>44927</v>
      </c>
      <c r="ES27" s="59">
        <f t="shared" si="4"/>
        <v>45292</v>
      </c>
      <c r="ET27" s="59">
        <f t="shared" si="4"/>
        <v>45658</v>
      </c>
      <c r="EU27" s="59">
        <f t="shared" si="4"/>
        <v>46023</v>
      </c>
      <c r="EV27" s="59">
        <f t="shared" si="4"/>
        <v>46388</v>
      </c>
      <c r="EW27" s="59">
        <f t="shared" si="4"/>
        <v>46753</v>
      </c>
      <c r="EX27" s="59">
        <f t="shared" si="4"/>
        <v>47119</v>
      </c>
      <c r="EY27" s="59">
        <f t="shared" si="4"/>
        <v>47484</v>
      </c>
      <c r="EZ27" s="59">
        <f t="shared" si="4"/>
        <v>47849</v>
      </c>
      <c r="FA27" s="59">
        <f t="shared" si="4"/>
        <v>48214</v>
      </c>
      <c r="FB27" s="59">
        <f t="shared" si="4"/>
        <v>48580</v>
      </c>
      <c r="FC27" s="59">
        <f t="shared" si="4"/>
        <v>48945</v>
      </c>
      <c r="FD27" s="59">
        <f t="shared" si="4"/>
        <v>49310</v>
      </c>
      <c r="FE27" s="59">
        <f t="shared" si="4"/>
        <v>49675</v>
      </c>
      <c r="FF27" s="59">
        <f t="shared" si="4"/>
        <v>50041</v>
      </c>
      <c r="FG27" s="59">
        <f t="shared" si="4"/>
        <v>50406</v>
      </c>
      <c r="FH27" s="59">
        <f t="shared" si="4"/>
        <v>50771</v>
      </c>
      <c r="FI27" s="59">
        <f t="shared" si="4"/>
        <v>51136</v>
      </c>
      <c r="FJ27" s="59">
        <f t="shared" si="4"/>
        <v>51502</v>
      </c>
      <c r="FK27" s="59">
        <f t="shared" si="4"/>
        <v>51867</v>
      </c>
      <c r="FL27" s="59">
        <f t="shared" si="4"/>
        <v>52232</v>
      </c>
      <c r="FM27" s="59">
        <f t="shared" si="4"/>
        <v>52597</v>
      </c>
      <c r="FN27" s="59">
        <f t="shared" si="4"/>
        <v>52963</v>
      </c>
      <c r="FO27" s="59">
        <f t="shared" si="4"/>
        <v>53328</v>
      </c>
      <c r="FP27" s="59">
        <f t="shared" si="4"/>
        <v>53693</v>
      </c>
      <c r="FQ27" s="59">
        <f t="shared" si="4"/>
        <v>54058</v>
      </c>
      <c r="FR27" s="59">
        <f t="shared" si="4"/>
        <v>54424</v>
      </c>
      <c r="FS27" s="59">
        <f t="shared" si="4"/>
        <v>54789</v>
      </c>
    </row>
    <row r="28" spans="3:175">
      <c r="C28" s="3"/>
      <c r="D28" s="16"/>
      <c r="E28" s="16"/>
      <c r="F28" s="39" t="str">
        <f t="shared" ref="F28:F47" si="5">IF(ISBLANK($C28),"-/-",COUNTIFS(component_names,$C28,component_types,$C$26)&gt;0)</f>
        <v>-/-</v>
      </c>
      <c r="G28" s="16"/>
      <c r="H28" s="3"/>
      <c r="I28" s="16"/>
      <c r="J28" s="19"/>
      <c r="K28" s="19"/>
      <c r="M28" s="19"/>
      <c r="N28" s="19"/>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C28" s="29"/>
      <c r="CD28" s="29"/>
      <c r="CE28" s="29"/>
      <c r="CF28" s="29"/>
      <c r="CG28" s="29"/>
      <c r="CH28" s="29"/>
      <c r="CI28" s="29"/>
      <c r="CJ28" s="29"/>
      <c r="CK28" s="29"/>
      <c r="CL28" s="29"/>
      <c r="CM28" s="29"/>
      <c r="CN28" s="29"/>
      <c r="CO28" s="29"/>
      <c r="CP28" s="29"/>
      <c r="CQ28" s="29"/>
      <c r="CR28" s="29"/>
      <c r="CS28" s="29"/>
      <c r="CT28" s="29"/>
      <c r="CU28" s="29"/>
      <c r="CV28" s="29"/>
      <c r="CW28" s="29"/>
      <c r="CX28" s="29"/>
      <c r="CY28" s="29"/>
      <c r="CZ28" s="29"/>
      <c r="DA28" s="29"/>
      <c r="DB28" s="29"/>
      <c r="DC28" s="29"/>
      <c r="DD28" s="29"/>
      <c r="DE28" s="29"/>
      <c r="DF28" s="29"/>
      <c r="DG28" s="29"/>
      <c r="DI28" s="23"/>
      <c r="DJ28" s="23"/>
      <c r="DK28" s="23"/>
      <c r="DL28" s="23"/>
      <c r="DM28" s="23"/>
      <c r="DN28" s="23"/>
      <c r="DO28" s="23"/>
      <c r="DP28" s="23"/>
      <c r="DQ28" s="23"/>
      <c r="DR28" s="23"/>
      <c r="DS28" s="23"/>
      <c r="DT28" s="23"/>
      <c r="DU28" s="23"/>
      <c r="DV28" s="23"/>
      <c r="DW28" s="23"/>
      <c r="DX28" s="23"/>
      <c r="DY28" s="23"/>
      <c r="DZ28" s="23"/>
      <c r="EA28" s="23"/>
      <c r="EB28" s="23"/>
      <c r="EC28" s="23"/>
      <c r="ED28" s="23"/>
      <c r="EE28" s="23"/>
      <c r="EF28" s="23"/>
      <c r="EG28" s="23"/>
      <c r="EH28" s="23"/>
      <c r="EI28" s="23"/>
      <c r="EJ28" s="23"/>
      <c r="EK28" s="23"/>
      <c r="EL28" s="23"/>
      <c r="EM28" s="23"/>
      <c r="EN28" s="24"/>
      <c r="EO28" s="23"/>
      <c r="EP28" s="23"/>
      <c r="EQ28" s="23"/>
      <c r="ER28" s="23"/>
      <c r="ES28" s="23"/>
      <c r="ET28" s="23"/>
      <c r="EU28" s="23"/>
      <c r="EV28" s="23"/>
      <c r="EW28" s="23"/>
      <c r="EX28" s="23"/>
      <c r="EY28" s="23"/>
      <c r="EZ28" s="23"/>
      <c r="FA28" s="23"/>
      <c r="FB28" s="23"/>
      <c r="FC28" s="23"/>
      <c r="FD28" s="23"/>
      <c r="FE28" s="23"/>
      <c r="FF28" s="23"/>
      <c r="FG28" s="23"/>
      <c r="FH28" s="23"/>
      <c r="FI28" s="23"/>
      <c r="FJ28" s="23"/>
      <c r="FK28" s="23"/>
      <c r="FL28" s="23"/>
      <c r="FM28" s="23"/>
      <c r="FN28" s="23"/>
      <c r="FO28" s="23"/>
      <c r="FP28" s="23"/>
      <c r="FQ28" s="23"/>
      <c r="FR28" s="23"/>
      <c r="FS28" s="23"/>
    </row>
    <row r="29" spans="3:175">
      <c r="C29" s="3"/>
      <c r="D29" s="16"/>
      <c r="E29" s="16"/>
      <c r="F29" s="39" t="str">
        <f t="shared" si="5"/>
        <v>-/-</v>
      </c>
      <c r="G29" s="16"/>
      <c r="H29" s="3"/>
      <c r="I29" s="16"/>
      <c r="J29" s="19"/>
      <c r="K29" s="19"/>
      <c r="M29" s="19"/>
      <c r="N29" s="19"/>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W29" s="29"/>
      <c r="AX29" s="29"/>
      <c r="AY29" s="29"/>
      <c r="AZ29" s="29"/>
      <c r="BA29" s="29"/>
      <c r="BB29" s="29"/>
      <c r="BC29" s="29"/>
      <c r="BD29" s="29"/>
      <c r="BE29" s="29"/>
      <c r="BF29" s="29"/>
      <c r="BG29" s="29"/>
      <c r="BH29" s="29"/>
      <c r="BI29" s="29"/>
      <c r="BJ29" s="29"/>
      <c r="BK29" s="29"/>
      <c r="BL29" s="29"/>
      <c r="BM29" s="29"/>
      <c r="BN29" s="29"/>
      <c r="BO29" s="29"/>
      <c r="BP29" s="29"/>
      <c r="BQ29" s="29"/>
      <c r="BR29" s="29"/>
      <c r="BS29" s="29"/>
      <c r="BT29" s="29"/>
      <c r="BU29" s="29"/>
      <c r="BV29" s="29"/>
      <c r="BW29" s="29"/>
      <c r="BX29" s="29"/>
      <c r="BY29" s="29"/>
      <c r="BZ29" s="29"/>
      <c r="CA29" s="29"/>
      <c r="CC29" s="29"/>
      <c r="CD29" s="29"/>
      <c r="CE29" s="29"/>
      <c r="CF29" s="29"/>
      <c r="CG29" s="29"/>
      <c r="CH29" s="29"/>
      <c r="CI29" s="29"/>
      <c r="CJ29" s="29"/>
      <c r="CK29" s="29"/>
      <c r="CL29" s="29"/>
      <c r="CM29" s="29"/>
      <c r="CN29" s="29"/>
      <c r="CO29" s="29"/>
      <c r="CP29" s="29"/>
      <c r="CQ29" s="29"/>
      <c r="CR29" s="29"/>
      <c r="CS29" s="29"/>
      <c r="CT29" s="29"/>
      <c r="CU29" s="29"/>
      <c r="CV29" s="29"/>
      <c r="CW29" s="29"/>
      <c r="CX29" s="29"/>
      <c r="CY29" s="29"/>
      <c r="CZ29" s="29"/>
      <c r="DA29" s="29"/>
      <c r="DB29" s="29"/>
      <c r="DC29" s="29"/>
      <c r="DD29" s="29"/>
      <c r="DE29" s="29"/>
      <c r="DF29" s="29"/>
      <c r="DG29" s="29"/>
      <c r="DI29" s="23"/>
      <c r="DJ29" s="23"/>
      <c r="DK29" s="23"/>
      <c r="DL29" s="23"/>
      <c r="DM29" s="23"/>
      <c r="DN29" s="23"/>
      <c r="DO29" s="23"/>
      <c r="DP29" s="23"/>
      <c r="DQ29" s="23"/>
      <c r="DR29" s="23"/>
      <c r="DS29" s="23"/>
      <c r="DT29" s="23"/>
      <c r="DU29" s="23"/>
      <c r="DV29" s="23"/>
      <c r="DW29" s="23"/>
      <c r="DX29" s="23"/>
      <c r="DY29" s="23"/>
      <c r="DZ29" s="23"/>
      <c r="EA29" s="23"/>
      <c r="EB29" s="23"/>
      <c r="EC29" s="23"/>
      <c r="ED29" s="23"/>
      <c r="EE29" s="23"/>
      <c r="EF29" s="23"/>
      <c r="EG29" s="23"/>
      <c r="EH29" s="23"/>
      <c r="EI29" s="23"/>
      <c r="EJ29" s="23"/>
      <c r="EK29" s="23"/>
      <c r="EL29" s="23"/>
      <c r="EM29" s="23"/>
      <c r="EN29" s="24"/>
      <c r="EO29" s="23"/>
      <c r="EP29" s="23"/>
      <c r="EQ29" s="23"/>
      <c r="ER29" s="23"/>
      <c r="ES29" s="23"/>
      <c r="ET29" s="23"/>
      <c r="EU29" s="23"/>
      <c r="EV29" s="23"/>
      <c r="EW29" s="23"/>
      <c r="EX29" s="23"/>
      <c r="EY29" s="23"/>
      <c r="EZ29" s="23"/>
      <c r="FA29" s="23"/>
      <c r="FB29" s="23"/>
      <c r="FC29" s="23"/>
      <c r="FD29" s="23"/>
      <c r="FE29" s="23"/>
      <c r="FF29" s="23"/>
      <c r="FG29" s="23"/>
      <c r="FH29" s="23"/>
      <c r="FI29" s="23"/>
      <c r="FJ29" s="23"/>
      <c r="FK29" s="23"/>
      <c r="FL29" s="23"/>
      <c r="FM29" s="23"/>
      <c r="FN29" s="23"/>
      <c r="FO29" s="23"/>
      <c r="FP29" s="23"/>
      <c r="FQ29" s="23"/>
      <c r="FR29" s="23"/>
      <c r="FS29" s="23"/>
    </row>
    <row r="30" spans="3:175">
      <c r="C30" s="3"/>
      <c r="F30" s="39" t="str">
        <f t="shared" si="5"/>
        <v>-/-</v>
      </c>
      <c r="H30" s="3"/>
      <c r="J30" s="19"/>
      <c r="K30" s="19"/>
      <c r="M30" s="19"/>
      <c r="N30" s="19"/>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W30" s="29"/>
      <c r="AX30" s="29"/>
      <c r="AY30" s="29"/>
      <c r="AZ30" s="29"/>
      <c r="BA30" s="29"/>
      <c r="BB30" s="29"/>
      <c r="BC30" s="29"/>
      <c r="BD30" s="29"/>
      <c r="BE30" s="29"/>
      <c r="BF30" s="29"/>
      <c r="BG30" s="29"/>
      <c r="BH30" s="29"/>
      <c r="BI30" s="29"/>
      <c r="BJ30" s="29"/>
      <c r="BK30" s="29"/>
      <c r="BL30" s="29"/>
      <c r="BM30" s="29"/>
      <c r="BN30" s="29"/>
      <c r="BO30" s="29"/>
      <c r="BP30" s="29"/>
      <c r="BQ30" s="29"/>
      <c r="BR30" s="29"/>
      <c r="BS30" s="29"/>
      <c r="BT30" s="29"/>
      <c r="BU30" s="29"/>
      <c r="BV30" s="29"/>
      <c r="BW30" s="29"/>
      <c r="BX30" s="29"/>
      <c r="BY30" s="29"/>
      <c r="BZ30" s="29"/>
      <c r="CA30" s="29"/>
      <c r="CC30" s="29"/>
      <c r="CD30" s="29"/>
      <c r="CE30" s="29"/>
      <c r="CF30" s="29"/>
      <c r="CG30" s="29"/>
      <c r="CH30" s="29"/>
      <c r="CI30" s="29"/>
      <c r="CJ30" s="29"/>
      <c r="CK30" s="29"/>
      <c r="CL30" s="29"/>
      <c r="CM30" s="29"/>
      <c r="CN30" s="29"/>
      <c r="CO30" s="29"/>
      <c r="CP30" s="29"/>
      <c r="CQ30" s="29"/>
      <c r="CR30" s="29"/>
      <c r="CS30" s="29"/>
      <c r="CT30" s="29"/>
      <c r="CU30" s="29"/>
      <c r="CV30" s="29"/>
      <c r="CW30" s="29"/>
      <c r="CX30" s="29"/>
      <c r="CY30" s="29"/>
      <c r="CZ30" s="29"/>
      <c r="DA30" s="29"/>
      <c r="DB30" s="29"/>
      <c r="DC30" s="29"/>
      <c r="DD30" s="29"/>
      <c r="DE30" s="29"/>
      <c r="DF30" s="29"/>
      <c r="DG30" s="29"/>
      <c r="DI30" s="23"/>
      <c r="DJ30" s="23"/>
      <c r="DK30" s="23"/>
      <c r="DL30" s="23"/>
      <c r="DM30" s="23"/>
      <c r="DN30" s="23"/>
      <c r="DO30" s="23"/>
      <c r="DP30" s="23"/>
      <c r="DQ30" s="23"/>
      <c r="DR30" s="23"/>
      <c r="DS30" s="23"/>
      <c r="DT30" s="23"/>
      <c r="DU30" s="23"/>
      <c r="DV30" s="23"/>
      <c r="DW30" s="23"/>
      <c r="DX30" s="23"/>
      <c r="DY30" s="23"/>
      <c r="DZ30" s="23"/>
      <c r="EA30" s="23"/>
      <c r="EB30" s="23"/>
      <c r="EC30" s="23"/>
      <c r="ED30" s="23"/>
      <c r="EE30" s="23"/>
      <c r="EF30" s="23"/>
      <c r="EG30" s="23"/>
      <c r="EH30" s="23"/>
      <c r="EI30" s="23"/>
      <c r="EJ30" s="23"/>
      <c r="EK30" s="23"/>
      <c r="EL30" s="23"/>
      <c r="EM30" s="23"/>
      <c r="EN30" s="24"/>
      <c r="EO30" s="23"/>
      <c r="EP30" s="23"/>
      <c r="EQ30" s="23"/>
      <c r="ER30" s="23"/>
      <c r="ES30" s="23"/>
      <c r="ET30" s="23"/>
      <c r="EU30" s="23"/>
      <c r="EV30" s="23"/>
      <c r="EW30" s="23"/>
      <c r="EX30" s="23"/>
      <c r="EY30" s="23"/>
      <c r="EZ30" s="23"/>
      <c r="FA30" s="23"/>
      <c r="FB30" s="23"/>
      <c r="FC30" s="23"/>
      <c r="FD30" s="23"/>
      <c r="FE30" s="23"/>
      <c r="FF30" s="23"/>
      <c r="FG30" s="23"/>
      <c r="FH30" s="23"/>
      <c r="FI30" s="23"/>
      <c r="FJ30" s="23"/>
      <c r="FK30" s="23"/>
      <c r="FL30" s="23"/>
      <c r="FM30" s="23"/>
      <c r="FN30" s="23"/>
      <c r="FO30" s="23"/>
      <c r="FP30" s="23"/>
      <c r="FQ30" s="23"/>
      <c r="FR30" s="23"/>
      <c r="FS30" s="23"/>
    </row>
    <row r="31" spans="3:175">
      <c r="C31" s="3"/>
      <c r="F31" s="39" t="str">
        <f t="shared" si="5"/>
        <v>-/-</v>
      </c>
      <c r="H31" s="3"/>
      <c r="J31" s="19"/>
      <c r="K31" s="19"/>
      <c r="M31" s="19"/>
      <c r="N31" s="19"/>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W31" s="29"/>
      <c r="AX31" s="29"/>
      <c r="AY31" s="29"/>
      <c r="AZ31" s="29"/>
      <c r="BA31" s="29"/>
      <c r="BB31" s="29"/>
      <c r="BC31" s="29"/>
      <c r="BD31" s="29"/>
      <c r="BE31" s="29"/>
      <c r="BF31" s="29"/>
      <c r="BG31" s="29"/>
      <c r="BH31" s="29"/>
      <c r="BI31" s="29"/>
      <c r="BJ31" s="29"/>
      <c r="BK31" s="29"/>
      <c r="BL31" s="29"/>
      <c r="BM31" s="29"/>
      <c r="BN31" s="29"/>
      <c r="BO31" s="29"/>
      <c r="BP31" s="29"/>
      <c r="BQ31" s="29"/>
      <c r="BR31" s="29"/>
      <c r="BS31" s="29"/>
      <c r="BT31" s="29"/>
      <c r="BU31" s="29"/>
      <c r="BV31" s="29"/>
      <c r="BW31" s="29"/>
      <c r="BX31" s="29"/>
      <c r="BY31" s="29"/>
      <c r="BZ31" s="29"/>
      <c r="CA31" s="29"/>
      <c r="CC31" s="29"/>
      <c r="CD31" s="29"/>
      <c r="CE31" s="29"/>
      <c r="CF31" s="29"/>
      <c r="CG31" s="29"/>
      <c r="CH31" s="29"/>
      <c r="CI31" s="29"/>
      <c r="CJ31" s="29"/>
      <c r="CK31" s="29"/>
      <c r="CL31" s="29"/>
      <c r="CM31" s="29"/>
      <c r="CN31" s="29"/>
      <c r="CO31" s="29"/>
      <c r="CP31" s="29"/>
      <c r="CQ31" s="29"/>
      <c r="CR31" s="29"/>
      <c r="CS31" s="29"/>
      <c r="CT31" s="29"/>
      <c r="CU31" s="29"/>
      <c r="CV31" s="29"/>
      <c r="CW31" s="29"/>
      <c r="CX31" s="29"/>
      <c r="CY31" s="29"/>
      <c r="CZ31" s="29"/>
      <c r="DA31" s="29"/>
      <c r="DB31" s="29"/>
      <c r="DC31" s="29"/>
      <c r="DD31" s="29"/>
      <c r="DE31" s="29"/>
      <c r="DF31" s="29"/>
      <c r="DG31" s="29"/>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4"/>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row>
    <row r="32" spans="3:175">
      <c r="C32" s="3"/>
      <c r="F32" s="39" t="str">
        <f t="shared" si="5"/>
        <v>-/-</v>
      </c>
      <c r="H32" s="3"/>
      <c r="J32" s="19"/>
      <c r="K32" s="19"/>
      <c r="M32" s="19"/>
      <c r="N32" s="19"/>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W32" s="29"/>
      <c r="AX32" s="29"/>
      <c r="AY32" s="29"/>
      <c r="AZ32" s="29"/>
      <c r="BA32" s="29"/>
      <c r="BB32" s="29"/>
      <c r="BC32" s="29"/>
      <c r="BD32" s="29"/>
      <c r="BE32" s="29"/>
      <c r="BF32" s="29"/>
      <c r="BG32" s="29"/>
      <c r="BH32" s="29"/>
      <c r="BI32" s="29"/>
      <c r="BJ32" s="29"/>
      <c r="BK32" s="29"/>
      <c r="BL32" s="29"/>
      <c r="BM32" s="29"/>
      <c r="BN32" s="29"/>
      <c r="BO32" s="29"/>
      <c r="BP32" s="29"/>
      <c r="BQ32" s="29"/>
      <c r="BR32" s="29"/>
      <c r="BS32" s="29"/>
      <c r="BT32" s="29"/>
      <c r="BU32" s="29"/>
      <c r="BV32" s="29"/>
      <c r="BW32" s="29"/>
      <c r="BX32" s="29"/>
      <c r="BY32" s="29"/>
      <c r="BZ32" s="29"/>
      <c r="CA32" s="29"/>
      <c r="CC32" s="29"/>
      <c r="CD32" s="29"/>
      <c r="CE32" s="29"/>
      <c r="CF32" s="29"/>
      <c r="CG32" s="29"/>
      <c r="CH32" s="29"/>
      <c r="CI32" s="29"/>
      <c r="CJ32" s="29"/>
      <c r="CK32" s="29"/>
      <c r="CL32" s="29"/>
      <c r="CM32" s="29"/>
      <c r="CN32" s="29"/>
      <c r="CO32" s="29"/>
      <c r="CP32" s="29"/>
      <c r="CQ32" s="29"/>
      <c r="CR32" s="29"/>
      <c r="CS32" s="29"/>
      <c r="CT32" s="29"/>
      <c r="CU32" s="29"/>
      <c r="CV32" s="29"/>
      <c r="CW32" s="29"/>
      <c r="CX32" s="29"/>
      <c r="CY32" s="29"/>
      <c r="CZ32" s="29"/>
      <c r="DA32" s="29"/>
      <c r="DB32" s="29"/>
      <c r="DC32" s="29"/>
      <c r="DD32" s="29"/>
      <c r="DE32" s="29"/>
      <c r="DF32" s="29"/>
      <c r="DG32" s="29"/>
      <c r="DI32" s="23"/>
      <c r="DJ32" s="23"/>
      <c r="DK32" s="23"/>
      <c r="DL32" s="23"/>
      <c r="DM32" s="23"/>
      <c r="DN32" s="23"/>
      <c r="DO32" s="23"/>
      <c r="DP32" s="23"/>
      <c r="DQ32" s="23"/>
      <c r="DR32" s="23"/>
      <c r="DS32" s="23"/>
      <c r="DT32" s="23"/>
      <c r="DU32" s="23"/>
      <c r="DV32" s="23"/>
      <c r="DW32" s="23"/>
      <c r="DX32" s="23"/>
      <c r="DY32" s="23"/>
      <c r="DZ32" s="23"/>
      <c r="EA32" s="23"/>
      <c r="EB32" s="23"/>
      <c r="EC32" s="23"/>
      <c r="ED32" s="23"/>
      <c r="EE32" s="23"/>
      <c r="EF32" s="23"/>
      <c r="EG32" s="23"/>
      <c r="EH32" s="23"/>
      <c r="EI32" s="23"/>
      <c r="EJ32" s="23"/>
      <c r="EK32" s="23"/>
      <c r="EL32" s="23"/>
      <c r="EM32" s="23"/>
      <c r="EN32" s="24"/>
      <c r="EO32" s="23"/>
      <c r="EP32" s="23"/>
      <c r="EQ32" s="23"/>
      <c r="ER32" s="23"/>
      <c r="ES32" s="23"/>
      <c r="ET32" s="23"/>
      <c r="EU32" s="23"/>
      <c r="EV32" s="23"/>
      <c r="EW32" s="23"/>
      <c r="EX32" s="23"/>
      <c r="EY32" s="23"/>
      <c r="EZ32" s="23"/>
      <c r="FA32" s="23"/>
      <c r="FB32" s="23"/>
      <c r="FC32" s="23"/>
      <c r="FD32" s="23"/>
      <c r="FE32" s="23"/>
      <c r="FF32" s="23"/>
      <c r="FG32" s="23"/>
      <c r="FH32" s="23"/>
      <c r="FI32" s="23"/>
      <c r="FJ32" s="23"/>
      <c r="FK32" s="23"/>
      <c r="FL32" s="23"/>
      <c r="FM32" s="23"/>
      <c r="FN32" s="23"/>
      <c r="FO32" s="23"/>
      <c r="FP32" s="23"/>
      <c r="FQ32" s="23"/>
      <c r="FR32" s="23"/>
      <c r="FS32" s="23"/>
    </row>
    <row r="33" spans="3:175">
      <c r="C33" s="3"/>
      <c r="F33" s="39" t="str">
        <f t="shared" si="5"/>
        <v>-/-</v>
      </c>
      <c r="H33" s="3"/>
      <c r="J33" s="19"/>
      <c r="K33" s="19"/>
      <c r="M33" s="19"/>
      <c r="N33" s="19"/>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W33" s="29"/>
      <c r="AX33" s="29"/>
      <c r="AY33" s="29"/>
      <c r="AZ33" s="29"/>
      <c r="BA33" s="29"/>
      <c r="BB33" s="29"/>
      <c r="BC33" s="29"/>
      <c r="BD33" s="29"/>
      <c r="BE33" s="29"/>
      <c r="BF33" s="29"/>
      <c r="BG33" s="29"/>
      <c r="BH33" s="29"/>
      <c r="BI33" s="29"/>
      <c r="BJ33" s="29"/>
      <c r="BK33" s="29"/>
      <c r="BL33" s="29"/>
      <c r="BM33" s="29"/>
      <c r="BN33" s="29"/>
      <c r="BO33" s="29"/>
      <c r="BP33" s="29"/>
      <c r="BQ33" s="29"/>
      <c r="BR33" s="29"/>
      <c r="BS33" s="29"/>
      <c r="BT33" s="29"/>
      <c r="BU33" s="29"/>
      <c r="BV33" s="29"/>
      <c r="BW33" s="29"/>
      <c r="BX33" s="29"/>
      <c r="BY33" s="29"/>
      <c r="BZ33" s="29"/>
      <c r="CA33" s="29"/>
      <c r="CC33" s="29"/>
      <c r="CD33" s="29"/>
      <c r="CE33" s="29"/>
      <c r="CF33" s="29"/>
      <c r="CG33" s="29"/>
      <c r="CH33" s="29"/>
      <c r="CI33" s="29"/>
      <c r="CJ33" s="29"/>
      <c r="CK33" s="29"/>
      <c r="CL33" s="29"/>
      <c r="CM33" s="29"/>
      <c r="CN33" s="29"/>
      <c r="CO33" s="29"/>
      <c r="CP33" s="29"/>
      <c r="CQ33" s="29"/>
      <c r="CR33" s="29"/>
      <c r="CS33" s="29"/>
      <c r="CT33" s="29"/>
      <c r="CU33" s="29"/>
      <c r="CV33" s="29"/>
      <c r="CW33" s="29"/>
      <c r="CX33" s="29"/>
      <c r="CY33" s="29"/>
      <c r="CZ33" s="29"/>
      <c r="DA33" s="29"/>
      <c r="DB33" s="29"/>
      <c r="DC33" s="29"/>
      <c r="DD33" s="29"/>
      <c r="DE33" s="29"/>
      <c r="DF33" s="29"/>
      <c r="DG33" s="29"/>
      <c r="DI33" s="23"/>
      <c r="DJ33" s="23"/>
      <c r="DK33" s="23"/>
      <c r="DL33" s="23"/>
      <c r="DM33" s="23"/>
      <c r="DN33" s="23"/>
      <c r="DO33" s="23"/>
      <c r="DP33" s="23"/>
      <c r="DQ33" s="23"/>
      <c r="DR33" s="23"/>
      <c r="DS33" s="23"/>
      <c r="DT33" s="23"/>
      <c r="DU33" s="23"/>
      <c r="DV33" s="23"/>
      <c r="DW33" s="23"/>
      <c r="DX33" s="23"/>
      <c r="DY33" s="23"/>
      <c r="DZ33" s="23"/>
      <c r="EA33" s="23"/>
      <c r="EB33" s="23"/>
      <c r="EC33" s="23"/>
      <c r="ED33" s="23"/>
      <c r="EE33" s="23"/>
      <c r="EF33" s="23"/>
      <c r="EG33" s="23"/>
      <c r="EH33" s="23"/>
      <c r="EI33" s="23"/>
      <c r="EJ33" s="23"/>
      <c r="EK33" s="23"/>
      <c r="EL33" s="23"/>
      <c r="EM33" s="23"/>
      <c r="EN33" s="24"/>
      <c r="EO33" s="23"/>
      <c r="EP33" s="23"/>
      <c r="EQ33" s="23"/>
      <c r="ER33" s="23"/>
      <c r="ES33" s="23"/>
      <c r="ET33" s="23"/>
      <c r="EU33" s="23"/>
      <c r="EV33" s="23"/>
      <c r="EW33" s="23"/>
      <c r="EX33" s="23"/>
      <c r="EY33" s="23"/>
      <c r="EZ33" s="23"/>
      <c r="FA33" s="23"/>
      <c r="FB33" s="23"/>
      <c r="FC33" s="23"/>
      <c r="FD33" s="23"/>
      <c r="FE33" s="23"/>
      <c r="FF33" s="23"/>
      <c r="FG33" s="23"/>
      <c r="FH33" s="23"/>
      <c r="FI33" s="23"/>
      <c r="FJ33" s="23"/>
      <c r="FK33" s="23"/>
      <c r="FL33" s="23"/>
      <c r="FM33" s="23"/>
      <c r="FN33" s="23"/>
      <c r="FO33" s="23"/>
      <c r="FP33" s="23"/>
      <c r="FQ33" s="23"/>
      <c r="FR33" s="23"/>
      <c r="FS33" s="23"/>
    </row>
    <row r="34" spans="3:175">
      <c r="C34" s="3"/>
      <c r="F34" s="39" t="str">
        <f t="shared" si="5"/>
        <v>-/-</v>
      </c>
      <c r="H34" s="3"/>
      <c r="J34" s="19"/>
      <c r="K34" s="19"/>
      <c r="M34" s="19"/>
      <c r="N34" s="19"/>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W34" s="29"/>
      <c r="AX34" s="29"/>
      <c r="AY34" s="29"/>
      <c r="AZ34" s="29"/>
      <c r="BA34" s="29"/>
      <c r="BB34" s="29"/>
      <c r="BC34" s="29"/>
      <c r="BD34" s="29"/>
      <c r="BE34" s="29"/>
      <c r="BF34" s="29"/>
      <c r="BG34" s="29"/>
      <c r="BH34" s="29"/>
      <c r="BI34" s="29"/>
      <c r="BJ34" s="29"/>
      <c r="BK34" s="29"/>
      <c r="BL34" s="29"/>
      <c r="BM34" s="29"/>
      <c r="BN34" s="29"/>
      <c r="BO34" s="29"/>
      <c r="BP34" s="29"/>
      <c r="BQ34" s="29"/>
      <c r="BR34" s="29"/>
      <c r="BS34" s="29"/>
      <c r="BT34" s="29"/>
      <c r="BU34" s="29"/>
      <c r="BV34" s="29"/>
      <c r="BW34" s="29"/>
      <c r="BX34" s="29"/>
      <c r="BY34" s="29"/>
      <c r="BZ34" s="29"/>
      <c r="CA34" s="29"/>
      <c r="CC34" s="29"/>
      <c r="CD34" s="29"/>
      <c r="CE34" s="29"/>
      <c r="CF34" s="29"/>
      <c r="CG34" s="29"/>
      <c r="CH34" s="29"/>
      <c r="CI34" s="29"/>
      <c r="CJ34" s="29"/>
      <c r="CK34" s="29"/>
      <c r="CL34" s="29"/>
      <c r="CM34" s="29"/>
      <c r="CN34" s="29"/>
      <c r="CO34" s="29"/>
      <c r="CP34" s="29"/>
      <c r="CQ34" s="29"/>
      <c r="CR34" s="29"/>
      <c r="CS34" s="29"/>
      <c r="CT34" s="29"/>
      <c r="CU34" s="29"/>
      <c r="CV34" s="29"/>
      <c r="CW34" s="29"/>
      <c r="CX34" s="29"/>
      <c r="CY34" s="29"/>
      <c r="CZ34" s="29"/>
      <c r="DA34" s="29"/>
      <c r="DB34" s="29"/>
      <c r="DC34" s="29"/>
      <c r="DD34" s="29"/>
      <c r="DE34" s="29"/>
      <c r="DF34" s="29"/>
      <c r="DG34" s="29"/>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4"/>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3"/>
      <c r="FS34" s="23"/>
    </row>
    <row r="35" spans="3:175">
      <c r="C35" s="3"/>
      <c r="F35" s="39" t="str">
        <f t="shared" si="5"/>
        <v>-/-</v>
      </c>
      <c r="H35" s="3"/>
      <c r="J35" s="19"/>
      <c r="K35" s="19"/>
      <c r="M35" s="19"/>
      <c r="N35" s="19"/>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W35" s="29"/>
      <c r="AX35" s="29"/>
      <c r="AY35" s="29"/>
      <c r="AZ35" s="29"/>
      <c r="BA35" s="29"/>
      <c r="BB35" s="29"/>
      <c r="BC35" s="29"/>
      <c r="BD35" s="29"/>
      <c r="BE35" s="29"/>
      <c r="BF35" s="29"/>
      <c r="BG35" s="29"/>
      <c r="BH35" s="29"/>
      <c r="BI35" s="29"/>
      <c r="BJ35" s="29"/>
      <c r="BK35" s="29"/>
      <c r="BL35" s="29"/>
      <c r="BM35" s="29"/>
      <c r="BN35" s="29"/>
      <c r="BO35" s="29"/>
      <c r="BP35" s="29"/>
      <c r="BQ35" s="29"/>
      <c r="BR35" s="29"/>
      <c r="BS35" s="29"/>
      <c r="BT35" s="29"/>
      <c r="BU35" s="29"/>
      <c r="BV35" s="29"/>
      <c r="BW35" s="29"/>
      <c r="BX35" s="29"/>
      <c r="BY35" s="29"/>
      <c r="BZ35" s="29"/>
      <c r="CA35" s="29"/>
      <c r="CC35" s="29"/>
      <c r="CD35" s="29"/>
      <c r="CE35" s="29"/>
      <c r="CF35" s="29"/>
      <c r="CG35" s="29"/>
      <c r="CH35" s="29"/>
      <c r="CI35" s="29"/>
      <c r="CJ35" s="29"/>
      <c r="CK35" s="29"/>
      <c r="CL35" s="29"/>
      <c r="CM35" s="29"/>
      <c r="CN35" s="29"/>
      <c r="CO35" s="29"/>
      <c r="CP35" s="29"/>
      <c r="CQ35" s="29"/>
      <c r="CR35" s="29"/>
      <c r="CS35" s="29"/>
      <c r="CT35" s="29"/>
      <c r="CU35" s="29"/>
      <c r="CV35" s="29"/>
      <c r="CW35" s="29"/>
      <c r="CX35" s="29"/>
      <c r="CY35" s="29"/>
      <c r="CZ35" s="29"/>
      <c r="DA35" s="29"/>
      <c r="DB35" s="29"/>
      <c r="DC35" s="29"/>
      <c r="DD35" s="29"/>
      <c r="DE35" s="29"/>
      <c r="DF35" s="29"/>
      <c r="DG35" s="29"/>
      <c r="DI35" s="23"/>
      <c r="DJ35" s="23"/>
      <c r="DK35" s="23"/>
      <c r="DL35" s="23"/>
      <c r="DM35" s="23"/>
      <c r="DN35" s="23"/>
      <c r="DO35" s="23"/>
      <c r="DP35" s="23"/>
      <c r="DQ35" s="23"/>
      <c r="DR35" s="23"/>
      <c r="DS35" s="23"/>
      <c r="DT35" s="23"/>
      <c r="DU35" s="23"/>
      <c r="DV35" s="23"/>
      <c r="DW35" s="23"/>
      <c r="DX35" s="23"/>
      <c r="DY35" s="23"/>
      <c r="DZ35" s="23"/>
      <c r="EA35" s="23"/>
      <c r="EB35" s="23"/>
      <c r="EC35" s="23"/>
      <c r="ED35" s="23"/>
      <c r="EE35" s="23"/>
      <c r="EF35" s="23"/>
      <c r="EG35" s="23"/>
      <c r="EH35" s="23"/>
      <c r="EI35" s="23"/>
      <c r="EJ35" s="23"/>
      <c r="EK35" s="23"/>
      <c r="EL35" s="23"/>
      <c r="EM35" s="23"/>
      <c r="EN35" s="24"/>
      <c r="EO35" s="23"/>
      <c r="EP35" s="23"/>
      <c r="EQ35" s="23"/>
      <c r="ER35" s="23"/>
      <c r="ES35" s="23"/>
      <c r="ET35" s="23"/>
      <c r="EU35" s="23"/>
      <c r="EV35" s="23"/>
      <c r="EW35" s="23"/>
      <c r="EX35" s="23"/>
      <c r="EY35" s="23"/>
      <c r="EZ35" s="23"/>
      <c r="FA35" s="23"/>
      <c r="FB35" s="23"/>
      <c r="FC35" s="23"/>
      <c r="FD35" s="23"/>
      <c r="FE35" s="23"/>
      <c r="FF35" s="23"/>
      <c r="FG35" s="23"/>
      <c r="FH35" s="23"/>
      <c r="FI35" s="23"/>
      <c r="FJ35" s="23"/>
      <c r="FK35" s="23"/>
      <c r="FL35" s="23"/>
      <c r="FM35" s="23"/>
      <c r="FN35" s="23"/>
      <c r="FO35" s="23"/>
      <c r="FP35" s="23"/>
      <c r="FQ35" s="23"/>
      <c r="FR35" s="23"/>
      <c r="FS35" s="23"/>
    </row>
    <row r="36" spans="3:175">
      <c r="C36" s="3"/>
      <c r="F36" s="39" t="str">
        <f t="shared" si="5"/>
        <v>-/-</v>
      </c>
      <c r="H36" s="3"/>
      <c r="J36" s="19"/>
      <c r="K36" s="19"/>
      <c r="M36" s="19"/>
      <c r="N36" s="19"/>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W36" s="29"/>
      <c r="AX36" s="29"/>
      <c r="AY36" s="29"/>
      <c r="AZ36" s="29"/>
      <c r="BA36" s="29"/>
      <c r="BB36" s="29"/>
      <c r="BC36" s="29"/>
      <c r="BD36" s="29"/>
      <c r="BE36" s="29"/>
      <c r="BF36" s="29"/>
      <c r="BG36" s="29"/>
      <c r="BH36" s="29"/>
      <c r="BI36" s="29"/>
      <c r="BJ36" s="29"/>
      <c r="BK36" s="29"/>
      <c r="BL36" s="29"/>
      <c r="BM36" s="29"/>
      <c r="BN36" s="29"/>
      <c r="BO36" s="29"/>
      <c r="BP36" s="29"/>
      <c r="BQ36" s="29"/>
      <c r="BR36" s="29"/>
      <c r="BS36" s="29"/>
      <c r="BT36" s="29"/>
      <c r="BU36" s="29"/>
      <c r="BV36" s="29"/>
      <c r="BW36" s="29"/>
      <c r="BX36" s="29"/>
      <c r="BY36" s="29"/>
      <c r="BZ36" s="29"/>
      <c r="CA36" s="29"/>
      <c r="CC36" s="29"/>
      <c r="CD36" s="29"/>
      <c r="CE36" s="29"/>
      <c r="CF36" s="29"/>
      <c r="CG36" s="29"/>
      <c r="CH36" s="29"/>
      <c r="CI36" s="29"/>
      <c r="CJ36" s="29"/>
      <c r="CK36" s="29"/>
      <c r="CL36" s="29"/>
      <c r="CM36" s="29"/>
      <c r="CN36" s="29"/>
      <c r="CO36" s="29"/>
      <c r="CP36" s="29"/>
      <c r="CQ36" s="29"/>
      <c r="CR36" s="29"/>
      <c r="CS36" s="29"/>
      <c r="CT36" s="29"/>
      <c r="CU36" s="29"/>
      <c r="CV36" s="29"/>
      <c r="CW36" s="29"/>
      <c r="CX36" s="29"/>
      <c r="CY36" s="29"/>
      <c r="CZ36" s="29"/>
      <c r="DA36" s="29"/>
      <c r="DB36" s="29"/>
      <c r="DC36" s="29"/>
      <c r="DD36" s="29"/>
      <c r="DE36" s="29"/>
      <c r="DF36" s="29"/>
      <c r="DG36" s="29"/>
      <c r="DI36" s="23"/>
      <c r="DJ36" s="23"/>
      <c r="DK36" s="23"/>
      <c r="DL36" s="23"/>
      <c r="DM36" s="23"/>
      <c r="DN36" s="23"/>
      <c r="DO36" s="23"/>
      <c r="DP36" s="23"/>
      <c r="DQ36" s="23"/>
      <c r="DR36" s="23"/>
      <c r="DS36" s="23"/>
      <c r="DT36" s="23"/>
      <c r="DU36" s="23"/>
      <c r="DV36" s="23"/>
      <c r="DW36" s="23"/>
      <c r="DX36" s="23"/>
      <c r="DY36" s="23"/>
      <c r="DZ36" s="23"/>
      <c r="EA36" s="23"/>
      <c r="EB36" s="23"/>
      <c r="EC36" s="23"/>
      <c r="ED36" s="23"/>
      <c r="EE36" s="23"/>
      <c r="EF36" s="23"/>
      <c r="EG36" s="23"/>
      <c r="EH36" s="23"/>
      <c r="EI36" s="23"/>
      <c r="EJ36" s="23"/>
      <c r="EK36" s="23"/>
      <c r="EL36" s="23"/>
      <c r="EM36" s="23"/>
      <c r="EN36" s="24"/>
      <c r="EO36" s="23"/>
      <c r="EP36" s="23"/>
      <c r="EQ36" s="23"/>
      <c r="ER36" s="23"/>
      <c r="ES36" s="23"/>
      <c r="ET36" s="23"/>
      <c r="EU36" s="23"/>
      <c r="EV36" s="23"/>
      <c r="EW36" s="23"/>
      <c r="EX36" s="23"/>
      <c r="EY36" s="23"/>
      <c r="EZ36" s="23"/>
      <c r="FA36" s="23"/>
      <c r="FB36" s="23"/>
      <c r="FC36" s="23"/>
      <c r="FD36" s="23"/>
      <c r="FE36" s="23"/>
      <c r="FF36" s="23"/>
      <c r="FG36" s="23"/>
      <c r="FH36" s="23"/>
      <c r="FI36" s="23"/>
      <c r="FJ36" s="23"/>
      <c r="FK36" s="23"/>
      <c r="FL36" s="23"/>
      <c r="FM36" s="23"/>
      <c r="FN36" s="23"/>
      <c r="FO36" s="23"/>
      <c r="FP36" s="23"/>
      <c r="FQ36" s="23"/>
      <c r="FR36" s="23"/>
      <c r="FS36" s="23"/>
    </row>
    <row r="37" spans="3:175">
      <c r="C37" s="3"/>
      <c r="F37" s="39" t="str">
        <f t="shared" si="5"/>
        <v>-/-</v>
      </c>
      <c r="H37" s="3"/>
      <c r="J37" s="19"/>
      <c r="K37" s="19"/>
      <c r="M37" s="19"/>
      <c r="N37" s="19"/>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W37" s="29"/>
      <c r="AX37" s="29"/>
      <c r="AY37" s="29"/>
      <c r="AZ37" s="29"/>
      <c r="BA37" s="29"/>
      <c r="BB37" s="29"/>
      <c r="BC37" s="29"/>
      <c r="BD37" s="29"/>
      <c r="BE37" s="29"/>
      <c r="BF37" s="29"/>
      <c r="BG37" s="29"/>
      <c r="BH37" s="29"/>
      <c r="BI37" s="29"/>
      <c r="BJ37" s="29"/>
      <c r="BK37" s="29"/>
      <c r="BL37" s="29"/>
      <c r="BM37" s="29"/>
      <c r="BN37" s="29"/>
      <c r="BO37" s="29"/>
      <c r="BP37" s="29"/>
      <c r="BQ37" s="29"/>
      <c r="BR37" s="29"/>
      <c r="BS37" s="29"/>
      <c r="BT37" s="29"/>
      <c r="BU37" s="29"/>
      <c r="BV37" s="29"/>
      <c r="BW37" s="29"/>
      <c r="BX37" s="29"/>
      <c r="BY37" s="29"/>
      <c r="BZ37" s="29"/>
      <c r="CA37" s="29"/>
      <c r="CC37" s="29"/>
      <c r="CD37" s="29"/>
      <c r="CE37" s="29"/>
      <c r="CF37" s="29"/>
      <c r="CG37" s="29"/>
      <c r="CH37" s="29"/>
      <c r="CI37" s="29"/>
      <c r="CJ37" s="29"/>
      <c r="CK37" s="29"/>
      <c r="CL37" s="29"/>
      <c r="CM37" s="29"/>
      <c r="CN37" s="29"/>
      <c r="CO37" s="29"/>
      <c r="CP37" s="29"/>
      <c r="CQ37" s="29"/>
      <c r="CR37" s="29"/>
      <c r="CS37" s="29"/>
      <c r="CT37" s="29"/>
      <c r="CU37" s="29"/>
      <c r="CV37" s="29"/>
      <c r="CW37" s="29"/>
      <c r="CX37" s="29"/>
      <c r="CY37" s="29"/>
      <c r="CZ37" s="29"/>
      <c r="DA37" s="29"/>
      <c r="DB37" s="29"/>
      <c r="DC37" s="29"/>
      <c r="DD37" s="29"/>
      <c r="DE37" s="29"/>
      <c r="DF37" s="29"/>
      <c r="DG37" s="29"/>
      <c r="DI37" s="23"/>
      <c r="DJ37" s="23"/>
      <c r="DK37" s="23"/>
      <c r="DL37" s="23"/>
      <c r="DM37" s="23"/>
      <c r="DN37" s="23"/>
      <c r="DO37" s="23"/>
      <c r="DP37" s="23"/>
      <c r="DQ37" s="23"/>
      <c r="DR37" s="23"/>
      <c r="DS37" s="23"/>
      <c r="DT37" s="23"/>
      <c r="DU37" s="23"/>
      <c r="DV37" s="23"/>
      <c r="DW37" s="23"/>
      <c r="DX37" s="23"/>
      <c r="DY37" s="23"/>
      <c r="DZ37" s="23"/>
      <c r="EA37" s="23"/>
      <c r="EB37" s="23"/>
      <c r="EC37" s="23"/>
      <c r="ED37" s="23"/>
      <c r="EE37" s="23"/>
      <c r="EF37" s="23"/>
      <c r="EG37" s="23"/>
      <c r="EH37" s="23"/>
      <c r="EI37" s="23"/>
      <c r="EJ37" s="23"/>
      <c r="EK37" s="23"/>
      <c r="EL37" s="23"/>
      <c r="EM37" s="23"/>
      <c r="EN37" s="24"/>
      <c r="EO37" s="23"/>
      <c r="EP37" s="23"/>
      <c r="EQ37" s="23"/>
      <c r="ER37" s="23"/>
      <c r="ES37" s="23"/>
      <c r="ET37" s="23"/>
      <c r="EU37" s="23"/>
      <c r="EV37" s="23"/>
      <c r="EW37" s="23"/>
      <c r="EX37" s="23"/>
      <c r="EY37" s="23"/>
      <c r="EZ37" s="23"/>
      <c r="FA37" s="23"/>
      <c r="FB37" s="23"/>
      <c r="FC37" s="23"/>
      <c r="FD37" s="23"/>
      <c r="FE37" s="23"/>
      <c r="FF37" s="23"/>
      <c r="FG37" s="23"/>
      <c r="FH37" s="23"/>
      <c r="FI37" s="23"/>
      <c r="FJ37" s="23"/>
      <c r="FK37" s="23"/>
      <c r="FL37" s="23"/>
      <c r="FM37" s="23"/>
      <c r="FN37" s="23"/>
      <c r="FO37" s="23"/>
      <c r="FP37" s="23"/>
      <c r="FQ37" s="23"/>
      <c r="FR37" s="23"/>
      <c r="FS37" s="23"/>
    </row>
    <row r="38" spans="3:175">
      <c r="C38" s="3"/>
      <c r="F38" s="39" t="str">
        <f t="shared" si="5"/>
        <v>-/-</v>
      </c>
      <c r="H38" s="3"/>
      <c r="J38" s="19"/>
      <c r="K38" s="19"/>
      <c r="M38" s="19"/>
      <c r="N38" s="19"/>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W38" s="29"/>
      <c r="AX38" s="29"/>
      <c r="AY38" s="29"/>
      <c r="AZ38" s="29"/>
      <c r="BA38" s="29"/>
      <c r="BB38" s="29"/>
      <c r="BC38" s="29"/>
      <c r="BD38" s="29"/>
      <c r="BE38" s="29"/>
      <c r="BF38" s="29"/>
      <c r="BG38" s="29"/>
      <c r="BH38" s="29"/>
      <c r="BI38" s="29"/>
      <c r="BJ38" s="29"/>
      <c r="BK38" s="29"/>
      <c r="BL38" s="29"/>
      <c r="BM38" s="29"/>
      <c r="BN38" s="29"/>
      <c r="BO38" s="29"/>
      <c r="BP38" s="29"/>
      <c r="BQ38" s="29"/>
      <c r="BR38" s="29"/>
      <c r="BS38" s="29"/>
      <c r="BT38" s="29"/>
      <c r="BU38" s="29"/>
      <c r="BV38" s="29"/>
      <c r="BW38" s="29"/>
      <c r="BX38" s="29"/>
      <c r="BY38" s="29"/>
      <c r="BZ38" s="29"/>
      <c r="CA38" s="29"/>
      <c r="CC38" s="29"/>
      <c r="CD38" s="29"/>
      <c r="CE38" s="29"/>
      <c r="CF38" s="29"/>
      <c r="CG38" s="29"/>
      <c r="CH38" s="29"/>
      <c r="CI38" s="29"/>
      <c r="CJ38" s="29"/>
      <c r="CK38" s="29"/>
      <c r="CL38" s="29"/>
      <c r="CM38" s="29"/>
      <c r="CN38" s="29"/>
      <c r="CO38" s="29"/>
      <c r="CP38" s="29"/>
      <c r="CQ38" s="29"/>
      <c r="CR38" s="29"/>
      <c r="CS38" s="29"/>
      <c r="CT38" s="29"/>
      <c r="CU38" s="29"/>
      <c r="CV38" s="29"/>
      <c r="CW38" s="29"/>
      <c r="CX38" s="29"/>
      <c r="CY38" s="29"/>
      <c r="CZ38" s="29"/>
      <c r="DA38" s="29"/>
      <c r="DB38" s="29"/>
      <c r="DC38" s="29"/>
      <c r="DD38" s="29"/>
      <c r="DE38" s="29"/>
      <c r="DF38" s="29"/>
      <c r="DG38" s="29"/>
      <c r="DI38" s="23"/>
      <c r="DJ38" s="23"/>
      <c r="DK38" s="23"/>
      <c r="DL38" s="23"/>
      <c r="DM38" s="23"/>
      <c r="DN38" s="23"/>
      <c r="DO38" s="23"/>
      <c r="DP38" s="23"/>
      <c r="DQ38" s="23"/>
      <c r="DR38" s="23"/>
      <c r="DS38" s="23"/>
      <c r="DT38" s="23"/>
      <c r="DU38" s="23"/>
      <c r="DV38" s="23"/>
      <c r="DW38" s="23"/>
      <c r="DX38" s="23"/>
      <c r="DY38" s="23"/>
      <c r="DZ38" s="23"/>
      <c r="EA38" s="23"/>
      <c r="EB38" s="23"/>
      <c r="EC38" s="23"/>
      <c r="ED38" s="23"/>
      <c r="EE38" s="23"/>
      <c r="EF38" s="23"/>
      <c r="EG38" s="23"/>
      <c r="EH38" s="23"/>
      <c r="EI38" s="23"/>
      <c r="EJ38" s="23"/>
      <c r="EK38" s="23"/>
      <c r="EL38" s="23"/>
      <c r="EM38" s="23"/>
      <c r="EN38" s="24"/>
      <c r="EO38" s="23"/>
      <c r="EP38" s="23"/>
      <c r="EQ38" s="23"/>
      <c r="ER38" s="23"/>
      <c r="ES38" s="23"/>
      <c r="ET38" s="23"/>
      <c r="EU38" s="23"/>
      <c r="EV38" s="23"/>
      <c r="EW38" s="23"/>
      <c r="EX38" s="23"/>
      <c r="EY38" s="23"/>
      <c r="EZ38" s="23"/>
      <c r="FA38" s="23"/>
      <c r="FB38" s="23"/>
      <c r="FC38" s="23"/>
      <c r="FD38" s="23"/>
      <c r="FE38" s="23"/>
      <c r="FF38" s="23"/>
      <c r="FG38" s="23"/>
      <c r="FH38" s="23"/>
      <c r="FI38" s="23"/>
      <c r="FJ38" s="23"/>
      <c r="FK38" s="23"/>
      <c r="FL38" s="23"/>
      <c r="FM38" s="23"/>
      <c r="FN38" s="23"/>
      <c r="FO38" s="23"/>
      <c r="FP38" s="23"/>
      <c r="FQ38" s="23"/>
      <c r="FR38" s="23"/>
      <c r="FS38" s="23"/>
    </row>
    <row r="39" spans="3:175">
      <c r="C39" s="3"/>
      <c r="F39" s="39" t="str">
        <f t="shared" si="5"/>
        <v>-/-</v>
      </c>
      <c r="H39" s="3"/>
      <c r="J39" s="19"/>
      <c r="K39" s="19"/>
      <c r="M39" s="19"/>
      <c r="N39" s="19"/>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W39" s="29"/>
      <c r="AX39" s="29"/>
      <c r="AY39" s="29"/>
      <c r="AZ39" s="29"/>
      <c r="BA39" s="29"/>
      <c r="BB39" s="29"/>
      <c r="BC39" s="29"/>
      <c r="BD39" s="29"/>
      <c r="BE39" s="29"/>
      <c r="BF39" s="29"/>
      <c r="BG39" s="29"/>
      <c r="BH39" s="29"/>
      <c r="BI39" s="29"/>
      <c r="BJ39" s="29"/>
      <c r="BK39" s="29"/>
      <c r="BL39" s="29"/>
      <c r="BM39" s="29"/>
      <c r="BN39" s="29"/>
      <c r="BO39" s="29"/>
      <c r="BP39" s="29"/>
      <c r="BQ39" s="29"/>
      <c r="BR39" s="29"/>
      <c r="BS39" s="29"/>
      <c r="BT39" s="29"/>
      <c r="BU39" s="29"/>
      <c r="BV39" s="29"/>
      <c r="BW39" s="29"/>
      <c r="BX39" s="29"/>
      <c r="BY39" s="29"/>
      <c r="BZ39" s="29"/>
      <c r="CA39" s="29"/>
      <c r="CC39" s="29"/>
      <c r="CD39" s="29"/>
      <c r="CE39" s="29"/>
      <c r="CF39" s="29"/>
      <c r="CG39" s="29"/>
      <c r="CH39" s="29"/>
      <c r="CI39" s="29"/>
      <c r="CJ39" s="29"/>
      <c r="CK39" s="29"/>
      <c r="CL39" s="29"/>
      <c r="CM39" s="29"/>
      <c r="CN39" s="29"/>
      <c r="CO39" s="29"/>
      <c r="CP39" s="29"/>
      <c r="CQ39" s="29"/>
      <c r="CR39" s="29"/>
      <c r="CS39" s="29"/>
      <c r="CT39" s="29"/>
      <c r="CU39" s="29"/>
      <c r="CV39" s="29"/>
      <c r="CW39" s="29"/>
      <c r="CX39" s="29"/>
      <c r="CY39" s="29"/>
      <c r="CZ39" s="29"/>
      <c r="DA39" s="29"/>
      <c r="DB39" s="29"/>
      <c r="DC39" s="29"/>
      <c r="DD39" s="29"/>
      <c r="DE39" s="29"/>
      <c r="DF39" s="29"/>
      <c r="DG39" s="29"/>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4"/>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row>
    <row r="40" spans="3:175">
      <c r="C40" s="3"/>
      <c r="F40" s="39" t="str">
        <f t="shared" si="5"/>
        <v>-/-</v>
      </c>
      <c r="H40" s="3"/>
      <c r="J40" s="19"/>
      <c r="K40" s="19"/>
      <c r="M40" s="19"/>
      <c r="N40" s="19"/>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W40" s="29"/>
      <c r="AX40" s="29"/>
      <c r="AY40" s="29"/>
      <c r="AZ40" s="29"/>
      <c r="BA40" s="29"/>
      <c r="BB40" s="29"/>
      <c r="BC40" s="29"/>
      <c r="BD40" s="29"/>
      <c r="BE40" s="29"/>
      <c r="BF40" s="29"/>
      <c r="BG40" s="29"/>
      <c r="BH40" s="29"/>
      <c r="BI40" s="29"/>
      <c r="BJ40" s="29"/>
      <c r="BK40" s="29"/>
      <c r="BL40" s="29"/>
      <c r="BM40" s="29"/>
      <c r="BN40" s="29"/>
      <c r="BO40" s="29"/>
      <c r="BP40" s="29"/>
      <c r="BQ40" s="29"/>
      <c r="BR40" s="29"/>
      <c r="BS40" s="29"/>
      <c r="BT40" s="29"/>
      <c r="BU40" s="29"/>
      <c r="BV40" s="29"/>
      <c r="BW40" s="29"/>
      <c r="BX40" s="29"/>
      <c r="BY40" s="29"/>
      <c r="BZ40" s="29"/>
      <c r="CA40" s="29"/>
      <c r="CC40" s="29"/>
      <c r="CD40" s="29"/>
      <c r="CE40" s="29"/>
      <c r="CF40" s="29"/>
      <c r="CG40" s="29"/>
      <c r="CH40" s="29"/>
      <c r="CI40" s="29"/>
      <c r="CJ40" s="29"/>
      <c r="CK40" s="29"/>
      <c r="CL40" s="29"/>
      <c r="CM40" s="29"/>
      <c r="CN40" s="29"/>
      <c r="CO40" s="29"/>
      <c r="CP40" s="29"/>
      <c r="CQ40" s="29"/>
      <c r="CR40" s="29"/>
      <c r="CS40" s="29"/>
      <c r="CT40" s="29"/>
      <c r="CU40" s="29"/>
      <c r="CV40" s="29"/>
      <c r="CW40" s="29"/>
      <c r="CX40" s="29"/>
      <c r="CY40" s="29"/>
      <c r="CZ40" s="29"/>
      <c r="DA40" s="29"/>
      <c r="DB40" s="29"/>
      <c r="DC40" s="29"/>
      <c r="DD40" s="29"/>
      <c r="DE40" s="29"/>
      <c r="DF40" s="29"/>
      <c r="DG40" s="29"/>
      <c r="DI40" s="23"/>
      <c r="DJ40" s="23"/>
      <c r="DK40" s="23"/>
      <c r="DL40" s="23"/>
      <c r="DM40" s="23"/>
      <c r="DN40" s="23"/>
      <c r="DO40" s="23"/>
      <c r="DP40" s="23"/>
      <c r="DQ40" s="23"/>
      <c r="DR40" s="23"/>
      <c r="DS40" s="23"/>
      <c r="DT40" s="23"/>
      <c r="DU40" s="23"/>
      <c r="DV40" s="23"/>
      <c r="DW40" s="23"/>
      <c r="DX40" s="23"/>
      <c r="DY40" s="23"/>
      <c r="DZ40" s="23"/>
      <c r="EA40" s="23"/>
      <c r="EB40" s="23"/>
      <c r="EC40" s="23"/>
      <c r="ED40" s="23"/>
      <c r="EE40" s="23"/>
      <c r="EF40" s="23"/>
      <c r="EG40" s="23"/>
      <c r="EH40" s="23"/>
      <c r="EI40" s="23"/>
      <c r="EJ40" s="23"/>
      <c r="EK40" s="23"/>
      <c r="EL40" s="23"/>
      <c r="EM40" s="23"/>
      <c r="EN40" s="24"/>
      <c r="EO40" s="23"/>
      <c r="EP40" s="23"/>
      <c r="EQ40" s="23"/>
      <c r="ER40" s="23"/>
      <c r="ES40" s="23"/>
      <c r="ET40" s="23"/>
      <c r="EU40" s="23"/>
      <c r="EV40" s="23"/>
      <c r="EW40" s="23"/>
      <c r="EX40" s="23"/>
      <c r="EY40" s="23"/>
      <c r="EZ40" s="23"/>
      <c r="FA40" s="23"/>
      <c r="FB40" s="23"/>
      <c r="FC40" s="23"/>
      <c r="FD40" s="23"/>
      <c r="FE40" s="23"/>
      <c r="FF40" s="23"/>
      <c r="FG40" s="23"/>
      <c r="FH40" s="23"/>
      <c r="FI40" s="23"/>
      <c r="FJ40" s="23"/>
      <c r="FK40" s="23"/>
      <c r="FL40" s="23"/>
      <c r="FM40" s="23"/>
      <c r="FN40" s="23"/>
      <c r="FO40" s="23"/>
      <c r="FP40" s="23"/>
      <c r="FQ40" s="23"/>
      <c r="FR40" s="23"/>
      <c r="FS40" s="23"/>
    </row>
    <row r="41" spans="3:175">
      <c r="C41" s="3"/>
      <c r="F41" s="39" t="str">
        <f t="shared" si="5"/>
        <v>-/-</v>
      </c>
      <c r="H41" s="3"/>
      <c r="J41" s="19"/>
      <c r="K41" s="19"/>
      <c r="M41" s="19"/>
      <c r="N41" s="19"/>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W41" s="29"/>
      <c r="AX41" s="29"/>
      <c r="AY41" s="29"/>
      <c r="AZ41" s="29"/>
      <c r="BA41" s="29"/>
      <c r="BB41" s="29"/>
      <c r="BC41" s="29"/>
      <c r="BD41" s="29"/>
      <c r="BE41" s="29"/>
      <c r="BF41" s="29"/>
      <c r="BG41" s="29"/>
      <c r="BH41" s="29"/>
      <c r="BI41" s="29"/>
      <c r="BJ41" s="29"/>
      <c r="BK41" s="29"/>
      <c r="BL41" s="29"/>
      <c r="BM41" s="29"/>
      <c r="BN41" s="29"/>
      <c r="BO41" s="29"/>
      <c r="BP41" s="29"/>
      <c r="BQ41" s="29"/>
      <c r="BR41" s="29"/>
      <c r="BS41" s="29"/>
      <c r="BT41" s="29"/>
      <c r="BU41" s="29"/>
      <c r="BV41" s="29"/>
      <c r="BW41" s="29"/>
      <c r="BX41" s="29"/>
      <c r="BY41" s="29"/>
      <c r="BZ41" s="29"/>
      <c r="CA41" s="29"/>
      <c r="CC41" s="29"/>
      <c r="CD41" s="29"/>
      <c r="CE41" s="29"/>
      <c r="CF41" s="29"/>
      <c r="CG41" s="29"/>
      <c r="CH41" s="29"/>
      <c r="CI41" s="29"/>
      <c r="CJ41" s="29"/>
      <c r="CK41" s="29"/>
      <c r="CL41" s="29"/>
      <c r="CM41" s="29"/>
      <c r="CN41" s="29"/>
      <c r="CO41" s="29"/>
      <c r="CP41" s="29"/>
      <c r="CQ41" s="29"/>
      <c r="CR41" s="29"/>
      <c r="CS41" s="29"/>
      <c r="CT41" s="29"/>
      <c r="CU41" s="29"/>
      <c r="CV41" s="29"/>
      <c r="CW41" s="29"/>
      <c r="CX41" s="29"/>
      <c r="CY41" s="29"/>
      <c r="CZ41" s="29"/>
      <c r="DA41" s="29"/>
      <c r="DB41" s="29"/>
      <c r="DC41" s="29"/>
      <c r="DD41" s="29"/>
      <c r="DE41" s="29"/>
      <c r="DF41" s="29"/>
      <c r="DG41" s="29"/>
      <c r="DI41" s="23"/>
      <c r="DJ41" s="23"/>
      <c r="DK41" s="23"/>
      <c r="DL41" s="23"/>
      <c r="DM41" s="23"/>
      <c r="DN41" s="23"/>
      <c r="DO41" s="23"/>
      <c r="DP41" s="23"/>
      <c r="DQ41" s="23"/>
      <c r="DR41" s="23"/>
      <c r="DS41" s="23"/>
      <c r="DT41" s="23"/>
      <c r="DU41" s="23"/>
      <c r="DV41" s="23"/>
      <c r="DW41" s="23"/>
      <c r="DX41" s="23"/>
      <c r="DY41" s="23"/>
      <c r="DZ41" s="23"/>
      <c r="EA41" s="23"/>
      <c r="EB41" s="23"/>
      <c r="EC41" s="23"/>
      <c r="ED41" s="23"/>
      <c r="EE41" s="23"/>
      <c r="EF41" s="23"/>
      <c r="EG41" s="23"/>
      <c r="EH41" s="23"/>
      <c r="EI41" s="23"/>
      <c r="EJ41" s="23"/>
      <c r="EK41" s="23"/>
      <c r="EL41" s="23"/>
      <c r="EM41" s="23"/>
      <c r="EN41" s="24"/>
      <c r="EO41" s="23"/>
      <c r="EP41" s="23"/>
      <c r="EQ41" s="23"/>
      <c r="ER41" s="23"/>
      <c r="ES41" s="23"/>
      <c r="ET41" s="23"/>
      <c r="EU41" s="23"/>
      <c r="EV41" s="23"/>
      <c r="EW41" s="23"/>
      <c r="EX41" s="23"/>
      <c r="EY41" s="23"/>
      <c r="EZ41" s="23"/>
      <c r="FA41" s="23"/>
      <c r="FB41" s="23"/>
      <c r="FC41" s="23"/>
      <c r="FD41" s="23"/>
      <c r="FE41" s="23"/>
      <c r="FF41" s="23"/>
      <c r="FG41" s="23"/>
      <c r="FH41" s="23"/>
      <c r="FI41" s="23"/>
      <c r="FJ41" s="23"/>
      <c r="FK41" s="23"/>
      <c r="FL41" s="23"/>
      <c r="FM41" s="23"/>
      <c r="FN41" s="23"/>
      <c r="FO41" s="23"/>
      <c r="FP41" s="23"/>
      <c r="FQ41" s="23"/>
      <c r="FR41" s="23"/>
      <c r="FS41" s="23"/>
    </row>
    <row r="42" spans="3:175">
      <c r="C42" s="3"/>
      <c r="F42" s="39" t="str">
        <f t="shared" si="5"/>
        <v>-/-</v>
      </c>
      <c r="H42" s="3"/>
      <c r="J42" s="19"/>
      <c r="K42" s="19"/>
      <c r="M42" s="19"/>
      <c r="N42" s="19"/>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W42" s="25"/>
      <c r="AX42" s="25"/>
      <c r="AY42" s="25"/>
      <c r="AZ42" s="25"/>
      <c r="BA42" s="25"/>
      <c r="BB42" s="25"/>
      <c r="BC42" s="25"/>
      <c r="BD42" s="25"/>
      <c r="BE42" s="25"/>
      <c r="BF42" s="25"/>
      <c r="BG42" s="25"/>
      <c r="BH42" s="25"/>
      <c r="BI42" s="25"/>
      <c r="BJ42" s="25"/>
      <c r="BK42" s="25"/>
      <c r="BL42" s="25"/>
      <c r="BM42" s="25"/>
      <c r="BN42" s="25"/>
      <c r="BO42" s="25"/>
      <c r="BP42" s="25"/>
      <c r="BQ42" s="25"/>
      <c r="BR42" s="25"/>
      <c r="BS42" s="25"/>
      <c r="BT42" s="25"/>
      <c r="BU42" s="25"/>
      <c r="BV42" s="25"/>
      <c r="BW42" s="25"/>
      <c r="BX42" s="25"/>
      <c r="BY42" s="25"/>
      <c r="BZ42" s="25"/>
      <c r="CA42" s="25"/>
      <c r="CC42" s="29"/>
      <c r="CD42" s="29"/>
      <c r="CE42" s="29"/>
      <c r="CF42" s="29"/>
      <c r="CG42" s="29"/>
      <c r="CH42" s="29"/>
      <c r="CI42" s="29"/>
      <c r="CJ42" s="29"/>
      <c r="CK42" s="29"/>
      <c r="CL42" s="29"/>
      <c r="CM42" s="29"/>
      <c r="CN42" s="29"/>
      <c r="CO42" s="29"/>
      <c r="CP42" s="29"/>
      <c r="CQ42" s="29"/>
      <c r="CR42" s="29"/>
      <c r="CS42" s="29"/>
      <c r="CT42" s="29"/>
      <c r="CU42" s="29"/>
      <c r="CV42" s="29"/>
      <c r="CW42" s="29"/>
      <c r="CX42" s="29"/>
      <c r="CY42" s="29"/>
      <c r="CZ42" s="29"/>
      <c r="DA42" s="29"/>
      <c r="DB42" s="29"/>
      <c r="DC42" s="29"/>
      <c r="DD42" s="29"/>
      <c r="DE42" s="29"/>
      <c r="DF42" s="29"/>
      <c r="DG42" s="29"/>
      <c r="DI42" s="23"/>
      <c r="DJ42" s="23"/>
      <c r="DK42" s="23"/>
      <c r="DL42" s="23"/>
      <c r="DM42" s="23"/>
      <c r="DN42" s="23"/>
      <c r="DO42" s="23"/>
      <c r="DP42" s="23"/>
      <c r="DQ42" s="23"/>
      <c r="DR42" s="23"/>
      <c r="DS42" s="23"/>
      <c r="DT42" s="23"/>
      <c r="DU42" s="23"/>
      <c r="DV42" s="23"/>
      <c r="DW42" s="23"/>
      <c r="DX42" s="23"/>
      <c r="DY42" s="23"/>
      <c r="DZ42" s="23"/>
      <c r="EA42" s="23"/>
      <c r="EB42" s="23"/>
      <c r="EC42" s="23"/>
      <c r="ED42" s="23"/>
      <c r="EE42" s="23"/>
      <c r="EF42" s="23"/>
      <c r="EG42" s="23"/>
      <c r="EH42" s="23"/>
      <c r="EI42" s="23"/>
      <c r="EJ42" s="23"/>
      <c r="EK42" s="23"/>
      <c r="EL42" s="23"/>
      <c r="EM42" s="23"/>
      <c r="EO42" s="23"/>
      <c r="EP42" s="23"/>
      <c r="EQ42" s="23"/>
      <c r="ER42" s="23"/>
      <c r="ES42" s="23"/>
      <c r="ET42" s="23"/>
      <c r="EU42" s="23"/>
      <c r="EV42" s="23"/>
      <c r="EW42" s="23"/>
      <c r="EX42" s="23"/>
      <c r="EY42" s="23"/>
      <c r="EZ42" s="23"/>
      <c r="FA42" s="23"/>
      <c r="FB42" s="23"/>
      <c r="FC42" s="23"/>
      <c r="FD42" s="23"/>
      <c r="FE42" s="23"/>
      <c r="FF42" s="23"/>
      <c r="FG42" s="23"/>
      <c r="FH42" s="23"/>
      <c r="FI42" s="23"/>
      <c r="FJ42" s="23"/>
      <c r="FK42" s="23"/>
      <c r="FL42" s="23"/>
      <c r="FM42" s="23"/>
      <c r="FN42" s="23"/>
      <c r="FO42" s="23"/>
      <c r="FP42" s="23"/>
      <c r="FQ42" s="23"/>
      <c r="FR42" s="23"/>
      <c r="FS42" s="23"/>
    </row>
    <row r="43" spans="3:175">
      <c r="C43" s="3"/>
      <c r="F43" s="39" t="str">
        <f t="shared" si="5"/>
        <v>-/-</v>
      </c>
      <c r="H43" s="3"/>
      <c r="J43" s="19"/>
      <c r="K43" s="19"/>
      <c r="M43" s="19"/>
      <c r="N43" s="19"/>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W43" s="25"/>
      <c r="AX43" s="25"/>
      <c r="AY43" s="25"/>
      <c r="AZ43" s="25"/>
      <c r="BA43" s="25"/>
      <c r="BB43" s="25"/>
      <c r="BC43" s="25"/>
      <c r="BD43" s="25"/>
      <c r="BE43" s="25"/>
      <c r="BF43" s="25"/>
      <c r="BG43" s="25"/>
      <c r="BH43" s="25"/>
      <c r="BI43" s="25"/>
      <c r="BJ43" s="25"/>
      <c r="BK43" s="25"/>
      <c r="BL43" s="25"/>
      <c r="BM43" s="25"/>
      <c r="BN43" s="25"/>
      <c r="BO43" s="25"/>
      <c r="BP43" s="25"/>
      <c r="BQ43" s="25"/>
      <c r="BR43" s="25"/>
      <c r="BS43" s="25"/>
      <c r="BT43" s="25"/>
      <c r="BU43" s="25"/>
      <c r="BV43" s="25"/>
      <c r="BW43" s="25"/>
      <c r="BX43" s="25"/>
      <c r="BY43" s="25"/>
      <c r="BZ43" s="25"/>
      <c r="CA43" s="25"/>
      <c r="CC43" s="29"/>
      <c r="CD43" s="29"/>
      <c r="CE43" s="29"/>
      <c r="CF43" s="29"/>
      <c r="CG43" s="29"/>
      <c r="CH43" s="29"/>
      <c r="CI43" s="29"/>
      <c r="CJ43" s="29"/>
      <c r="CK43" s="29"/>
      <c r="CL43" s="29"/>
      <c r="CM43" s="29"/>
      <c r="CN43" s="29"/>
      <c r="CO43" s="29"/>
      <c r="CP43" s="29"/>
      <c r="CQ43" s="29"/>
      <c r="CR43" s="29"/>
      <c r="CS43" s="29"/>
      <c r="CT43" s="29"/>
      <c r="CU43" s="29"/>
      <c r="CV43" s="29"/>
      <c r="CW43" s="29"/>
      <c r="CX43" s="29"/>
      <c r="CY43" s="29"/>
      <c r="CZ43" s="29"/>
      <c r="DA43" s="29"/>
      <c r="DB43" s="29"/>
      <c r="DC43" s="29"/>
      <c r="DD43" s="29"/>
      <c r="DE43" s="29"/>
      <c r="DF43" s="29"/>
      <c r="DG43" s="29"/>
      <c r="DI43" s="23"/>
      <c r="DJ43" s="23"/>
      <c r="DK43" s="23"/>
      <c r="DL43" s="23"/>
      <c r="DM43" s="23"/>
      <c r="DN43" s="23"/>
      <c r="DO43" s="23"/>
      <c r="DP43" s="23"/>
      <c r="DQ43" s="23"/>
      <c r="DR43" s="23"/>
      <c r="DS43" s="23"/>
      <c r="DT43" s="23"/>
      <c r="DU43" s="23"/>
      <c r="DV43" s="23"/>
      <c r="DW43" s="23"/>
      <c r="DX43" s="23"/>
      <c r="DY43" s="23"/>
      <c r="DZ43" s="23"/>
      <c r="EA43" s="23"/>
      <c r="EB43" s="23"/>
      <c r="EC43" s="23"/>
      <c r="ED43" s="23"/>
      <c r="EE43" s="23"/>
      <c r="EF43" s="23"/>
      <c r="EG43" s="23"/>
      <c r="EH43" s="23"/>
      <c r="EI43" s="23"/>
      <c r="EJ43" s="23"/>
      <c r="EK43" s="23"/>
      <c r="EL43" s="23"/>
      <c r="EM43" s="23"/>
      <c r="EO43" s="23"/>
      <c r="EP43" s="23"/>
      <c r="EQ43" s="23"/>
      <c r="ER43" s="23"/>
      <c r="ES43" s="23"/>
      <c r="ET43" s="23"/>
      <c r="EU43" s="23"/>
      <c r="EV43" s="23"/>
      <c r="EW43" s="23"/>
      <c r="EX43" s="23"/>
      <c r="EY43" s="23"/>
      <c r="EZ43" s="23"/>
      <c r="FA43" s="23"/>
      <c r="FB43" s="23"/>
      <c r="FC43" s="23"/>
      <c r="FD43" s="23"/>
      <c r="FE43" s="23"/>
      <c r="FF43" s="23"/>
      <c r="FG43" s="23"/>
      <c r="FH43" s="23"/>
      <c r="FI43" s="23"/>
      <c r="FJ43" s="23"/>
      <c r="FK43" s="23"/>
      <c r="FL43" s="23"/>
      <c r="FM43" s="23"/>
      <c r="FN43" s="23"/>
      <c r="FO43" s="23"/>
      <c r="FP43" s="23"/>
      <c r="FQ43" s="23"/>
      <c r="FR43" s="23"/>
      <c r="FS43" s="23"/>
    </row>
    <row r="44" spans="3:175">
      <c r="C44" s="3"/>
      <c r="F44" s="39" t="str">
        <f t="shared" si="5"/>
        <v>-/-</v>
      </c>
      <c r="H44" s="3"/>
      <c r="J44" s="19"/>
      <c r="K44" s="19"/>
      <c r="M44" s="19"/>
      <c r="N44" s="19"/>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W44" s="25"/>
      <c r="AX44" s="25"/>
      <c r="AY44" s="25"/>
      <c r="AZ44" s="25"/>
      <c r="BA44" s="25"/>
      <c r="BB44" s="25"/>
      <c r="BC44" s="25"/>
      <c r="BD44" s="25"/>
      <c r="BE44" s="25"/>
      <c r="BF44" s="25"/>
      <c r="BG44" s="25"/>
      <c r="BH44" s="25"/>
      <c r="BI44" s="25"/>
      <c r="BJ44" s="25"/>
      <c r="BK44" s="25"/>
      <c r="BL44" s="25"/>
      <c r="BM44" s="25"/>
      <c r="BN44" s="25"/>
      <c r="BO44" s="25"/>
      <c r="BP44" s="25"/>
      <c r="BQ44" s="25"/>
      <c r="BR44" s="25"/>
      <c r="BS44" s="25"/>
      <c r="BT44" s="25"/>
      <c r="BU44" s="25"/>
      <c r="BV44" s="25"/>
      <c r="BW44" s="25"/>
      <c r="BX44" s="25"/>
      <c r="BY44" s="25"/>
      <c r="BZ44" s="25"/>
      <c r="CA44" s="25"/>
      <c r="CC44" s="29"/>
      <c r="CD44" s="29"/>
      <c r="CE44" s="29"/>
      <c r="CF44" s="29"/>
      <c r="CG44" s="29"/>
      <c r="CH44" s="29"/>
      <c r="CI44" s="29"/>
      <c r="CJ44" s="29"/>
      <c r="CK44" s="29"/>
      <c r="CL44" s="29"/>
      <c r="CM44" s="29"/>
      <c r="CN44" s="29"/>
      <c r="CO44" s="29"/>
      <c r="CP44" s="29"/>
      <c r="CQ44" s="29"/>
      <c r="CR44" s="29"/>
      <c r="CS44" s="29"/>
      <c r="CT44" s="29"/>
      <c r="CU44" s="29"/>
      <c r="CV44" s="29"/>
      <c r="CW44" s="29"/>
      <c r="CX44" s="29"/>
      <c r="CY44" s="29"/>
      <c r="CZ44" s="29"/>
      <c r="DA44" s="29"/>
      <c r="DB44" s="29"/>
      <c r="DC44" s="29"/>
      <c r="DD44" s="29"/>
      <c r="DE44" s="29"/>
      <c r="DF44" s="29"/>
      <c r="DG44" s="29"/>
      <c r="DI44" s="23"/>
      <c r="DJ44" s="23"/>
      <c r="DK44" s="23"/>
      <c r="DL44" s="23"/>
      <c r="DM44" s="23"/>
      <c r="DN44" s="23"/>
      <c r="DO44" s="23"/>
      <c r="DP44" s="23"/>
      <c r="DQ44" s="23"/>
      <c r="DR44" s="23"/>
      <c r="DS44" s="23"/>
      <c r="DT44" s="23"/>
      <c r="DU44" s="23"/>
      <c r="DV44" s="23"/>
      <c r="DW44" s="23"/>
      <c r="DX44" s="23"/>
      <c r="DY44" s="23"/>
      <c r="DZ44" s="23"/>
      <c r="EA44" s="23"/>
      <c r="EB44" s="23"/>
      <c r="EC44" s="23"/>
      <c r="ED44" s="23"/>
      <c r="EE44" s="23"/>
      <c r="EF44" s="23"/>
      <c r="EG44" s="23"/>
      <c r="EH44" s="23"/>
      <c r="EI44" s="23"/>
      <c r="EJ44" s="23"/>
      <c r="EK44" s="23"/>
      <c r="EL44" s="23"/>
      <c r="EM44" s="23"/>
      <c r="EO44" s="23"/>
      <c r="EP44" s="23"/>
      <c r="EQ44" s="23"/>
      <c r="ER44" s="23"/>
      <c r="ES44" s="23"/>
      <c r="ET44" s="23"/>
      <c r="EU44" s="23"/>
      <c r="EV44" s="23"/>
      <c r="EW44" s="23"/>
      <c r="EX44" s="23"/>
      <c r="EY44" s="23"/>
      <c r="EZ44" s="23"/>
      <c r="FA44" s="23"/>
      <c r="FB44" s="23"/>
      <c r="FC44" s="23"/>
      <c r="FD44" s="23"/>
      <c r="FE44" s="23"/>
      <c r="FF44" s="23"/>
      <c r="FG44" s="23"/>
      <c r="FH44" s="23"/>
      <c r="FI44" s="23"/>
      <c r="FJ44" s="23"/>
      <c r="FK44" s="23"/>
      <c r="FL44" s="23"/>
      <c r="FM44" s="23"/>
      <c r="FN44" s="23"/>
      <c r="FO44" s="23"/>
      <c r="FP44" s="23"/>
      <c r="FQ44" s="23"/>
      <c r="FR44" s="23"/>
      <c r="FS44" s="23"/>
    </row>
    <row r="45" spans="3:175">
      <c r="C45" s="3"/>
      <c r="F45" s="39" t="str">
        <f t="shared" si="5"/>
        <v>-/-</v>
      </c>
      <c r="H45" s="3"/>
      <c r="J45" s="19"/>
      <c r="K45" s="19"/>
      <c r="M45" s="19"/>
      <c r="N45" s="19"/>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W45" s="25"/>
      <c r="AX45" s="25"/>
      <c r="AY45" s="25"/>
      <c r="AZ45" s="25"/>
      <c r="BA45" s="25"/>
      <c r="BB45" s="25"/>
      <c r="BC45" s="25"/>
      <c r="BD45" s="25"/>
      <c r="BE45" s="25"/>
      <c r="BF45" s="25"/>
      <c r="BG45" s="25"/>
      <c r="BH45" s="25"/>
      <c r="BI45" s="25"/>
      <c r="BJ45" s="25"/>
      <c r="BK45" s="25"/>
      <c r="BL45" s="25"/>
      <c r="BM45" s="25"/>
      <c r="BN45" s="25"/>
      <c r="BO45" s="25"/>
      <c r="BP45" s="25"/>
      <c r="BQ45" s="25"/>
      <c r="BR45" s="25"/>
      <c r="BS45" s="25"/>
      <c r="BT45" s="25"/>
      <c r="BU45" s="25"/>
      <c r="BV45" s="25"/>
      <c r="BW45" s="25"/>
      <c r="BX45" s="25"/>
      <c r="BY45" s="25"/>
      <c r="BZ45" s="25"/>
      <c r="CA45" s="25"/>
      <c r="CC45" s="29"/>
      <c r="CD45" s="29"/>
      <c r="CE45" s="29"/>
      <c r="CF45" s="29"/>
      <c r="CG45" s="29"/>
      <c r="CH45" s="29"/>
      <c r="CI45" s="29"/>
      <c r="CJ45" s="29"/>
      <c r="CK45" s="29"/>
      <c r="CL45" s="29"/>
      <c r="CM45" s="29"/>
      <c r="CN45" s="29"/>
      <c r="CO45" s="29"/>
      <c r="CP45" s="29"/>
      <c r="CQ45" s="29"/>
      <c r="CR45" s="29"/>
      <c r="CS45" s="29"/>
      <c r="CT45" s="29"/>
      <c r="CU45" s="29"/>
      <c r="CV45" s="29"/>
      <c r="CW45" s="29"/>
      <c r="CX45" s="29"/>
      <c r="CY45" s="29"/>
      <c r="CZ45" s="29"/>
      <c r="DA45" s="29"/>
      <c r="DB45" s="29"/>
      <c r="DC45" s="29"/>
      <c r="DD45" s="29"/>
      <c r="DE45" s="29"/>
      <c r="DF45" s="29"/>
      <c r="DG45" s="29"/>
      <c r="DI45" s="23"/>
      <c r="DJ45" s="23"/>
      <c r="DK45" s="23"/>
      <c r="DL45" s="23"/>
      <c r="DM45" s="23"/>
      <c r="DN45" s="23"/>
      <c r="DO45" s="23"/>
      <c r="DP45" s="23"/>
      <c r="DQ45" s="23"/>
      <c r="DR45" s="23"/>
      <c r="DS45" s="23"/>
      <c r="DT45" s="23"/>
      <c r="DU45" s="23"/>
      <c r="DV45" s="23"/>
      <c r="DW45" s="23"/>
      <c r="DX45" s="23"/>
      <c r="DY45" s="23"/>
      <c r="DZ45" s="23"/>
      <c r="EA45" s="23"/>
      <c r="EB45" s="23"/>
      <c r="EC45" s="23"/>
      <c r="ED45" s="23"/>
      <c r="EE45" s="23"/>
      <c r="EF45" s="23"/>
      <c r="EG45" s="23"/>
      <c r="EH45" s="23"/>
      <c r="EI45" s="23"/>
      <c r="EJ45" s="23"/>
      <c r="EK45" s="23"/>
      <c r="EL45" s="23"/>
      <c r="EM45" s="23"/>
      <c r="EO45" s="23"/>
      <c r="EP45" s="23"/>
      <c r="EQ45" s="23"/>
      <c r="ER45" s="23"/>
      <c r="ES45" s="23"/>
      <c r="ET45" s="23"/>
      <c r="EU45" s="23"/>
      <c r="EV45" s="23"/>
      <c r="EW45" s="23"/>
      <c r="EX45" s="23"/>
      <c r="EY45" s="23"/>
      <c r="EZ45" s="23"/>
      <c r="FA45" s="23"/>
      <c r="FB45" s="23"/>
      <c r="FC45" s="23"/>
      <c r="FD45" s="23"/>
      <c r="FE45" s="23"/>
      <c r="FF45" s="23"/>
      <c r="FG45" s="23"/>
      <c r="FH45" s="23"/>
      <c r="FI45" s="23"/>
      <c r="FJ45" s="23"/>
      <c r="FK45" s="23"/>
      <c r="FL45" s="23"/>
      <c r="FM45" s="23"/>
      <c r="FN45" s="23"/>
      <c r="FO45" s="23"/>
      <c r="FP45" s="23"/>
      <c r="FQ45" s="23"/>
      <c r="FR45" s="23"/>
      <c r="FS45" s="23"/>
    </row>
    <row r="46" spans="3:175">
      <c r="C46" s="3"/>
      <c r="F46" s="39" t="str">
        <f t="shared" si="5"/>
        <v>-/-</v>
      </c>
      <c r="H46" s="3"/>
      <c r="J46" s="19"/>
      <c r="K46" s="19"/>
      <c r="M46" s="19"/>
      <c r="N46" s="19"/>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W46" s="25"/>
      <c r="AX46" s="25"/>
      <c r="AY46" s="25"/>
      <c r="AZ46" s="25"/>
      <c r="BA46" s="25"/>
      <c r="BB46" s="25"/>
      <c r="BC46" s="25"/>
      <c r="BD46" s="25"/>
      <c r="BE46" s="25"/>
      <c r="BF46" s="25"/>
      <c r="BG46" s="25"/>
      <c r="BH46" s="25"/>
      <c r="BI46" s="25"/>
      <c r="BJ46" s="25"/>
      <c r="BK46" s="25"/>
      <c r="BL46" s="25"/>
      <c r="BM46" s="25"/>
      <c r="BN46" s="25"/>
      <c r="BO46" s="25"/>
      <c r="BP46" s="25"/>
      <c r="BQ46" s="25"/>
      <c r="BR46" s="25"/>
      <c r="BS46" s="25"/>
      <c r="BT46" s="25"/>
      <c r="BU46" s="25"/>
      <c r="BV46" s="25"/>
      <c r="BW46" s="25"/>
      <c r="BX46" s="25"/>
      <c r="BY46" s="25"/>
      <c r="BZ46" s="25"/>
      <c r="CA46" s="25"/>
      <c r="CC46" s="29"/>
      <c r="CD46" s="29"/>
      <c r="CE46" s="29"/>
      <c r="CF46" s="29"/>
      <c r="CG46" s="29"/>
      <c r="CH46" s="29"/>
      <c r="CI46" s="29"/>
      <c r="CJ46" s="29"/>
      <c r="CK46" s="29"/>
      <c r="CL46" s="29"/>
      <c r="CM46" s="29"/>
      <c r="CN46" s="29"/>
      <c r="CO46" s="29"/>
      <c r="CP46" s="29"/>
      <c r="CQ46" s="29"/>
      <c r="CR46" s="29"/>
      <c r="CS46" s="29"/>
      <c r="CT46" s="29"/>
      <c r="CU46" s="29"/>
      <c r="CV46" s="29"/>
      <c r="CW46" s="29"/>
      <c r="CX46" s="29"/>
      <c r="CY46" s="29"/>
      <c r="CZ46" s="29"/>
      <c r="DA46" s="29"/>
      <c r="DB46" s="29"/>
      <c r="DC46" s="29"/>
      <c r="DD46" s="29"/>
      <c r="DE46" s="29"/>
      <c r="DF46" s="29"/>
      <c r="DG46" s="29"/>
      <c r="DI46" s="23"/>
      <c r="DJ46" s="23"/>
      <c r="DK46" s="23"/>
      <c r="DL46" s="23"/>
      <c r="DM46" s="23"/>
      <c r="DN46" s="23"/>
      <c r="DO46" s="23"/>
      <c r="DP46" s="23"/>
      <c r="DQ46" s="23"/>
      <c r="DR46" s="23"/>
      <c r="DS46" s="23"/>
      <c r="DT46" s="23"/>
      <c r="DU46" s="23"/>
      <c r="DV46" s="23"/>
      <c r="DW46" s="23"/>
      <c r="DX46" s="23"/>
      <c r="DY46" s="23"/>
      <c r="DZ46" s="23"/>
      <c r="EA46" s="23"/>
      <c r="EB46" s="23"/>
      <c r="EC46" s="23"/>
      <c r="ED46" s="23"/>
      <c r="EE46" s="23"/>
      <c r="EF46" s="23"/>
      <c r="EG46" s="23"/>
      <c r="EH46" s="23"/>
      <c r="EI46" s="23"/>
      <c r="EJ46" s="23"/>
      <c r="EK46" s="23"/>
      <c r="EL46" s="23"/>
      <c r="EM46" s="23"/>
      <c r="EO46" s="23"/>
      <c r="EP46" s="23"/>
      <c r="EQ46" s="23"/>
      <c r="ER46" s="23"/>
      <c r="ES46" s="23"/>
      <c r="ET46" s="23"/>
      <c r="EU46" s="23"/>
      <c r="EV46" s="23"/>
      <c r="EW46" s="23"/>
      <c r="EX46" s="23"/>
      <c r="EY46" s="23"/>
      <c r="EZ46" s="23"/>
      <c r="FA46" s="23"/>
      <c r="FB46" s="23"/>
      <c r="FC46" s="23"/>
      <c r="FD46" s="23"/>
      <c r="FE46" s="23"/>
      <c r="FF46" s="23"/>
      <c r="FG46" s="23"/>
      <c r="FH46" s="23"/>
      <c r="FI46" s="23"/>
      <c r="FJ46" s="23"/>
      <c r="FK46" s="23"/>
      <c r="FL46" s="23"/>
      <c r="FM46" s="23"/>
      <c r="FN46" s="23"/>
      <c r="FO46" s="23"/>
      <c r="FP46" s="23"/>
      <c r="FQ46" s="23"/>
      <c r="FR46" s="23"/>
      <c r="FS46" s="23"/>
    </row>
    <row r="47" spans="3:175">
      <c r="C47" s="3"/>
      <c r="F47" s="39" t="str">
        <f t="shared" si="5"/>
        <v>-/-</v>
      </c>
      <c r="H47" s="3"/>
      <c r="J47" s="19"/>
      <c r="K47" s="19"/>
      <c r="M47" s="19"/>
      <c r="N47" s="19"/>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W47" s="25"/>
      <c r="AX47" s="25"/>
      <c r="AY47" s="25"/>
      <c r="AZ47" s="25"/>
      <c r="BA47" s="25"/>
      <c r="BB47" s="25"/>
      <c r="BC47" s="25"/>
      <c r="BD47" s="25"/>
      <c r="BE47" s="25"/>
      <c r="BF47" s="25"/>
      <c r="BG47" s="25"/>
      <c r="BH47" s="25"/>
      <c r="BI47" s="25"/>
      <c r="BJ47" s="25"/>
      <c r="BK47" s="25"/>
      <c r="BL47" s="25"/>
      <c r="BM47" s="25"/>
      <c r="BN47" s="25"/>
      <c r="BO47" s="25"/>
      <c r="BP47" s="25"/>
      <c r="BQ47" s="25"/>
      <c r="BR47" s="25"/>
      <c r="BS47" s="25"/>
      <c r="BT47" s="25"/>
      <c r="BU47" s="25"/>
      <c r="BV47" s="25"/>
      <c r="BW47" s="25"/>
      <c r="BX47" s="25"/>
      <c r="BY47" s="25"/>
      <c r="BZ47" s="25"/>
      <c r="CA47" s="25"/>
      <c r="CC47" s="29"/>
      <c r="CD47" s="29"/>
      <c r="CE47" s="29"/>
      <c r="CF47" s="29"/>
      <c r="CG47" s="29"/>
      <c r="CH47" s="29"/>
      <c r="CI47" s="29"/>
      <c r="CJ47" s="29"/>
      <c r="CK47" s="29"/>
      <c r="CL47" s="29"/>
      <c r="CM47" s="29"/>
      <c r="CN47" s="29"/>
      <c r="CO47" s="29"/>
      <c r="CP47" s="29"/>
      <c r="CQ47" s="29"/>
      <c r="CR47" s="29"/>
      <c r="CS47" s="29"/>
      <c r="CT47" s="29"/>
      <c r="CU47" s="29"/>
      <c r="CV47" s="29"/>
      <c r="CW47" s="29"/>
      <c r="CX47" s="29"/>
      <c r="CY47" s="29"/>
      <c r="CZ47" s="29"/>
      <c r="DA47" s="29"/>
      <c r="DB47" s="29"/>
      <c r="DC47" s="29"/>
      <c r="DD47" s="29"/>
      <c r="DE47" s="29"/>
      <c r="DF47" s="29"/>
      <c r="DG47" s="29"/>
      <c r="DI47" s="23"/>
      <c r="DJ47" s="23"/>
      <c r="DK47" s="23"/>
      <c r="DL47" s="23"/>
      <c r="DM47" s="23"/>
      <c r="DN47" s="23"/>
      <c r="DO47" s="23"/>
      <c r="DP47" s="23"/>
      <c r="DQ47" s="23"/>
      <c r="DR47" s="23"/>
      <c r="DS47" s="23"/>
      <c r="DT47" s="23"/>
      <c r="DU47" s="23"/>
      <c r="DV47" s="23"/>
      <c r="DW47" s="23"/>
      <c r="DX47" s="23"/>
      <c r="DY47" s="23"/>
      <c r="DZ47" s="23"/>
      <c r="EA47" s="23"/>
      <c r="EB47" s="23"/>
      <c r="EC47" s="23"/>
      <c r="ED47" s="23"/>
      <c r="EE47" s="23"/>
      <c r="EF47" s="23"/>
      <c r="EG47" s="23"/>
      <c r="EH47" s="23"/>
      <c r="EI47" s="23"/>
      <c r="EJ47" s="23"/>
      <c r="EK47" s="23"/>
      <c r="EL47" s="23"/>
      <c r="EM47" s="23"/>
      <c r="EO47" s="23"/>
      <c r="EP47" s="23"/>
      <c r="EQ47" s="23"/>
      <c r="ER47" s="23"/>
      <c r="ES47" s="23"/>
      <c r="ET47" s="23"/>
      <c r="EU47" s="23"/>
      <c r="EV47" s="23"/>
      <c r="EW47" s="23"/>
      <c r="EX47" s="23"/>
      <c r="EY47" s="23"/>
      <c r="EZ47" s="23"/>
      <c r="FA47" s="23"/>
      <c r="FB47" s="23"/>
      <c r="FC47" s="23"/>
      <c r="FD47" s="23"/>
      <c r="FE47" s="23"/>
      <c r="FF47" s="23"/>
      <c r="FG47" s="23"/>
      <c r="FH47" s="23"/>
      <c r="FI47" s="23"/>
      <c r="FJ47" s="23"/>
      <c r="FK47" s="23"/>
      <c r="FL47" s="23"/>
      <c r="FM47" s="23"/>
      <c r="FN47" s="23"/>
      <c r="FO47" s="23"/>
      <c r="FP47" s="23"/>
      <c r="FQ47" s="23"/>
      <c r="FR47" s="23"/>
      <c r="FS47" s="23"/>
    </row>
    <row r="50" spans="3:6" ht="13" outlineLevel="1">
      <c r="C50" s="6" t="s">
        <v>203</v>
      </c>
      <c r="D50" s="6" t="s">
        <v>573</v>
      </c>
      <c r="F50" s="6" t="s">
        <v>574</v>
      </c>
    </row>
    <row r="51" spans="3:6" outlineLevel="1">
      <c r="C51" s="12" cm="1">
        <f t="array" ref="C51:C90">_xlfn.VSTACK(J28:J47,K28:K47)</f>
        <v>0</v>
      </c>
      <c r="D51" s="12" cm="1">
        <f t="array" ref="D51:D90">_xlfn.VSTACK(TXPath,TXPath)</f>
        <v>0</v>
      </c>
      <c r="F51" s="34" t="b" cm="1">
        <f t="array" ref="F51">AND(C51:D51&lt;&gt;0)</f>
        <v>0</v>
      </c>
    </row>
    <row r="52" spans="3:6" outlineLevel="1">
      <c r="C52" s="12">
        <v>0</v>
      </c>
      <c r="D52" s="12">
        <v>0</v>
      </c>
      <c r="F52" s="34" t="b" cm="1">
        <f t="array" ref="F52">AND(C52:D52&lt;&gt;0)</f>
        <v>0</v>
      </c>
    </row>
    <row r="53" spans="3:6" outlineLevel="1">
      <c r="C53" s="12">
        <v>0</v>
      </c>
      <c r="D53" s="12">
        <v>0</v>
      </c>
      <c r="F53" s="34" t="b" cm="1">
        <f t="array" ref="F53">AND(C53:D53&lt;&gt;0)</f>
        <v>0</v>
      </c>
    </row>
    <row r="54" spans="3:6" outlineLevel="1">
      <c r="C54" s="12">
        <v>0</v>
      </c>
      <c r="D54" s="12">
        <v>0</v>
      </c>
      <c r="F54" s="34" t="b" cm="1">
        <f t="array" ref="F54">AND(C54:D54&lt;&gt;0)</f>
        <v>0</v>
      </c>
    </row>
    <row r="55" spans="3:6" outlineLevel="1">
      <c r="C55" s="12">
        <v>0</v>
      </c>
      <c r="D55" s="12">
        <v>0</v>
      </c>
      <c r="F55" s="34" t="b" cm="1">
        <f t="array" ref="F55">AND(C55:D55&lt;&gt;0)</f>
        <v>0</v>
      </c>
    </row>
    <row r="56" spans="3:6" outlineLevel="1">
      <c r="C56" s="12">
        <v>0</v>
      </c>
      <c r="D56" s="12">
        <v>0</v>
      </c>
      <c r="F56" s="34" t="b" cm="1">
        <f t="array" ref="F56">AND(C56:D56&lt;&gt;0)</f>
        <v>0</v>
      </c>
    </row>
    <row r="57" spans="3:6" outlineLevel="1">
      <c r="C57" s="12">
        <v>0</v>
      </c>
      <c r="D57" s="12">
        <v>0</v>
      </c>
      <c r="F57" s="34" t="b" cm="1">
        <f t="array" ref="F57">AND(C57:D57&lt;&gt;0)</f>
        <v>0</v>
      </c>
    </row>
    <row r="58" spans="3:6" outlineLevel="1">
      <c r="C58" s="12">
        <v>0</v>
      </c>
      <c r="D58" s="12">
        <v>0</v>
      </c>
      <c r="F58" s="34" t="b" cm="1">
        <f t="array" ref="F58">AND(C58:D58&lt;&gt;0)</f>
        <v>0</v>
      </c>
    </row>
    <row r="59" spans="3:6" outlineLevel="1">
      <c r="C59" s="12">
        <v>0</v>
      </c>
      <c r="D59" s="12">
        <v>0</v>
      </c>
      <c r="F59" s="34" t="b" cm="1">
        <f t="array" ref="F59">AND(C59:D59&lt;&gt;0)</f>
        <v>0</v>
      </c>
    </row>
    <row r="60" spans="3:6" outlineLevel="1">
      <c r="C60" s="12">
        <v>0</v>
      </c>
      <c r="D60" s="12">
        <v>0</v>
      </c>
      <c r="F60" s="34" t="b" cm="1">
        <f t="array" ref="F60">AND(C60:D60&lt;&gt;0)</f>
        <v>0</v>
      </c>
    </row>
    <row r="61" spans="3:6" outlineLevel="1">
      <c r="C61" s="12">
        <v>0</v>
      </c>
      <c r="D61" s="12">
        <v>0</v>
      </c>
      <c r="F61" s="34" t="b" cm="1">
        <f t="array" ref="F61">AND(C61:D61&lt;&gt;0)</f>
        <v>0</v>
      </c>
    </row>
    <row r="62" spans="3:6" outlineLevel="1">
      <c r="C62" s="12">
        <v>0</v>
      </c>
      <c r="D62" s="12">
        <v>0</v>
      </c>
      <c r="F62" s="34" t="b" cm="1">
        <f t="array" ref="F62">AND(C62:D62&lt;&gt;0)</f>
        <v>0</v>
      </c>
    </row>
    <row r="63" spans="3:6" outlineLevel="1">
      <c r="C63" s="12">
        <v>0</v>
      </c>
      <c r="D63" s="12">
        <v>0</v>
      </c>
      <c r="F63" s="34" t="b" cm="1">
        <f t="array" ref="F63">AND(C63:D63&lt;&gt;0)</f>
        <v>0</v>
      </c>
    </row>
    <row r="64" spans="3:6" outlineLevel="1">
      <c r="C64" s="12">
        <v>0</v>
      </c>
      <c r="D64" s="12">
        <v>0</v>
      </c>
      <c r="F64" s="34" t="b" cm="1">
        <f t="array" ref="F64">AND(C64:D64&lt;&gt;0)</f>
        <v>0</v>
      </c>
    </row>
    <row r="65" spans="3:6" outlineLevel="1">
      <c r="C65" s="12">
        <v>0</v>
      </c>
      <c r="D65" s="12">
        <v>0</v>
      </c>
      <c r="F65" s="34" t="b" cm="1">
        <f t="array" ref="F65">AND(C65:D65&lt;&gt;0)</f>
        <v>0</v>
      </c>
    </row>
    <row r="66" spans="3:6" outlineLevel="1">
      <c r="C66" s="12">
        <v>0</v>
      </c>
      <c r="D66" s="12">
        <v>0</v>
      </c>
      <c r="F66" s="34" t="b" cm="1">
        <f t="array" ref="F66">AND(C66:D66&lt;&gt;0)</f>
        <v>0</v>
      </c>
    </row>
    <row r="67" spans="3:6" outlineLevel="1">
      <c r="C67" s="12">
        <v>0</v>
      </c>
      <c r="D67" s="12">
        <v>0</v>
      </c>
      <c r="F67" s="34" t="b" cm="1">
        <f t="array" ref="F67">AND(C67:D67&lt;&gt;0)</f>
        <v>0</v>
      </c>
    </row>
    <row r="68" spans="3:6" outlineLevel="1">
      <c r="C68" s="12">
        <v>0</v>
      </c>
      <c r="D68" s="12">
        <v>0</v>
      </c>
      <c r="F68" s="34" t="b" cm="1">
        <f t="array" ref="F68">AND(C68:D68&lt;&gt;0)</f>
        <v>0</v>
      </c>
    </row>
    <row r="69" spans="3:6" outlineLevel="1">
      <c r="C69" s="12">
        <v>0</v>
      </c>
      <c r="D69" s="12">
        <v>0</v>
      </c>
      <c r="F69" s="34" t="b" cm="1">
        <f t="array" ref="F69">AND(C69:D69&lt;&gt;0)</f>
        <v>0</v>
      </c>
    </row>
    <row r="70" spans="3:6" outlineLevel="1">
      <c r="C70" s="12">
        <v>0</v>
      </c>
      <c r="D70" s="12">
        <v>0</v>
      </c>
      <c r="F70" s="34" t="b" cm="1">
        <f t="array" ref="F70">AND(C70:D70&lt;&gt;0)</f>
        <v>0</v>
      </c>
    </row>
    <row r="71" spans="3:6" outlineLevel="1">
      <c r="C71" s="12">
        <v>0</v>
      </c>
      <c r="D71" s="34">
        <v>0</v>
      </c>
      <c r="F71" s="34" t="b" cm="1">
        <f t="array" ref="F71">AND(C71:D71&lt;&gt;0)</f>
        <v>0</v>
      </c>
    </row>
    <row r="72" spans="3:6" outlineLevel="1">
      <c r="C72" s="12">
        <v>0</v>
      </c>
      <c r="D72" s="34">
        <v>0</v>
      </c>
      <c r="F72" s="34" t="b" cm="1">
        <f t="array" ref="F72">AND(C72:D72&lt;&gt;0)</f>
        <v>0</v>
      </c>
    </row>
    <row r="73" spans="3:6" outlineLevel="1">
      <c r="C73" s="12">
        <v>0</v>
      </c>
      <c r="D73" s="34">
        <v>0</v>
      </c>
      <c r="F73" s="34" t="b" cm="1">
        <f t="array" ref="F73">AND(C73:D73&lt;&gt;0)</f>
        <v>0</v>
      </c>
    </row>
    <row r="74" spans="3:6" outlineLevel="1">
      <c r="C74" s="12">
        <v>0</v>
      </c>
      <c r="D74" s="34">
        <v>0</v>
      </c>
      <c r="F74" s="34" t="b" cm="1">
        <f t="array" ref="F74">AND(C74:D74&lt;&gt;0)</f>
        <v>0</v>
      </c>
    </row>
    <row r="75" spans="3:6" outlineLevel="1">
      <c r="C75" s="12">
        <v>0</v>
      </c>
      <c r="D75" s="34">
        <v>0</v>
      </c>
      <c r="F75" s="34" t="b" cm="1">
        <f t="array" ref="F75">AND(C75:D75&lt;&gt;0)</f>
        <v>0</v>
      </c>
    </row>
    <row r="76" spans="3:6" outlineLevel="1">
      <c r="C76" s="12">
        <v>0</v>
      </c>
      <c r="D76" s="34">
        <v>0</v>
      </c>
      <c r="F76" s="34" t="b" cm="1">
        <f t="array" ref="F76">AND(C76:D76&lt;&gt;0)</f>
        <v>0</v>
      </c>
    </row>
    <row r="77" spans="3:6" outlineLevel="1">
      <c r="C77" s="12">
        <v>0</v>
      </c>
      <c r="D77" s="34">
        <v>0</v>
      </c>
      <c r="F77" s="34" t="b" cm="1">
        <f t="array" ref="F77">AND(C77:D77&lt;&gt;0)</f>
        <v>0</v>
      </c>
    </row>
    <row r="78" spans="3:6" outlineLevel="1">
      <c r="C78" s="12">
        <v>0</v>
      </c>
      <c r="D78" s="34">
        <v>0</v>
      </c>
      <c r="F78" s="34" t="b" cm="1">
        <f t="array" ref="F78">AND(C78:D78&lt;&gt;0)</f>
        <v>0</v>
      </c>
    </row>
    <row r="79" spans="3:6" outlineLevel="1">
      <c r="C79" s="12">
        <v>0</v>
      </c>
      <c r="D79" s="34">
        <v>0</v>
      </c>
      <c r="F79" s="34" t="b" cm="1">
        <f t="array" ref="F79">AND(C79:D79&lt;&gt;0)</f>
        <v>0</v>
      </c>
    </row>
    <row r="80" spans="3:6" outlineLevel="1">
      <c r="C80" s="12">
        <v>0</v>
      </c>
      <c r="D80" s="34">
        <v>0</v>
      </c>
      <c r="F80" s="34" t="b" cm="1">
        <f t="array" ref="F80">AND(C80:D80&lt;&gt;0)</f>
        <v>0</v>
      </c>
    </row>
    <row r="81" spans="3:11" outlineLevel="1">
      <c r="C81" s="12">
        <v>0</v>
      </c>
      <c r="D81" s="34">
        <v>0</v>
      </c>
      <c r="F81" s="34" t="b" cm="1">
        <f t="array" ref="F81">AND(C81:D81&lt;&gt;0)</f>
        <v>0</v>
      </c>
    </row>
    <row r="82" spans="3:11" outlineLevel="1">
      <c r="C82" s="12">
        <v>0</v>
      </c>
      <c r="D82" s="34">
        <v>0</v>
      </c>
      <c r="F82" s="34" t="b" cm="1">
        <f t="array" ref="F82">AND(C82:D82&lt;&gt;0)</f>
        <v>0</v>
      </c>
    </row>
    <row r="83" spans="3:11" outlineLevel="1">
      <c r="C83" s="12">
        <v>0</v>
      </c>
      <c r="D83" s="34">
        <v>0</v>
      </c>
      <c r="F83" s="34" t="b" cm="1">
        <f t="array" ref="F83">AND(C83:D83&lt;&gt;0)</f>
        <v>0</v>
      </c>
    </row>
    <row r="84" spans="3:11" outlineLevel="1">
      <c r="C84" s="12">
        <v>0</v>
      </c>
      <c r="D84" s="34">
        <v>0</v>
      </c>
      <c r="F84" s="34" t="b" cm="1">
        <f t="array" ref="F84">AND(C84:D84&lt;&gt;0)</f>
        <v>0</v>
      </c>
    </row>
    <row r="85" spans="3:11" outlineLevel="1">
      <c r="C85" s="12">
        <v>0</v>
      </c>
      <c r="D85" s="34">
        <v>0</v>
      </c>
      <c r="F85" s="34" t="b" cm="1">
        <f t="array" ref="F85">AND(C85:D85&lt;&gt;0)</f>
        <v>0</v>
      </c>
    </row>
    <row r="86" spans="3:11" outlineLevel="1">
      <c r="C86" s="12">
        <v>0</v>
      </c>
      <c r="D86" s="34">
        <v>0</v>
      </c>
      <c r="F86" s="34" t="b" cm="1">
        <f t="array" ref="F86">AND(C86:D86&lt;&gt;0)</f>
        <v>0</v>
      </c>
    </row>
    <row r="87" spans="3:11" outlineLevel="1">
      <c r="C87" s="12">
        <v>0</v>
      </c>
      <c r="D87" s="34">
        <v>0</v>
      </c>
      <c r="F87" s="34" t="b" cm="1">
        <f t="array" ref="F87">AND(C87:D87&lt;&gt;0)</f>
        <v>0</v>
      </c>
    </row>
    <row r="88" spans="3:11" outlineLevel="1">
      <c r="C88" s="12">
        <v>0</v>
      </c>
      <c r="D88" s="34">
        <v>0</v>
      </c>
      <c r="F88" s="34" t="b" cm="1">
        <f t="array" ref="F88">AND(C88:D88&lt;&gt;0)</f>
        <v>0</v>
      </c>
    </row>
    <row r="89" spans="3:11" outlineLevel="1">
      <c r="C89" s="12">
        <v>0</v>
      </c>
      <c r="D89" s="34">
        <v>0</v>
      </c>
      <c r="F89" s="34" t="b" cm="1">
        <f t="array" ref="F89">AND(C89:D89&lt;&gt;0)</f>
        <v>0</v>
      </c>
    </row>
    <row r="90" spans="3:11" outlineLevel="1">
      <c r="C90" s="12">
        <v>0</v>
      </c>
      <c r="D90" s="34">
        <v>0</v>
      </c>
      <c r="F90" s="34" t="b" cm="1">
        <f t="array" ref="F90">AND(C90:D90&lt;&gt;0)</f>
        <v>0</v>
      </c>
    </row>
    <row r="91" spans="3:11" outlineLevel="1"/>
    <row r="92" spans="3:11" ht="14" outlineLevel="1">
      <c r="H92" s="11" t="s">
        <v>251</v>
      </c>
      <c r="J92" s="11" t="s">
        <v>560</v>
      </c>
      <c r="K92" s="11" t="s">
        <v>561</v>
      </c>
    </row>
    <row r="93" spans="3:11" outlineLevel="1">
      <c r="H93" s="27" t="s">
        <v>248</v>
      </c>
      <c r="J93" s="27" t="s">
        <v>567</v>
      </c>
      <c r="K93" s="27" t="s">
        <v>568</v>
      </c>
    </row>
    <row r="94" spans="3:11" ht="13" outlineLevel="1">
      <c r="C94" s="6" t="s">
        <v>203</v>
      </c>
      <c r="D94" s="6" t="s">
        <v>324</v>
      </c>
      <c r="H94" s="13"/>
      <c r="J94" s="13" t="s">
        <v>277</v>
      </c>
      <c r="K94" s="13" t="s">
        <v>277</v>
      </c>
    </row>
    <row r="95" spans="3:11" outlineLevel="1">
      <c r="C95" s="12" cm="1">
        <f t="array" ref="C95">_xlfn._xlws.FILTER(C$51:C$90,$F$51:$F$90,0)</f>
        <v>0</v>
      </c>
      <c r="D95" s="12" cm="1">
        <f t="array" ref="D95">_xlfn._xlws.FILTER(D$51:D$90,$F$51:$F$90,0)</f>
        <v>0</v>
      </c>
      <c r="H95" s="12" t="e">
        <f>IF(C95="","",INDEX(TXPath.scenario,MATCH($D95,TXPath,0)))</f>
        <v>#N/A</v>
      </c>
      <c r="J95" s="12" t="b" cm="1">
        <f t="array" ref="J95">IF(C95="","",ISNUMBER(MATCH($C95&amp;$D95,J$28:J$47&amp;TXPath,0)))</f>
        <v>0</v>
      </c>
      <c r="K95" s="12" t="b" cm="1">
        <f t="array" ref="K95">IF(C95="","",ISNUMBER(MATCH($C95&amp;$D95,K$28:K$47&amp;TXPath,0)))</f>
        <v>0</v>
      </c>
    </row>
    <row r="96" spans="3:11" outlineLevel="1">
      <c r="C96" s="12"/>
      <c r="D96" s="12"/>
      <c r="H96" s="12" t="str">
        <f t="shared" ref="H96:H134" si="6">IF(C96="","",INDEX(TXPath.scenario,MATCH($D96,TXPath,0)))</f>
        <v/>
      </c>
      <c r="J96" s="12" t="str" cm="1">
        <f t="array" ref="J96">IF(C96="","",ISNUMBER(MATCH($C96&amp;$D96,J$28:J$47&amp;TXPath,0)))</f>
        <v/>
      </c>
      <c r="K96" s="12" t="str" cm="1">
        <f t="array" ref="K96">IF(C96="","",ISNUMBER(MATCH($C96&amp;$D96,K$28:K$47&amp;TXPath,0)))</f>
        <v/>
      </c>
    </row>
    <row r="97" spans="3:11" outlineLevel="1">
      <c r="C97" s="12"/>
      <c r="D97" s="12"/>
      <c r="H97" s="12" t="str">
        <f t="shared" si="6"/>
        <v/>
      </c>
      <c r="J97" s="12" t="str" cm="1">
        <f t="array" ref="J97">IF(C97="","",ISNUMBER(MATCH($C97&amp;$D97,J$28:J$47&amp;TXPath,0)))</f>
        <v/>
      </c>
      <c r="K97" s="12" t="str" cm="1">
        <f t="array" ref="K97">IF(C97="","",ISNUMBER(MATCH($C97&amp;$D97,K$28:K$47&amp;TXPath,0)))</f>
        <v/>
      </c>
    </row>
    <row r="98" spans="3:11" outlineLevel="1">
      <c r="C98" s="12"/>
      <c r="D98" s="12"/>
      <c r="H98" s="12" t="str">
        <f t="shared" si="6"/>
        <v/>
      </c>
      <c r="J98" s="12" t="str" cm="1">
        <f t="array" ref="J98">IF(C98="","",ISNUMBER(MATCH($C98&amp;$D98,J$28:J$47&amp;TXPath,0)))</f>
        <v/>
      </c>
      <c r="K98" s="12" t="str" cm="1">
        <f t="array" ref="K98">IF(C98="","",ISNUMBER(MATCH($C98&amp;$D98,K$28:K$47&amp;TXPath,0)))</f>
        <v/>
      </c>
    </row>
    <row r="99" spans="3:11" outlineLevel="1">
      <c r="C99" s="12"/>
      <c r="D99" s="12"/>
      <c r="H99" s="12" t="str">
        <f t="shared" si="6"/>
        <v/>
      </c>
      <c r="J99" s="12" t="str" cm="1">
        <f t="array" ref="J99">IF(C99="","",ISNUMBER(MATCH($C99&amp;$D99,J$28:J$47&amp;TXPath,0)))</f>
        <v/>
      </c>
      <c r="K99" s="12" t="str" cm="1">
        <f t="array" ref="K99">IF(C99="","",ISNUMBER(MATCH($C99&amp;$D99,K$28:K$47&amp;TXPath,0)))</f>
        <v/>
      </c>
    </row>
    <row r="100" spans="3:11" outlineLevel="1">
      <c r="C100" s="12"/>
      <c r="D100" s="12"/>
      <c r="H100" s="12" t="str">
        <f t="shared" si="6"/>
        <v/>
      </c>
      <c r="J100" s="12" t="str" cm="1">
        <f t="array" ref="J100">IF(C100="","",ISNUMBER(MATCH($C100&amp;$D100,J$28:J$47&amp;TXPath,0)))</f>
        <v/>
      </c>
      <c r="K100" s="12" t="str" cm="1">
        <f t="array" ref="K100">IF(C100="","",ISNUMBER(MATCH($C100&amp;$D100,K$28:K$47&amp;TXPath,0)))</f>
        <v/>
      </c>
    </row>
    <row r="101" spans="3:11" outlineLevel="1">
      <c r="C101" s="12"/>
      <c r="D101" s="12"/>
      <c r="H101" s="12" t="str">
        <f t="shared" si="6"/>
        <v/>
      </c>
      <c r="J101" s="12" t="str" cm="1">
        <f t="array" ref="J101">IF(C101="","",ISNUMBER(MATCH($C101&amp;$D101,J$28:J$47&amp;TXPath,0)))</f>
        <v/>
      </c>
      <c r="K101" s="12" t="str" cm="1">
        <f t="array" ref="K101">IF(C101="","",ISNUMBER(MATCH($C101&amp;$D101,K$28:K$47&amp;TXPath,0)))</f>
        <v/>
      </c>
    </row>
    <row r="102" spans="3:11" outlineLevel="1">
      <c r="C102" s="12"/>
      <c r="D102" s="12"/>
      <c r="H102" s="12" t="str">
        <f t="shared" si="6"/>
        <v/>
      </c>
      <c r="J102" s="12" t="str" cm="1">
        <f t="array" ref="J102">IF(C102="","",ISNUMBER(MATCH($C102&amp;$D102,J$28:J$47&amp;TXPath,0)))</f>
        <v/>
      </c>
      <c r="K102" s="12" t="str" cm="1">
        <f t="array" ref="K102">IF(C102="","",ISNUMBER(MATCH($C102&amp;$D102,K$28:K$47&amp;TXPath,0)))</f>
        <v/>
      </c>
    </row>
    <row r="103" spans="3:11" outlineLevel="1">
      <c r="C103" s="12"/>
      <c r="D103" s="12"/>
      <c r="H103" s="12" t="str">
        <f t="shared" si="6"/>
        <v/>
      </c>
      <c r="J103" s="12" t="str" cm="1">
        <f t="array" ref="J103">IF(C103="","",ISNUMBER(MATCH($C103&amp;$D103,J$28:J$47&amp;TXPath,0)))</f>
        <v/>
      </c>
      <c r="K103" s="12" t="str" cm="1">
        <f t="array" ref="K103">IF(C103="","",ISNUMBER(MATCH($C103&amp;$D103,K$28:K$47&amp;TXPath,0)))</f>
        <v/>
      </c>
    </row>
    <row r="104" spans="3:11" outlineLevel="1">
      <c r="C104" s="12"/>
      <c r="D104" s="12"/>
      <c r="H104" s="12" t="str">
        <f t="shared" si="6"/>
        <v/>
      </c>
      <c r="J104" s="12" t="str" cm="1">
        <f t="array" ref="J104">IF(C104="","",ISNUMBER(MATCH($C104&amp;$D104,J$28:J$47&amp;TXPath,0)))</f>
        <v/>
      </c>
      <c r="K104" s="12" t="str" cm="1">
        <f t="array" ref="K104">IF(C104="","",ISNUMBER(MATCH($C104&amp;$D104,K$28:K$47&amp;TXPath,0)))</f>
        <v/>
      </c>
    </row>
    <row r="105" spans="3:11" outlineLevel="1">
      <c r="C105" s="12"/>
      <c r="D105" s="12"/>
      <c r="H105" s="12" t="str">
        <f t="shared" si="6"/>
        <v/>
      </c>
      <c r="J105" s="12" t="str" cm="1">
        <f t="array" ref="J105">IF(C105="","",ISNUMBER(MATCH($C105&amp;$D105,J$28:J$47&amp;TXPath,0)))</f>
        <v/>
      </c>
      <c r="K105" s="12" t="str" cm="1">
        <f t="array" ref="K105">IF(C105="","",ISNUMBER(MATCH($C105&amp;$D105,K$28:K$47&amp;TXPath,0)))</f>
        <v/>
      </c>
    </row>
    <row r="106" spans="3:11" outlineLevel="1">
      <c r="C106" s="12"/>
      <c r="D106" s="12"/>
      <c r="H106" s="12" t="str">
        <f t="shared" si="6"/>
        <v/>
      </c>
      <c r="J106" s="12" t="str" cm="1">
        <f t="array" ref="J106">IF(C106="","",ISNUMBER(MATCH($C106&amp;$D106,J$28:J$47&amp;TXPath,0)))</f>
        <v/>
      </c>
      <c r="K106" s="12" t="str" cm="1">
        <f t="array" ref="K106">IF(C106="","",ISNUMBER(MATCH($C106&amp;$D106,K$28:K$47&amp;TXPath,0)))</f>
        <v/>
      </c>
    </row>
    <row r="107" spans="3:11" outlineLevel="1">
      <c r="C107" s="12"/>
      <c r="D107" s="12"/>
      <c r="H107" s="12" t="str">
        <f t="shared" si="6"/>
        <v/>
      </c>
      <c r="J107" s="12" t="str" cm="1">
        <f t="array" ref="J107">IF(C107="","",ISNUMBER(MATCH($C107&amp;$D107,J$28:J$47&amp;TXPath,0)))</f>
        <v/>
      </c>
      <c r="K107" s="12" t="str" cm="1">
        <f t="array" ref="K107">IF(C107="","",ISNUMBER(MATCH($C107&amp;$D107,K$28:K$47&amp;TXPath,0)))</f>
        <v/>
      </c>
    </row>
    <row r="108" spans="3:11" outlineLevel="1">
      <c r="C108" s="12"/>
      <c r="D108" s="12"/>
      <c r="H108" s="12" t="str">
        <f t="shared" si="6"/>
        <v/>
      </c>
      <c r="J108" s="12" t="str" cm="1">
        <f t="array" ref="J108">IF(C108="","",ISNUMBER(MATCH($C108&amp;$D108,J$28:J$47&amp;TXPath,0)))</f>
        <v/>
      </c>
      <c r="K108" s="12" t="str" cm="1">
        <f t="array" ref="K108">IF(C108="","",ISNUMBER(MATCH($C108&amp;$D108,K$28:K$47&amp;TXPath,0)))</f>
        <v/>
      </c>
    </row>
    <row r="109" spans="3:11" outlineLevel="1">
      <c r="C109" s="12"/>
      <c r="D109" s="12"/>
      <c r="H109" s="12" t="str">
        <f t="shared" si="6"/>
        <v/>
      </c>
      <c r="J109" s="12" t="str" cm="1">
        <f t="array" ref="J109">IF(C109="","",ISNUMBER(MATCH($C109&amp;$D109,J$28:J$47&amp;TXPath,0)))</f>
        <v/>
      </c>
      <c r="K109" s="12" t="str" cm="1">
        <f t="array" ref="K109">IF(C109="","",ISNUMBER(MATCH($C109&amp;$D109,K$28:K$47&amp;TXPath,0)))</f>
        <v/>
      </c>
    </row>
    <row r="110" spans="3:11" outlineLevel="1">
      <c r="C110" s="12"/>
      <c r="D110" s="12"/>
      <c r="H110" s="12" t="str">
        <f t="shared" si="6"/>
        <v/>
      </c>
      <c r="J110" s="12" t="str" cm="1">
        <f t="array" ref="J110">IF(C110="","",ISNUMBER(MATCH($C110&amp;$D110,J$28:J$47&amp;TXPath,0)))</f>
        <v/>
      </c>
      <c r="K110" s="12" t="str" cm="1">
        <f t="array" ref="K110">IF(C110="","",ISNUMBER(MATCH($C110&amp;$D110,K$28:K$47&amp;TXPath,0)))</f>
        <v/>
      </c>
    </row>
    <row r="111" spans="3:11" outlineLevel="1">
      <c r="C111" s="12"/>
      <c r="D111" s="12"/>
      <c r="H111" s="12" t="str">
        <f t="shared" si="6"/>
        <v/>
      </c>
      <c r="J111" s="12" t="str" cm="1">
        <f t="array" ref="J111">IF(C111="","",ISNUMBER(MATCH($C111&amp;$D111,J$28:J$47&amp;TXPath,0)))</f>
        <v/>
      </c>
      <c r="K111" s="12" t="str" cm="1">
        <f t="array" ref="K111">IF(C111="","",ISNUMBER(MATCH($C111&amp;$D111,K$28:K$47&amp;TXPath,0)))</f>
        <v/>
      </c>
    </row>
    <row r="112" spans="3:11" outlineLevel="1">
      <c r="C112" s="12"/>
      <c r="D112" s="12"/>
      <c r="H112" s="12" t="str">
        <f t="shared" si="6"/>
        <v/>
      </c>
      <c r="J112" s="12" t="str" cm="1">
        <f t="array" ref="J112">IF(C112="","",ISNUMBER(MATCH($C112&amp;$D112,J$28:J$47&amp;TXPath,0)))</f>
        <v/>
      </c>
      <c r="K112" s="12" t="str" cm="1">
        <f t="array" ref="K112">IF(C112="","",ISNUMBER(MATCH($C112&amp;$D112,K$28:K$47&amp;TXPath,0)))</f>
        <v/>
      </c>
    </row>
    <row r="113" spans="3:11" outlineLevel="1">
      <c r="C113" s="12"/>
      <c r="D113" s="12"/>
      <c r="H113" s="12" t="str">
        <f t="shared" si="6"/>
        <v/>
      </c>
      <c r="J113" s="12" t="str" cm="1">
        <f t="array" ref="J113">IF(C113="","",ISNUMBER(MATCH($C113&amp;$D113,J$28:J$47&amp;TXPath,0)))</f>
        <v/>
      </c>
      <c r="K113" s="12" t="str" cm="1">
        <f t="array" ref="K113">IF(C113="","",ISNUMBER(MATCH($C113&amp;$D113,K$28:K$47&amp;TXPath,0)))</f>
        <v/>
      </c>
    </row>
    <row r="114" spans="3:11" outlineLevel="1">
      <c r="C114" s="12"/>
      <c r="D114" s="12"/>
      <c r="H114" s="12" t="str">
        <f>IF(C114="","",INDEX(TXPath.scenario,MATCH($D114,TXPath,0)))</f>
        <v/>
      </c>
      <c r="J114" s="12" t="str" cm="1">
        <f t="array" ref="J114">IF(C114="","",ISNUMBER(MATCH($C114&amp;$D114,J$28:J$47&amp;TXPath,0)))</f>
        <v/>
      </c>
      <c r="K114" s="12" t="str" cm="1">
        <f t="array" ref="K114">IF(C114="","",ISNUMBER(MATCH($C114&amp;$D114,K$28:K$47&amp;TXPath,0)))</f>
        <v/>
      </c>
    </row>
    <row r="115" spans="3:11" outlineLevel="1">
      <c r="C115" s="12"/>
      <c r="D115" s="12"/>
      <c r="H115" s="12" t="str">
        <f t="shared" si="6"/>
        <v/>
      </c>
      <c r="J115" s="12" t="str" cm="1">
        <f t="array" ref="J115">IF(C115="","",ISNUMBER(MATCH($C115&amp;$D115,J$28:J$47&amp;TXPath,0)))</f>
        <v/>
      </c>
      <c r="K115" s="12" t="str" cm="1">
        <f t="array" ref="K115">IF(C115="","",ISNUMBER(MATCH($C115&amp;$D115,K$28:K$47&amp;TXPath,0)))</f>
        <v/>
      </c>
    </row>
    <row r="116" spans="3:11" outlineLevel="1">
      <c r="C116" s="12"/>
      <c r="D116" s="12"/>
      <c r="H116" s="12" t="str">
        <f t="shared" si="6"/>
        <v/>
      </c>
      <c r="J116" s="12" t="str" cm="1">
        <f t="array" ref="J116">IF(C116="","",ISNUMBER(MATCH($C116&amp;$D116,J$28:J$47&amp;TXPath,0)))</f>
        <v/>
      </c>
      <c r="K116" s="12" t="str" cm="1">
        <f t="array" ref="K116">IF(C116="","",ISNUMBER(MATCH($C116&amp;$D116,K$28:K$47&amp;TXPath,0)))</f>
        <v/>
      </c>
    </row>
    <row r="117" spans="3:11" outlineLevel="1">
      <c r="C117" s="12"/>
      <c r="D117" s="12"/>
      <c r="H117" s="12" t="str">
        <f t="shared" si="6"/>
        <v/>
      </c>
      <c r="J117" s="12" t="str" cm="1">
        <f t="array" ref="J117">IF(C117="","",ISNUMBER(MATCH($C117&amp;$D117,J$28:J$47&amp;TXPath,0)))</f>
        <v/>
      </c>
      <c r="K117" s="12" t="str" cm="1">
        <f t="array" ref="K117">IF(C117="","",ISNUMBER(MATCH($C117&amp;$D117,K$28:K$47&amp;TXPath,0)))</f>
        <v/>
      </c>
    </row>
    <row r="118" spans="3:11" outlineLevel="1">
      <c r="C118" s="12"/>
      <c r="D118" s="12"/>
      <c r="H118" s="12" t="str">
        <f t="shared" si="6"/>
        <v/>
      </c>
      <c r="J118" s="12" t="str" cm="1">
        <f t="array" ref="J118">IF(C118="","",ISNUMBER(MATCH($C118&amp;$D118,J$28:J$47&amp;TXPath,0)))</f>
        <v/>
      </c>
      <c r="K118" s="12" t="str" cm="1">
        <f t="array" ref="K118">IF(C118="","",ISNUMBER(MATCH($C118&amp;$D118,K$28:K$47&amp;TXPath,0)))</f>
        <v/>
      </c>
    </row>
    <row r="119" spans="3:11" outlineLevel="1">
      <c r="C119" s="12"/>
      <c r="D119" s="12"/>
      <c r="H119" s="12" t="str">
        <f t="shared" si="6"/>
        <v/>
      </c>
      <c r="J119" s="12" t="str" cm="1">
        <f t="array" ref="J119">IF(C119="","",ISNUMBER(MATCH($C119&amp;$D119,J$28:J$47&amp;TXPath,0)))</f>
        <v/>
      </c>
      <c r="K119" s="12" t="str" cm="1">
        <f t="array" ref="K119">IF(C119="","",ISNUMBER(MATCH($C119&amp;$D119,K$28:K$47&amp;TXPath,0)))</f>
        <v/>
      </c>
    </row>
    <row r="120" spans="3:11" outlineLevel="1">
      <c r="C120" s="12"/>
      <c r="D120" s="12"/>
      <c r="H120" s="12" t="str">
        <f t="shared" si="6"/>
        <v/>
      </c>
      <c r="J120" s="12" t="str" cm="1">
        <f t="array" ref="J120">IF(C120="","",ISNUMBER(MATCH($C120&amp;$D120,J$28:J$47&amp;TXPath,0)))</f>
        <v/>
      </c>
      <c r="K120" s="12" t="str" cm="1">
        <f t="array" ref="K120">IF(C120="","",ISNUMBER(MATCH($C120&amp;$D120,K$28:K$47&amp;TXPath,0)))</f>
        <v/>
      </c>
    </row>
    <row r="121" spans="3:11" outlineLevel="1">
      <c r="C121" s="12"/>
      <c r="D121" s="12"/>
      <c r="H121" s="12" t="str">
        <f t="shared" si="6"/>
        <v/>
      </c>
      <c r="J121" s="12" t="str" cm="1">
        <f t="array" ref="J121">IF(C121="","",ISNUMBER(MATCH($C121&amp;$D121,J$28:J$47&amp;TXPath,0)))</f>
        <v/>
      </c>
      <c r="K121" s="12" t="str" cm="1">
        <f t="array" ref="K121">IF(C121="","",ISNUMBER(MATCH($C121&amp;$D121,K$28:K$47&amp;TXPath,0)))</f>
        <v/>
      </c>
    </row>
    <row r="122" spans="3:11" outlineLevel="1">
      <c r="C122" s="12"/>
      <c r="D122" s="12"/>
      <c r="H122" s="12" t="str">
        <f t="shared" si="6"/>
        <v/>
      </c>
      <c r="J122" s="12" t="str" cm="1">
        <f t="array" ref="J122">IF(C122="","",ISNUMBER(MATCH($C122&amp;$D122,J$28:J$47&amp;TXPath,0)))</f>
        <v/>
      </c>
      <c r="K122" s="12" t="str" cm="1">
        <f t="array" ref="K122">IF(C122="","",ISNUMBER(MATCH($C122&amp;$D122,K$28:K$47&amp;TXPath,0)))</f>
        <v/>
      </c>
    </row>
    <row r="123" spans="3:11" outlineLevel="1">
      <c r="C123" s="12"/>
      <c r="D123" s="12"/>
      <c r="H123" s="12" t="str">
        <f t="shared" si="6"/>
        <v/>
      </c>
      <c r="J123" s="12" t="str" cm="1">
        <f t="array" ref="J123">IF(C123="","",ISNUMBER(MATCH($C123&amp;$D123,J$28:J$47&amp;TXPath,0)))</f>
        <v/>
      </c>
      <c r="K123" s="12" t="str" cm="1">
        <f t="array" ref="K123">IF(C123="","",ISNUMBER(MATCH($C123&amp;$D123,K$28:K$47&amp;TXPath,0)))</f>
        <v/>
      </c>
    </row>
    <row r="124" spans="3:11" outlineLevel="1">
      <c r="C124" s="12"/>
      <c r="D124" s="12"/>
      <c r="H124" s="12" t="str">
        <f t="shared" si="6"/>
        <v/>
      </c>
      <c r="J124" s="12" t="str" cm="1">
        <f t="array" ref="J124">IF(C124="","",ISNUMBER(MATCH($C124&amp;$D124,J$28:J$47&amp;TXPath,0)))</f>
        <v/>
      </c>
      <c r="K124" s="12" t="str" cm="1">
        <f t="array" ref="K124">IF(C124="","",ISNUMBER(MATCH($C124&amp;$D124,K$28:K$47&amp;TXPath,0)))</f>
        <v/>
      </c>
    </row>
    <row r="125" spans="3:11" outlineLevel="1">
      <c r="C125" s="12"/>
      <c r="D125" s="12"/>
      <c r="H125" s="12" t="str">
        <f t="shared" si="6"/>
        <v/>
      </c>
      <c r="J125" s="12" t="str" cm="1">
        <f t="array" ref="J125">IF(C125="","",ISNUMBER(MATCH($C125&amp;$D125,J$28:J$47&amp;TXPath,0)))</f>
        <v/>
      </c>
      <c r="K125" s="12" t="str" cm="1">
        <f t="array" ref="K125">IF(C125="","",ISNUMBER(MATCH($C125&amp;$D125,K$28:K$47&amp;TXPath,0)))</f>
        <v/>
      </c>
    </row>
    <row r="126" spans="3:11" outlineLevel="1">
      <c r="C126" s="12"/>
      <c r="D126" s="12"/>
      <c r="H126" s="12" t="str">
        <f t="shared" si="6"/>
        <v/>
      </c>
      <c r="J126" s="12" t="str" cm="1">
        <f t="array" ref="J126">IF(C126="","",ISNUMBER(MATCH($C126&amp;$D126,J$28:J$47&amp;TXPath,0)))</f>
        <v/>
      </c>
      <c r="K126" s="12" t="str" cm="1">
        <f t="array" ref="K126">IF(C126="","",ISNUMBER(MATCH($C126&amp;$D126,K$28:K$47&amp;TXPath,0)))</f>
        <v/>
      </c>
    </row>
    <row r="127" spans="3:11" outlineLevel="1">
      <c r="C127" s="12"/>
      <c r="D127" s="12"/>
      <c r="H127" s="12" t="str">
        <f t="shared" si="6"/>
        <v/>
      </c>
      <c r="J127" s="12" t="str" cm="1">
        <f t="array" ref="J127">IF(C127="","",ISNUMBER(MATCH($C127&amp;$D127,J$28:J$47&amp;TXPath,0)))</f>
        <v/>
      </c>
      <c r="K127" s="12" t="str" cm="1">
        <f t="array" ref="K127">IF(C127="","",ISNUMBER(MATCH($C127&amp;$D127,K$28:K$47&amp;TXPath,0)))</f>
        <v/>
      </c>
    </row>
    <row r="128" spans="3:11" outlineLevel="1">
      <c r="C128" s="12"/>
      <c r="D128" s="12"/>
      <c r="H128" s="12" t="str">
        <f t="shared" si="6"/>
        <v/>
      </c>
      <c r="J128" s="12" t="str" cm="1">
        <f t="array" ref="J128">IF(C128="","",ISNUMBER(MATCH($C128&amp;$D128,J$28:J$47&amp;TXPath,0)))</f>
        <v/>
      </c>
      <c r="K128" s="12" t="str" cm="1">
        <f t="array" ref="K128">IF(C128="","",ISNUMBER(MATCH($C128&amp;$D128,K$28:K$47&amp;TXPath,0)))</f>
        <v/>
      </c>
    </row>
    <row r="129" spans="2:48" outlineLevel="1">
      <c r="C129" s="12"/>
      <c r="D129" s="12"/>
      <c r="H129" s="12" t="str">
        <f t="shared" si="6"/>
        <v/>
      </c>
      <c r="J129" s="12" t="str" cm="1">
        <f t="array" ref="J129">IF(C129="","",ISNUMBER(MATCH($C129&amp;$D129,J$28:J$47&amp;TXPath,0)))</f>
        <v/>
      </c>
      <c r="K129" s="12" t="str" cm="1">
        <f t="array" ref="K129">IF(C129="","",ISNUMBER(MATCH($C129&amp;$D129,K$28:K$47&amp;TXPath,0)))</f>
        <v/>
      </c>
    </row>
    <row r="130" spans="2:48" outlineLevel="1">
      <c r="C130" s="12"/>
      <c r="D130" s="12"/>
      <c r="H130" s="12" t="str">
        <f t="shared" si="6"/>
        <v/>
      </c>
      <c r="J130" s="12" t="str" cm="1">
        <f t="array" ref="J130">IF(C130="","",ISNUMBER(MATCH($C130&amp;$D130,J$28:J$47&amp;TXPath,0)))</f>
        <v/>
      </c>
      <c r="K130" s="12" t="str" cm="1">
        <f t="array" ref="K130">IF(C130="","",ISNUMBER(MATCH($C130&amp;$D130,K$28:K$47&amp;TXPath,0)))</f>
        <v/>
      </c>
    </row>
    <row r="131" spans="2:48" outlineLevel="1">
      <c r="C131" s="12"/>
      <c r="D131" s="12"/>
      <c r="H131" s="12" t="str">
        <f t="shared" si="6"/>
        <v/>
      </c>
      <c r="J131" s="12" t="str" cm="1">
        <f t="array" ref="J131">IF(C131="","",ISNUMBER(MATCH($C131&amp;$D131,J$28:J$47&amp;TXPath,0)))</f>
        <v/>
      </c>
      <c r="K131" s="12" t="str" cm="1">
        <f t="array" ref="K131">IF(C131="","",ISNUMBER(MATCH($C131&amp;$D131,K$28:K$47&amp;TXPath,0)))</f>
        <v/>
      </c>
    </row>
    <row r="132" spans="2:48" outlineLevel="1">
      <c r="C132" s="12"/>
      <c r="D132" s="12"/>
      <c r="H132" s="12" t="str">
        <f t="shared" si="6"/>
        <v/>
      </c>
      <c r="J132" s="12" t="str" cm="1">
        <f t="array" ref="J132">IF(C132="","",ISNUMBER(MATCH($C132&amp;$D132,J$28:J$47&amp;TXPath,0)))</f>
        <v/>
      </c>
      <c r="K132" s="12" t="str" cm="1">
        <f t="array" ref="K132">IF(C132="","",ISNUMBER(MATCH($C132&amp;$D132,K$28:K$47&amp;TXPath,0)))</f>
        <v/>
      </c>
    </row>
    <row r="133" spans="2:48" outlineLevel="1">
      <c r="C133" s="12"/>
      <c r="D133" s="12"/>
      <c r="H133" s="12" t="str">
        <f t="shared" si="6"/>
        <v/>
      </c>
      <c r="J133" s="12" t="str" cm="1">
        <f t="array" ref="J133">IF(C133="","",ISNUMBER(MATCH($C133&amp;$D133,J$28:J$47&amp;TXPath,0)))</f>
        <v/>
      </c>
      <c r="K133" s="12" t="str" cm="1">
        <f t="array" ref="K133">IF(C133="","",ISNUMBER(MATCH($C133&amp;$D133,K$28:K$47&amp;TXPath,0)))</f>
        <v/>
      </c>
    </row>
    <row r="134" spans="2:48" outlineLevel="1">
      <c r="C134" s="12"/>
      <c r="D134" s="12"/>
      <c r="H134" s="12" t="str">
        <f t="shared" si="6"/>
        <v/>
      </c>
      <c r="J134" s="12" t="str" cm="1">
        <f t="array" ref="J134">IF(C134="","",ISNUMBER(MATCH($C134&amp;$D134,J$28:J$47&amp;TXPath,0)))</f>
        <v/>
      </c>
      <c r="K134" s="12" t="str" cm="1">
        <f t="array" ref="K134">IF(C134="","",ISNUMBER(MATCH($C134&amp;$D134,K$28:K$47&amp;TXPath,0)))</f>
        <v/>
      </c>
    </row>
    <row r="135" spans="2:48" outlineLevel="1"/>
    <row r="136" spans="2:48" ht="19" thickBot="1">
      <c r="B136" s="9" t="s">
        <v>575</v>
      </c>
      <c r="C136" s="9"/>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row>
    <row r="138" spans="2:48" ht="13">
      <c r="C138" s="6" t="s">
        <v>576</v>
      </c>
      <c r="J138" s="6" t="s">
        <v>327</v>
      </c>
      <c r="K138" s="6" t="s">
        <v>577</v>
      </c>
    </row>
    <row r="139" spans="2:48">
      <c r="C139" s="3"/>
      <c r="J139" s="19"/>
      <c r="K139" s="19"/>
    </row>
    <row r="140" spans="2:48">
      <c r="C140" s="3"/>
      <c r="J140" s="19"/>
      <c r="K140" s="19"/>
    </row>
    <row r="141" spans="2:48">
      <c r="C141" s="3"/>
      <c r="J141" s="19"/>
      <c r="K141" s="19"/>
    </row>
    <row r="142" spans="2:48">
      <c r="C142" s="3"/>
      <c r="J142" s="19"/>
      <c r="K142" s="19"/>
    </row>
    <row r="143" spans="2:48">
      <c r="C143" s="3"/>
      <c r="J143" s="19"/>
      <c r="K143" s="19"/>
    </row>
    <row r="144" spans="2:48">
      <c r="C144" s="3"/>
      <c r="J144" s="19"/>
      <c r="K144" s="19"/>
    </row>
    <row r="145" spans="3:11">
      <c r="C145" s="3"/>
      <c r="J145" s="19"/>
      <c r="K145" s="19"/>
    </row>
    <row r="146" spans="3:11">
      <c r="C146" s="3"/>
      <c r="J146" s="19"/>
      <c r="K146" s="19"/>
    </row>
    <row r="147" spans="3:11">
      <c r="C147" s="3"/>
      <c r="J147" s="19"/>
      <c r="K147" s="19"/>
    </row>
    <row r="148" spans="3:11">
      <c r="C148" s="3"/>
      <c r="J148" s="19"/>
      <c r="K148" s="19"/>
    </row>
    <row r="149" spans="3:11">
      <c r="C149" s="3"/>
      <c r="J149" s="19"/>
      <c r="K149" s="19"/>
    </row>
    <row r="150" spans="3:11">
      <c r="C150" s="3"/>
      <c r="J150" s="19"/>
      <c r="K150" s="19"/>
    </row>
    <row r="151" spans="3:11">
      <c r="C151" s="3"/>
      <c r="J151" s="19"/>
      <c r="K151" s="19"/>
    </row>
    <row r="152" spans="3:11">
      <c r="C152" s="3"/>
      <c r="J152" s="19"/>
      <c r="K152" s="19"/>
    </row>
    <row r="153" spans="3:11">
      <c r="C153" s="3"/>
      <c r="J153" s="19"/>
      <c r="K153" s="19"/>
    </row>
    <row r="154" spans="3:11">
      <c r="C154" s="3"/>
      <c r="J154" s="19"/>
      <c r="K154" s="19"/>
    </row>
    <row r="155" spans="3:11">
      <c r="C155" s="3"/>
      <c r="J155" s="19"/>
      <c r="K155" s="19"/>
    </row>
    <row r="156" spans="3:11">
      <c r="C156" s="3"/>
      <c r="J156" s="19"/>
      <c r="K156" s="19"/>
    </row>
    <row r="157" spans="3:11">
      <c r="C157" s="3"/>
      <c r="J157" s="19"/>
      <c r="K157" s="19"/>
    </row>
    <row r="158" spans="3:11">
      <c r="C158" s="3"/>
      <c r="J158" s="19"/>
      <c r="K158" s="19"/>
    </row>
    <row r="159" spans="3:11">
      <c r="C159" s="3"/>
      <c r="J159" s="19"/>
      <c r="K159" s="19"/>
    </row>
    <row r="160" spans="3:11">
      <c r="C160" s="3"/>
      <c r="J160" s="19"/>
      <c r="K160" s="19"/>
    </row>
    <row r="161" spans="3:47">
      <c r="C161" s="3"/>
      <c r="J161" s="19"/>
      <c r="K161" s="19"/>
    </row>
    <row r="162" spans="3:47">
      <c r="C162" s="3"/>
      <c r="J162" s="19"/>
      <c r="K162" s="19"/>
    </row>
    <row r="163" spans="3:47" ht="14">
      <c r="F163" s="90"/>
    </row>
    <row r="164" spans="3:47" ht="13">
      <c r="F164" s="89"/>
      <c r="Q164" s="6" t="s">
        <v>578</v>
      </c>
      <c r="R164" s="6"/>
      <c r="S164" s="6"/>
      <c r="T164" s="6"/>
      <c r="U164" s="6"/>
      <c r="V164" s="6"/>
      <c r="W164" s="6"/>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row>
    <row r="165" spans="3:47" ht="14">
      <c r="C165" s="6" t="s">
        <v>576</v>
      </c>
      <c r="F165" s="90"/>
      <c r="P165" s="6" t="s">
        <v>576</v>
      </c>
      <c r="Q165" s="48">
        <v>2020</v>
      </c>
      <c r="R165" s="48">
        <f t="shared" ref="R165:AU165" si="7">Q165+1</f>
        <v>2021</v>
      </c>
      <c r="S165" s="48">
        <f t="shared" si="7"/>
        <v>2022</v>
      </c>
      <c r="T165" s="48">
        <f t="shared" si="7"/>
        <v>2023</v>
      </c>
      <c r="U165" s="48">
        <f t="shared" si="7"/>
        <v>2024</v>
      </c>
      <c r="V165" s="48">
        <f t="shared" si="7"/>
        <v>2025</v>
      </c>
      <c r="W165" s="48">
        <f t="shared" si="7"/>
        <v>2026</v>
      </c>
      <c r="X165" s="48">
        <f t="shared" si="7"/>
        <v>2027</v>
      </c>
      <c r="Y165" s="48">
        <f t="shared" si="7"/>
        <v>2028</v>
      </c>
      <c r="Z165" s="48">
        <f t="shared" si="7"/>
        <v>2029</v>
      </c>
      <c r="AA165" s="48">
        <f t="shared" si="7"/>
        <v>2030</v>
      </c>
      <c r="AB165" s="48">
        <f t="shared" si="7"/>
        <v>2031</v>
      </c>
      <c r="AC165" s="48">
        <f t="shared" si="7"/>
        <v>2032</v>
      </c>
      <c r="AD165" s="48">
        <f t="shared" si="7"/>
        <v>2033</v>
      </c>
      <c r="AE165" s="48">
        <f t="shared" si="7"/>
        <v>2034</v>
      </c>
      <c r="AF165" s="48">
        <f t="shared" si="7"/>
        <v>2035</v>
      </c>
      <c r="AG165" s="48">
        <f t="shared" si="7"/>
        <v>2036</v>
      </c>
      <c r="AH165" s="48">
        <f t="shared" si="7"/>
        <v>2037</v>
      </c>
      <c r="AI165" s="48">
        <f t="shared" si="7"/>
        <v>2038</v>
      </c>
      <c r="AJ165" s="48">
        <f t="shared" si="7"/>
        <v>2039</v>
      </c>
      <c r="AK165" s="48">
        <f t="shared" si="7"/>
        <v>2040</v>
      </c>
      <c r="AL165" s="48">
        <f t="shared" si="7"/>
        <v>2041</v>
      </c>
      <c r="AM165" s="48">
        <f t="shared" si="7"/>
        <v>2042</v>
      </c>
      <c r="AN165" s="48">
        <f t="shared" si="7"/>
        <v>2043</v>
      </c>
      <c r="AO165" s="48">
        <f t="shared" si="7"/>
        <v>2044</v>
      </c>
      <c r="AP165" s="48">
        <f t="shared" si="7"/>
        <v>2045</v>
      </c>
      <c r="AQ165" s="48">
        <f t="shared" si="7"/>
        <v>2046</v>
      </c>
      <c r="AR165" s="48">
        <f t="shared" si="7"/>
        <v>2047</v>
      </c>
      <c r="AS165" s="48">
        <f t="shared" si="7"/>
        <v>2048</v>
      </c>
      <c r="AT165" s="48">
        <f t="shared" si="7"/>
        <v>2049</v>
      </c>
      <c r="AU165" s="48">
        <f t="shared" si="7"/>
        <v>2050</v>
      </c>
    </row>
    <row r="166" spans="3:47">
      <c r="C166" s="19"/>
      <c r="F166" s="89"/>
      <c r="P166" s="12"/>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row>
    <row r="167" spans="3:47" ht="14">
      <c r="C167" s="19"/>
      <c r="F167" s="90"/>
      <c r="P167" s="12"/>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row>
    <row r="168" spans="3:47">
      <c r="C168" s="19"/>
      <c r="F168" s="89"/>
      <c r="P168" s="12"/>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row>
    <row r="169" spans="3:47" ht="14">
      <c r="C169" s="19"/>
      <c r="F169" s="90"/>
      <c r="P169" s="12"/>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row>
    <row r="170" spans="3:47">
      <c r="C170" s="19"/>
      <c r="P170" s="12"/>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row>
    <row r="171" spans="3:47">
      <c r="C171" s="19"/>
      <c r="P171" s="12"/>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row>
  </sheetData>
  <conditionalFormatting sqref="F28:F47">
    <cfRule type="cellIs" dxfId="3" priority="3" operator="equal">
      <formula>FALSE</formula>
    </cfRule>
  </conditionalFormatting>
  <conditionalFormatting sqref="F10:F18">
    <cfRule type="cellIs" dxfId="2" priority="1" operator="equal">
      <formula>FALSE</formula>
    </cfRule>
  </conditionalFormatting>
  <dataValidations count="5">
    <dataValidation type="list" allowBlank="1" showInputMessage="1" showErrorMessage="1" sqref="M28:N47" xr:uid="{FB5313A0-8457-6D47-81AE-21C54739E04C}">
      <formula1>"TRUE,FALSE"</formula1>
    </dataValidation>
    <dataValidation type="list" allowBlank="1" showInputMessage="1" showErrorMessage="1" sqref="J139:J162" xr:uid="{25EEB498-0B23-014A-BC51-D2B4D125C3CE}">
      <formula1>OFFSET(lists_transmission_paths,0,0,COUNTA(lists_transmission_paths))</formula1>
    </dataValidation>
    <dataValidation type="list" allowBlank="1" showInputMessage="1" showErrorMessage="1" sqref="K139:K162" xr:uid="{8BA55B42-2C99-BA41-9D3D-DE1FEE59013A}">
      <formula1>"forward,reverse"</formula1>
    </dataValidation>
    <dataValidation type="list" allowBlank="1" showInputMessage="1" showErrorMessage="1" sqref="J28:K47" xr:uid="{3FB2D30A-94B9-EA44-B2AF-A0D3EF9A02D8}">
      <formula1>OFFSET(lists_zones,,,COUNTA(lists_zones))</formula1>
    </dataValidation>
    <dataValidation type="list" allowBlank="1" showInputMessage="1" showErrorMessage="1" sqref="C166:C171 N166:N171" xr:uid="{EE93EF20-F3F1-7546-AAED-0D4A7C0E694B}">
      <formula1>OFFSET(lists_simultaneous_flow_groups,,,COUNTA(lists_simultaneous_flow_groups))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22" id="{B23B01AD-DC97-B446-969B-43E5F6A01EC7}">
            <xm:f>ISNUMBER(MATCH(H28,'RESOLVE Case Settings'!$C$19:$C$42,0))</xm:f>
            <x14:dxf>
              <font>
                <color rgb="FF006100"/>
              </font>
              <fill>
                <patternFill>
                  <bgColor rgb="FFC6EFCE"/>
                </patternFill>
              </fill>
            </x14:dxf>
          </x14:cfRule>
          <xm:sqref>H28:H47</xm:sqref>
        </x14:conditionalFormatting>
        <x14:conditionalFormatting xmlns:xm="http://schemas.microsoft.com/office/excel/2006/main">
          <x14:cfRule type="expression" priority="2" id="{43028EE5-80C7-9142-90E5-2761516A6DE1}">
            <xm:f>ISNUMBER(MATCH(H10,'RESOLVE Case Settings'!$C$19:$C$42,0))</xm:f>
            <x14:dxf>
              <font>
                <color rgb="FF006100"/>
              </font>
              <fill>
                <patternFill>
                  <bgColor rgb="FFC6EFCE"/>
                </patternFill>
              </fill>
            </x14:dxf>
          </x14:cfRule>
          <xm:sqref>H10:H18</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C73EC-4BC4-8646-8A78-D7D4E91F7B47}">
  <sheetPr codeName="Sheet17"/>
  <dimension ref="A1:CO208"/>
  <sheetViews>
    <sheetView showGridLines="0" topLeftCell="CB1" zoomScale="85" zoomScaleNormal="85" workbookViewId="0">
      <selection activeCell="CE15" sqref="CE15"/>
    </sheetView>
  </sheetViews>
  <sheetFormatPr baseColWidth="10" defaultColWidth="11" defaultRowHeight="12"/>
  <cols>
    <col min="2" max="2" width="31" customWidth="1"/>
    <col min="3" max="3" width="42.3984375" bestFit="1" customWidth="1"/>
    <col min="5" max="21" width="31" customWidth="1"/>
    <col min="22" max="24" width="26.59765625" bestFit="1" customWidth="1"/>
    <col min="25" max="27" width="31" customWidth="1"/>
    <col min="29" max="29" width="31" customWidth="1"/>
    <col min="31" max="32" width="31" customWidth="1"/>
    <col min="33" max="33" width="38.3984375" bestFit="1" customWidth="1"/>
    <col min="34" max="34" width="31" customWidth="1"/>
    <col min="36" max="36" width="71" bestFit="1" customWidth="1"/>
    <col min="37" max="37" width="76" bestFit="1" customWidth="1"/>
    <col min="38" max="38" width="72.796875" bestFit="1" customWidth="1"/>
    <col min="40" max="57" width="21" customWidth="1"/>
    <col min="58" max="58" width="39.59765625" bestFit="1" customWidth="1"/>
    <col min="59" max="59" width="11" customWidth="1"/>
    <col min="60" max="63" width="21" customWidth="1"/>
    <col min="64" max="64" width="11" customWidth="1"/>
    <col min="65" max="65" width="24.3984375" bestFit="1" customWidth="1"/>
    <col min="67" max="67" width="25.3984375" customWidth="1"/>
    <col min="68" max="68" width="8" customWidth="1"/>
    <col min="69" max="70" width="35.3984375" bestFit="1" customWidth="1"/>
    <col min="71" max="71" width="6" customWidth="1"/>
    <col min="72" max="72" width="39.59765625" bestFit="1" customWidth="1"/>
    <col min="73" max="73" width="5.3984375" customWidth="1"/>
    <col min="74" max="74" width="37" bestFit="1" customWidth="1"/>
    <col min="75" max="75" width="5.3984375" customWidth="1"/>
    <col min="76" max="76" width="39" bestFit="1" customWidth="1"/>
    <col min="78" max="79" width="31" customWidth="1"/>
    <col min="80" max="80" width="70" bestFit="1" customWidth="1"/>
    <col min="81" max="81" width="21" bestFit="1" customWidth="1"/>
    <col min="82" max="82" width="29" bestFit="1" customWidth="1"/>
    <col min="83" max="83" width="29" customWidth="1"/>
    <col min="84" max="84" width="29" bestFit="1" customWidth="1"/>
    <col min="86" max="86" width="27.3984375" customWidth="1"/>
    <col min="87" max="88" width="23.3984375" bestFit="1" customWidth="1"/>
    <col min="89" max="89" width="52.19921875" bestFit="1" customWidth="1"/>
    <col min="90" max="90" width="24.59765625" customWidth="1"/>
    <col min="91" max="91" width="19.59765625" bestFit="1" customWidth="1"/>
    <col min="92" max="92" width="18.59765625" customWidth="1"/>
  </cols>
  <sheetData>
    <row r="1" spans="1:93" s="5" customFormat="1" ht="29" thickBot="1">
      <c r="A1" s="5" t="s">
        <v>579</v>
      </c>
    </row>
    <row r="3" spans="1:93" ht="18" thickBot="1">
      <c r="E3" s="60" t="s">
        <v>580</v>
      </c>
      <c r="F3" s="60"/>
      <c r="G3" s="60"/>
      <c r="H3" s="60"/>
      <c r="I3" s="60"/>
      <c r="J3" s="60"/>
      <c r="K3" s="60"/>
      <c r="L3" s="60"/>
      <c r="M3" s="60"/>
      <c r="N3" s="60"/>
      <c r="O3" s="60"/>
      <c r="P3" s="60"/>
      <c r="Q3" s="60"/>
      <c r="R3" s="60"/>
      <c r="S3" s="60"/>
      <c r="T3" s="60"/>
      <c r="U3" s="60"/>
      <c r="V3" s="60"/>
      <c r="W3" s="60"/>
      <c r="X3" s="60"/>
      <c r="Y3" s="60"/>
      <c r="Z3" s="60"/>
      <c r="AA3" s="60"/>
      <c r="AE3" s="20" t="s">
        <v>175</v>
      </c>
      <c r="AF3" s="20"/>
      <c r="AG3" s="20"/>
      <c r="AH3" s="20"/>
      <c r="AI3" s="20"/>
      <c r="AJ3" s="20"/>
      <c r="AK3" s="20"/>
      <c r="AL3" s="20"/>
      <c r="AN3" s="60" t="s">
        <v>581</v>
      </c>
      <c r="AO3" s="60"/>
      <c r="AP3" s="60"/>
      <c r="AQ3" s="60"/>
      <c r="AR3" s="60"/>
      <c r="AS3" s="60"/>
      <c r="AT3" s="60"/>
      <c r="AU3" s="60"/>
      <c r="AV3" s="60"/>
      <c r="AW3" s="60"/>
      <c r="AX3" s="60"/>
      <c r="AY3" s="60"/>
      <c r="AZ3" s="60"/>
      <c r="BA3" s="60"/>
      <c r="BB3" s="60"/>
      <c r="BC3" s="60"/>
      <c r="BD3" s="60"/>
      <c r="BE3" s="60"/>
      <c r="BF3" s="60"/>
      <c r="BG3" s="60"/>
      <c r="BH3" s="60"/>
      <c r="BI3" s="60"/>
      <c r="BJ3" s="60"/>
      <c r="BK3" s="60"/>
      <c r="BZ3" s="60" t="s">
        <v>582</v>
      </c>
      <c r="CA3" s="60"/>
      <c r="CB3" s="60"/>
      <c r="CC3" s="60"/>
      <c r="CD3" s="60"/>
      <c r="CE3" s="60"/>
      <c r="CF3" s="60"/>
      <c r="CH3" s="60" t="s">
        <v>474</v>
      </c>
      <c r="CI3" s="60"/>
      <c r="CJ3" s="60"/>
      <c r="CK3" s="60"/>
      <c r="CL3" s="60"/>
      <c r="CM3" s="60"/>
      <c r="CN3" s="60"/>
    </row>
    <row r="4" spans="1:93">
      <c r="CH4" t="s">
        <v>583</v>
      </c>
    </row>
    <row r="5" spans="1:93" ht="14" thickBot="1">
      <c r="AJ5" s="80" t="s">
        <v>584</v>
      </c>
      <c r="AK5" s="80"/>
      <c r="AL5" s="80"/>
      <c r="BH5" s="80" t="s">
        <v>585</v>
      </c>
      <c r="BI5" s="80"/>
      <c r="BJ5" s="80"/>
      <c r="BK5" s="80"/>
    </row>
    <row r="7" spans="1:93">
      <c r="AN7" s="12" t="s">
        <v>405</v>
      </c>
      <c r="AO7" s="12" t="s">
        <v>311</v>
      </c>
      <c r="AP7" s="12" t="s">
        <v>235</v>
      </c>
      <c r="AQ7" s="12" t="s">
        <v>317</v>
      </c>
      <c r="AR7" s="12" t="s">
        <v>311</v>
      </c>
      <c r="AS7" s="12" t="s">
        <v>227</v>
      </c>
      <c r="AT7" s="12" t="s">
        <v>243</v>
      </c>
      <c r="AU7" s="12" t="s">
        <v>586</v>
      </c>
      <c r="AV7" s="12" t="s">
        <v>241</v>
      </c>
      <c r="AW7" s="12" t="s">
        <v>215</v>
      </c>
      <c r="AX7" s="12" t="s">
        <v>336</v>
      </c>
      <c r="AY7" s="12" t="s">
        <v>587</v>
      </c>
      <c r="AZ7" s="12" t="s">
        <v>233</v>
      </c>
      <c r="BA7" s="12" t="s">
        <v>229</v>
      </c>
      <c r="BB7" s="12" t="s">
        <v>217</v>
      </c>
      <c r="BC7" s="12" t="s">
        <v>221</v>
      </c>
      <c r="BD7" s="12" t="s">
        <v>324</v>
      </c>
      <c r="BE7" s="12" t="s">
        <v>203</v>
      </c>
      <c r="BF7" s="12"/>
      <c r="BH7" s="12" t="s">
        <v>311</v>
      </c>
      <c r="BI7" s="12" t="s">
        <v>406</v>
      </c>
      <c r="BJ7" s="12" t="s">
        <v>588</v>
      </c>
      <c r="BK7" s="12" t="s">
        <v>589</v>
      </c>
    </row>
    <row r="8" spans="1:93" ht="14">
      <c r="B8" s="6" t="s">
        <v>590</v>
      </c>
      <c r="C8" s="6" t="s">
        <v>474</v>
      </c>
      <c r="E8" s="6" t="s">
        <v>591</v>
      </c>
      <c r="F8" s="6" t="s">
        <v>252</v>
      </c>
      <c r="G8" s="6" t="s">
        <v>276</v>
      </c>
      <c r="H8" s="6" t="s">
        <v>547</v>
      </c>
      <c r="I8" s="6" t="s">
        <v>592</v>
      </c>
      <c r="J8" s="6" t="s">
        <v>593</v>
      </c>
      <c r="K8" s="6" t="s">
        <v>302</v>
      </c>
      <c r="L8" s="6" t="s">
        <v>367</v>
      </c>
      <c r="M8" s="6" t="s">
        <v>336</v>
      </c>
      <c r="N8" s="6" t="s">
        <v>594</v>
      </c>
      <c r="O8" s="6" t="s">
        <v>302</v>
      </c>
      <c r="P8" s="6" t="s">
        <v>595</v>
      </c>
      <c r="Q8" s="6" t="s">
        <v>413</v>
      </c>
      <c r="R8" s="6" t="s">
        <v>596</v>
      </c>
      <c r="S8" s="6" t="s">
        <v>499</v>
      </c>
      <c r="T8" s="6" t="s">
        <v>490</v>
      </c>
      <c r="U8" s="6" t="s">
        <v>597</v>
      </c>
      <c r="V8" s="6" t="s">
        <v>598</v>
      </c>
      <c r="W8" s="6" t="s">
        <v>599</v>
      </c>
      <c r="X8" s="6" t="s">
        <v>600</v>
      </c>
      <c r="Y8" s="6" t="s">
        <v>601</v>
      </c>
      <c r="Z8" s="6" t="s">
        <v>573</v>
      </c>
      <c r="AA8" s="6" t="s">
        <v>554</v>
      </c>
      <c r="AC8" s="6" t="s">
        <v>602</v>
      </c>
      <c r="AE8" s="6" t="s">
        <v>603</v>
      </c>
      <c r="AF8" s="6" t="s">
        <v>178</v>
      </c>
      <c r="AG8" s="6" t="s">
        <v>604</v>
      </c>
      <c r="AH8" s="6" t="s">
        <v>179</v>
      </c>
      <c r="AJ8" s="6" t="s">
        <v>605</v>
      </c>
      <c r="AK8" s="6" t="s">
        <v>606</v>
      </c>
      <c r="AL8" s="6" t="s">
        <v>607</v>
      </c>
      <c r="AN8" s="6" t="s">
        <v>608</v>
      </c>
      <c r="AO8" s="6" t="s">
        <v>593</v>
      </c>
      <c r="AP8" s="6" t="s">
        <v>538</v>
      </c>
      <c r="AQ8" s="6" t="s">
        <v>252</v>
      </c>
      <c r="AR8" s="6" t="s">
        <v>609</v>
      </c>
      <c r="AS8" s="6" t="s">
        <v>381</v>
      </c>
      <c r="AT8" s="6" t="s">
        <v>610</v>
      </c>
      <c r="AU8" s="6" t="s">
        <v>245</v>
      </c>
      <c r="AV8" s="6" t="s">
        <v>279</v>
      </c>
      <c r="AW8" s="6" t="s">
        <v>547</v>
      </c>
      <c r="AX8" s="6" t="s">
        <v>305</v>
      </c>
      <c r="AY8" s="6" t="s">
        <v>306</v>
      </c>
      <c r="AZ8" s="6" t="s">
        <v>611</v>
      </c>
      <c r="BA8" s="6" t="s">
        <v>379</v>
      </c>
      <c r="BB8" s="6" t="s">
        <v>375</v>
      </c>
      <c r="BC8" s="6" t="s">
        <v>377</v>
      </c>
      <c r="BD8" s="6" t="s">
        <v>612</v>
      </c>
      <c r="BE8" s="6" t="s">
        <v>612</v>
      </c>
      <c r="BF8" s="6" t="s">
        <v>613</v>
      </c>
      <c r="BH8" s="6" t="s">
        <v>609</v>
      </c>
      <c r="BI8" s="6" t="s">
        <v>609</v>
      </c>
      <c r="BJ8" s="6" t="s">
        <v>609</v>
      </c>
      <c r="BK8" s="6" t="s">
        <v>609</v>
      </c>
      <c r="BM8" s="58" t="s">
        <v>614</v>
      </c>
      <c r="BO8" s="121" t="s">
        <v>615</v>
      </c>
      <c r="BQ8" s="6" t="s">
        <v>616</v>
      </c>
      <c r="BR8" s="6" t="s">
        <v>617</v>
      </c>
      <c r="BT8" s="58" t="s">
        <v>618</v>
      </c>
      <c r="BV8" s="58" t="s">
        <v>619</v>
      </c>
      <c r="BX8" s="58" t="s">
        <v>841</v>
      </c>
      <c r="BZ8" s="6" t="s">
        <v>620</v>
      </c>
      <c r="CA8" s="6" t="s">
        <v>621</v>
      </c>
      <c r="CB8" s="6" t="s">
        <v>622</v>
      </c>
      <c r="CC8" s="6" t="s">
        <v>623</v>
      </c>
      <c r="CD8" s="6" t="s">
        <v>624</v>
      </c>
      <c r="CE8" s="6" t="s">
        <v>939</v>
      </c>
      <c r="CF8" s="6" t="s">
        <v>625</v>
      </c>
      <c r="CH8" s="6" t="s">
        <v>620</v>
      </c>
      <c r="CI8" s="6" t="s">
        <v>621</v>
      </c>
      <c r="CJ8" s="6" t="s">
        <v>626</v>
      </c>
      <c r="CK8" s="6" t="s">
        <v>627</v>
      </c>
      <c r="CL8" s="6" t="s">
        <v>628</v>
      </c>
      <c r="CM8" s="6" t="s">
        <v>629</v>
      </c>
      <c r="CN8" s="6" t="s">
        <v>630</v>
      </c>
      <c r="CO8" s="6" t="s">
        <v>631</v>
      </c>
    </row>
    <row r="9" spans="1:93">
      <c r="B9" s="8" t="s">
        <v>311</v>
      </c>
      <c r="C9" s="8" t="s">
        <v>406</v>
      </c>
      <c r="E9" s="8" t="e" cm="1" vm="2">
        <f t="array" aca="1" ref="E9" ca="1">_xlfn._xlws.SORT(_xlfn.UNIQUE(_xlfn._xlws.FILTER(OFFSET(ELCCSurface,,,,1),OFFSET(ELCCSurface,,,,1)&lt;&gt;"")))</f>
        <v>#VALUE!</v>
      </c>
      <c r="F9" s="8" t="e" cm="1" vm="2">
        <f t="array" ref="F9">_xlfn._xlws.SORT(_xlfn.UNIQUE(_xlfn._xlws.FILTER(CandidateFuel,CandidateFuel&lt;&gt;"")))</f>
        <v>#VALUE!</v>
      </c>
      <c r="G9" s="8" t="str" cm="1">
        <f t="array" ref="G9">_xlfn._xlws.SORT(_xlfn.UNIQUE(_xlfn._xlws.FILTER(Load,Load&lt;&gt;"")))</f>
        <v>ISONE_load_2yr</v>
      </c>
      <c r="H9" s="8" t="str" cm="1">
        <f t="array" aca="1" ref="H9" ca="1">_xlfn._xlws.SORT(_xlfn.UNIQUE(_xlfn._xlws.FILTER(OFFSET(OutageDistribution,,,,1),OFFSET(OutageDistribution,,,,1)&lt;&gt;"")))</f>
        <v>outage_dist_1</v>
      </c>
      <c r="I9" s="8" t="e" cm="1" vm="2">
        <f t="array" ref="I9">_xlfn._xlws.SORT(_xlfn.UNIQUE(_xlfn._xlws.FILTER(AnnualEmissionsPolicy,AnnualEmissionsPolicy&lt;&gt;"")))</f>
        <v>#VALUE!</v>
      </c>
      <c r="J9" s="8" t="e" cm="1" vm="2">
        <f t="array" ref="J9">_xlfn._xlws.SORT(_xlfn.UNIQUE(_xlfn._xlws.FILTER('Emissions Price'!AnnualEmissionsPolicy,'Emissions Price'!AnnualEmissionsPolicy&lt;&gt;"")))</f>
        <v>#VALUE!</v>
      </c>
      <c r="K9" s="34" t="e" cm="1" vm="2">
        <f t="array" ref="K9">_xlfn._xlws.SORT(_xlfn.TOCOL(I9:J208,3))</f>
        <v>#VALUE!</v>
      </c>
      <c r="L9" s="8" t="e" cm="1" vm="2">
        <f t="array" ref="L9">_xlfn._xlws.SORT(_xlfn.UNIQUE(_xlfn._xlws.FILTER('RPS and CES'!AnnualEnergyStandard,'RPS and CES'!AnnualEnergyStandard&lt;&gt;"")))</f>
        <v>#VALUE!</v>
      </c>
      <c r="M9" s="8" t="e" cm="1" vm="2">
        <f t="array" ref="M9">_xlfn._xlws.SORT(_xlfn.UNIQUE(_xlfn._xlws.FILTER(PRM!PlanningReserveMargin,PRM!PlanningReserveMargin&lt;&gt;"")))</f>
        <v>#VALUE!</v>
      </c>
      <c r="N9" s="34" t="e" cm="1" vm="2">
        <f t="array" ref="N9">_xlfn._xlws.SORT(_xlfn.TOCOL(L9:M208,3))</f>
        <v>#VALUE!</v>
      </c>
      <c r="O9" s="34" t="e" cm="1" vm="2">
        <f t="array" ref="O9">_xlfn._xlws.SORT(_xlfn.TOCOL(K9:M208,3))</f>
        <v>#VALUE!</v>
      </c>
      <c r="P9" s="8" t="str" cm="1">
        <f t="array" ref="P9">_xlfn._xlws.SORT(_xlfn.UNIQUE(_xlfn._xlws.FILTER(Reserve,Reserve&lt;&gt;"")))</f>
        <v>regulating_up</v>
      </c>
      <c r="Q9" s="8" t="str" cm="1">
        <f t="array" ref="Q9:Q12">_xlfn._xlws.SORT(_xlfn.UNIQUE(_xlfn._xlws.FILTER(Thermal!Resource,Thermal!Resource&lt;&gt;"")))</f>
        <v>biomass</v>
      </c>
      <c r="R9" s="8" t="str" cm="1">
        <f t="array" ref="R9:R12">_xlfn._xlws.SORT(_xlfn.UNIQUE(_xlfn._xlws.FILTER(Variable!Resource,Variable!Resource&lt;&gt;"")))</f>
        <v>offshore_wind_MA</v>
      </c>
      <c r="S9" s="8" t="str" cm="1">
        <f t="array" ref="S9:S11">_xlfn._xlws.SORT(_xlfn.UNIQUE(_xlfn._xlws.FILTER(Storage!Resource,Storage!Resource&lt;&gt;"")))</f>
        <v>storage_100hr</v>
      </c>
      <c r="T9" s="8" t="str" cm="1">
        <f t="array" ref="T9">_xlfn._xlws.SORT(_xlfn.UNIQUE(_xlfn._xlws.FILTER(Hydro!Resource,Hydro!Resource&lt;&gt;"")))</f>
        <v>hydro_NE</v>
      </c>
      <c r="U9" s="8" t="str" cm="1">
        <f t="array" ref="U9">_xlfn._xlws.SORT(_xlfn.UNIQUE(_xlfn._xlws.FILTER('Shed DR'!Resource,'Shed DR'!Resource&lt;&gt;"")))</f>
        <v>shed_dr</v>
      </c>
      <c r="V9" s="8" t="str" cm="1">
        <f t="array" ref="V9">_xlfn._xlws.SORT(_xlfn.UNIQUE(_xlfn._xlws.FILTER('Flexible Loads'!Resource,'Flexible Loads'!Resource&lt;&gt;"")))</f>
        <v>flex_load_resource</v>
      </c>
      <c r="W9" s="8" t="str" cm="1">
        <f t="array" ref="W9">_xlfn._xlws.SORT(_xlfn.UNIQUE(_xlfn._xlws.FILTER('Hybrid Storage'!Resource,'Hybrid Storage'!Resource&lt;&gt;"")))</f>
        <v>Hybrid_Battery_Storage</v>
      </c>
      <c r="X9" s="8" t="str" cm="1">
        <f t="array" ref="X9">_xlfn._xlws.SORT(_xlfn.UNIQUE(_xlfn._xlws.FILTER('Hybrid Variable'!Resource,'Hybrid Variable'!Resource&lt;&gt;"")))</f>
        <v>MA_Solar_Hybrid</v>
      </c>
      <c r="Y9" s="34" t="str" cm="1">
        <f t="array" ref="Y9:Y24">_xlfn._xlws.SORT(_xlfn.TOCOL(Q9:X208,3))</f>
        <v>biomass</v>
      </c>
      <c r="Z9" s="8" t="e" cm="1" vm="2">
        <f t="array" ref="Z9">_xlfn._xlws.SORT(_xlfn.UNIQUE(_xlfn._xlws.FILTER(TXPath,TXPath&lt;&gt;"")))</f>
        <v>#VALUE!</v>
      </c>
      <c r="AA9" s="8" t="str" cm="1">
        <f t="array" ref="AA9">_xlfn._xlws.SORT(_xlfn.UNIQUE(_xlfn._xlws.FILTER(Zone,Zone&lt;&gt;"")))</f>
        <v>ISONE</v>
      </c>
      <c r="AC9" s="8" t="e" cm="1" vm="2">
        <f t="array" ref="AC9">_xlfn._xlws.SORT(_xlfn.UNIQUE(_xlfn._xlws.FILTER('Zones and Transmission'!$C$139:$C$162,'Zones and Transmission'!$C$139:$C$162&lt;&gt;"")))</f>
        <v>#VALUE!</v>
      </c>
      <c r="AE9" s="8" t="e" cm="1" vm="2">
        <f t="array" ref="AE9">_xlfn._xlws.SORT(_xlfn.UNIQUE(_xlfn._xlws.FILTER(custom_constraint_groups_annual,custom_constraint_groups_annual&lt;&gt;"")))</f>
        <v>#VALUE!</v>
      </c>
      <c r="AF9" s="8" t="e" cm="1" vm="2">
        <f t="array" ref="AF9">_xlfn._xlws.SORT(_xlfn.UNIQUE(_xlfn._xlws.FILTER(custom_constraints_annual,custom_constraints_annual&lt;&gt;"")))</f>
        <v>#VALUE!</v>
      </c>
      <c r="AG9" s="8" t="e" cm="1" vm="2">
        <f t="array" ref="AG9">_xlfn._xlws.SORT(_xlfn.UNIQUE(_xlfn._xlws.FILTER(custom_constraint_groups_timepoint,custom_constraint_groups_timepoint&lt;&gt;"")))</f>
        <v>#VALUE!</v>
      </c>
      <c r="AH9" s="8" t="e" cm="1" vm="2">
        <f t="array" ref="AH9">_xlfn._xlws.SORT(_xlfn.UNIQUE(_xlfn._xlws.FILTER(custom_constraints_timepoint,custom_constraints_timepoint&lt;&gt;"")))</f>
        <v>#VALUE!</v>
      </c>
      <c r="AJ9" s="8" t="s">
        <v>632</v>
      </c>
      <c r="AK9" s="8" t="s">
        <v>633</v>
      </c>
      <c r="AL9" s="12" t="str" cm="1">
        <f t="array" ref="AL9:AL142">_xlfn._xlws.FILTER(_xlfn._xlws.SORT(_xlfn.UNIQUE(_xlfn.TOCOL(AJ9:AK208))),_xlfn._xlws.SORT(_xlfn.UNIQUE(_xlfn.TOCOL(AJ9:AK208)))&lt;&gt;"")</f>
        <v>Annual_Candidate_Fuel_Consumption_By_Final_Fuel_Demands</v>
      </c>
      <c r="AN9" s="8" t="str" cm="1">
        <f t="array" aca="1" ref="AN9" ca="1">IFERROR(_xlfn._xlws.SORT(_xlfn.UNIQUE(_xlfn._xlws.FILTER(INDIRECT("'"&amp;AN8&amp;"'!"&amp;AN7&amp;".scenario"),INDIRECT("'"&amp;AN8&amp;"'!"&amp;AN7&amp;".scenario")&lt;&gt;""))),"")</f>
        <v/>
      </c>
      <c r="AO9" s="8" t="str" cm="1">
        <f t="array" aca="1" ref="AO9" ca="1">IFERROR(_xlfn._xlws.SORT(_xlfn.UNIQUE(_xlfn._xlws.FILTER(INDIRECT("'"&amp;AO8&amp;"'!"&amp;AO7&amp;".scenario"),INDIRECT("'"&amp;AO8&amp;"'!"&amp;AO7&amp;".scenario")&lt;&gt;""))),"")</f>
        <v/>
      </c>
      <c r="AP9" s="8" t="str" cm="1">
        <f t="array" aca="1" ref="AP9" ca="1">IFERROR(_xlfn._xlws.SORT(_xlfn.UNIQUE(_xlfn._xlws.FILTER(INDIRECT("'"&amp;AP8&amp;"'!"&amp;AP7&amp;".scenario"),INDIRECT("'"&amp;AP8&amp;"'!"&amp;AP7&amp;".scenario")&lt;&gt;""))),"")</f>
        <v/>
      </c>
      <c r="AQ9" s="8" t="str" cm="1">
        <f t="array" aca="1" ref="AQ9" ca="1">IFERROR(_xlfn._xlws.SORT(_xlfn.UNIQUE(_xlfn._xlws.FILTER(INDIRECT("'"&amp;AQ8&amp;"'!"&amp;AQ7&amp;".scenario"),INDIRECT("'"&amp;AQ8&amp;"'!"&amp;AQ7&amp;".scenario")&lt;&gt;""))),"")</f>
        <v/>
      </c>
      <c r="AR9" s="8" t="str" cm="1">
        <f t="array" aca="1" ref="AR9" ca="1">IFERROR(_xlfn._xlws.SORT(_xlfn.UNIQUE(_xlfn._xlws.FILTER(INDIRECT("'"&amp;AR8&amp;"'!"&amp;AR7&amp;".scenario"),INDIRECT("'"&amp;AR8&amp;"'!"&amp;AR7&amp;".scenario")&lt;&gt;""))),"")</f>
        <v/>
      </c>
      <c r="AS9" s="8" t="str" cm="1">
        <f t="array" aca="1" ref="AS9" ca="1">IFERROR(_xlfn._xlws.SORT(_xlfn.UNIQUE(_xlfn._xlws.FILTER(INDIRECT("'"&amp;AS8&amp;"'!"&amp;AS7&amp;".scenario"),INDIRECT("'"&amp;AS8&amp;"'!"&amp;AS7&amp;".scenario")&lt;&gt;""))),"")</f>
        <v/>
      </c>
      <c r="AT9" s="8" t="str" cm="1">
        <f t="array" aca="1" ref="AT9" ca="1">IFERROR(_xlfn._xlws.SORT(_xlfn.UNIQUE(_xlfn._xlws.FILTER(INDIRECT("'"&amp;AT8&amp;"'!"&amp;AT7&amp;".scenario"),INDIRECT("'"&amp;AT8&amp;"'!"&amp;AT7&amp;".scenario")&lt;&gt;""))),"")</f>
        <v/>
      </c>
      <c r="AU9" s="8" t="str" cm="1">
        <f t="array" aca="1" ref="AU9" ca="1">IFERROR(_xlfn._xlws.SORT(_xlfn.UNIQUE(_xlfn._xlws.FILTER(INDIRECT("'"&amp;AU8&amp;"'!"&amp;AU7&amp;".scenario"),INDIRECT("'"&amp;AU8&amp;"'!"&amp;AU7&amp;".scenario")&lt;&gt;""))),"")</f>
        <v/>
      </c>
      <c r="AV9" s="8" t="str" cm="1">
        <f t="array" aca="1" ref="AV9" ca="1">IFERROR(_xlfn._xlws.SORT(_xlfn.UNIQUE(_xlfn._xlws.FILTER(INDIRECT("'"&amp;AV8&amp;"'!"&amp;AV7&amp;".scenario"),INDIRECT("'"&amp;AV8&amp;"'!"&amp;AV7&amp;".scenario")&lt;&gt;""))),"")</f>
        <v/>
      </c>
      <c r="AW9" s="8" t="str" cm="1">
        <f t="array" aca="1" ref="AW9" ca="1">IFERROR(_xlfn._xlws.SORT(_xlfn.UNIQUE(_xlfn._xlws.FILTER(INDIRECT("'"&amp;AW8&amp;"'!"&amp;AW7&amp;".scenario"),INDIRECT("'"&amp;AW8&amp;"'!"&amp;AW7&amp;".scenario")&lt;&gt;""))),"")</f>
        <v/>
      </c>
      <c r="AX9" s="8" t="str" cm="1">
        <f t="array" aca="1" ref="AX9" ca="1">IFERROR(_xlfn._xlws.SORT(_xlfn.UNIQUE(_xlfn._xlws.FILTER(INDIRECT("'"&amp;AX8&amp;"'!"&amp;AX7&amp;".scenario"),INDIRECT("'"&amp;AX8&amp;"'!"&amp;AX7&amp;".scenario")&lt;&gt;""))),"")</f>
        <v/>
      </c>
      <c r="AY9" s="8" t="str" cm="1">
        <f t="array" aca="1" ref="AY9" ca="1">IFERROR(_xlfn._xlws.SORT(_xlfn.UNIQUE(_xlfn._xlws.FILTER(INDIRECT("'"&amp;AY8&amp;"'!"&amp;AY7&amp;".scenario"),INDIRECT("'"&amp;AY8&amp;"'!"&amp;AY7&amp;".scenario")&lt;&gt;""))),"")</f>
        <v/>
      </c>
      <c r="AZ9" s="8" t="str" cm="1">
        <f t="array" aca="1" ref="AZ9" ca="1">IFERROR(_xlfn._xlws.SORT(_xlfn.UNIQUE(_xlfn._xlws.FILTER(INDIRECT("'"&amp;AZ8&amp;"'!"&amp;AZ7&amp;".scenario"),INDIRECT("'"&amp;AZ8&amp;"'!"&amp;AZ7&amp;".scenario")&lt;&gt;""))),"")</f>
        <v/>
      </c>
      <c r="BA9" s="8" t="str" cm="1">
        <f t="array" aca="1" ref="BA9" ca="1">IFERROR(_xlfn._xlws.SORT(_xlfn.UNIQUE(_xlfn._xlws.FILTER(INDIRECT("'"&amp;BA8&amp;"'!"&amp;BA7&amp;".scenario"),INDIRECT("'"&amp;BA8&amp;"'!"&amp;BA7&amp;".scenario")&lt;&gt;""))),"")</f>
        <v/>
      </c>
      <c r="BB9" s="8" t="str" cm="1">
        <f t="array" aca="1" ref="BB9" ca="1">IFERROR(_xlfn._xlws.SORT(_xlfn.UNIQUE(_xlfn._xlws.FILTER(INDIRECT("'"&amp;BB8&amp;"'!"&amp;BB7&amp;".scenario"),INDIRECT("'"&amp;BB8&amp;"'!"&amp;BB7&amp;".scenario")&lt;&gt;""))),"")</f>
        <v/>
      </c>
      <c r="BC9" s="8" t="str" cm="1">
        <f t="array" aca="1" ref="BC9" ca="1">IFERROR(_xlfn._xlws.SORT(_xlfn.UNIQUE(_xlfn._xlws.FILTER(INDIRECT("'"&amp;BC8&amp;"'!"&amp;BC7&amp;".scenario"),INDIRECT("'"&amp;BC8&amp;"'!"&amp;BC7&amp;".scenario")&lt;&gt;""))),"")</f>
        <v/>
      </c>
      <c r="BD9" s="8" t="str" cm="1">
        <f t="array" aca="1" ref="BD9" ca="1">IFERROR(_xlfn._xlws.SORT(_xlfn.UNIQUE(_xlfn._xlws.FILTER(INDIRECT("'"&amp;BD8&amp;"'!"&amp;BD7&amp;".scenario"),INDIRECT("'"&amp;BD8&amp;"'!"&amp;BD7&amp;".scenario")&lt;&gt;""))),"")</f>
        <v/>
      </c>
      <c r="BE9" s="8" t="str" cm="1">
        <f t="array" aca="1" ref="BE9" ca="1">IFERROR(_xlfn._xlws.SORT(_xlfn.UNIQUE(_xlfn._xlws.FILTER(INDIRECT("'"&amp;BE8&amp;"'!"&amp;BE7&amp;".scenario"),INDIRECT("'"&amp;BE8&amp;"'!"&amp;BE7&amp;".scenario")&lt;&gt;""))),"")</f>
        <v/>
      </c>
      <c r="BF9" s="12" t="e" cm="1" vm="2">
        <f t="array" aca="1" ref="BF9" ca="1">_xlfn._xlws.FILTER(_xlfn._xlws.SORT(_xlfn.UNIQUE(_xlfn.TOCOL(AN9:BE118))),_xlfn._xlws.SORT(_xlfn.UNIQUE(_xlfn.TOCOL(AN9:BE118)))&lt;&gt;"")</f>
        <v>#VALUE!</v>
      </c>
      <c r="BH9" s="12" cm="1">
        <f t="array" ref="BH9:BH14">'GHG Target'!AnnualEmissionsPolicy.scenario</f>
        <v>0</v>
      </c>
      <c r="BI9" s="12" cm="1">
        <f t="array" ref="BI9:BI33">[0]!AllToPolicy.scenario</f>
        <v>0</v>
      </c>
      <c r="BJ9" s="12" cm="1">
        <f t="array" ref="BJ9:BJ33">AllToPolicy.__3.scenario</f>
        <v>0</v>
      </c>
      <c r="BK9" s="12" cm="1">
        <f t="array" ref="BK9:BK23">AllToPolicy.__2.scenario</f>
        <v>0</v>
      </c>
      <c r="BM9" s="46">
        <v>43831</v>
      </c>
      <c r="BO9" s="8" t="s">
        <v>883</v>
      </c>
      <c r="BQ9" s="8"/>
      <c r="BR9" s="8" t="s">
        <v>884</v>
      </c>
      <c r="BT9" s="8"/>
      <c r="BV9" s="8"/>
      <c r="BX9" s="8" t="s">
        <v>212</v>
      </c>
      <c r="BZ9" s="12" t="s">
        <v>634</v>
      </c>
      <c r="CA9" s="12" t="s">
        <v>608</v>
      </c>
      <c r="CB9" s="114" t="s">
        <v>635</v>
      </c>
      <c r="CC9" s="12" t="s">
        <v>405</v>
      </c>
      <c r="CD9" s="12" t="s">
        <v>636</v>
      </c>
      <c r="CE9" s="12"/>
      <c r="CF9" s="12" t="b">
        <v>0</v>
      </c>
      <c r="CH9" s="12" t="s">
        <v>634</v>
      </c>
      <c r="CI9" s="12" t="s">
        <v>608</v>
      </c>
      <c r="CJ9" s="12" t="s">
        <v>407</v>
      </c>
      <c r="CK9" s="12" t="s">
        <v>407</v>
      </c>
      <c r="CL9" s="12" t="s">
        <v>637</v>
      </c>
      <c r="CM9" s="12" t="s">
        <v>638</v>
      </c>
      <c r="CN9" s="12" t="s">
        <v>405</v>
      </c>
      <c r="CO9" s="12" t="b">
        <v>1</v>
      </c>
    </row>
    <row r="10" spans="1:93">
      <c r="B10" s="8" t="s">
        <v>367</v>
      </c>
      <c r="C10" s="8" t="s">
        <v>446</v>
      </c>
      <c r="E10" s="8"/>
      <c r="F10" s="8"/>
      <c r="G10" s="8"/>
      <c r="H10" s="8"/>
      <c r="I10" s="8"/>
      <c r="J10" s="8"/>
      <c r="K10" s="34"/>
      <c r="L10" s="8"/>
      <c r="M10" s="8"/>
      <c r="N10" s="34"/>
      <c r="O10" s="34"/>
      <c r="P10" s="8"/>
      <c r="Q10" s="8" t="str">
        <v>gas_CCGT</v>
      </c>
      <c r="R10" s="8" t="str">
        <v>solar_BTM</v>
      </c>
      <c r="S10" s="8" t="str">
        <v>storage_12hr</v>
      </c>
      <c r="T10" s="8"/>
      <c r="U10" s="8"/>
      <c r="V10" s="8"/>
      <c r="W10" s="8"/>
      <c r="X10" s="8"/>
      <c r="Y10" s="34" t="str">
        <v>flex_load_resource</v>
      </c>
      <c r="Z10" s="8"/>
      <c r="AA10" s="8"/>
      <c r="AC10" s="8"/>
      <c r="AE10" s="8"/>
      <c r="AF10" s="8"/>
      <c r="AG10" s="8"/>
      <c r="AH10" s="8"/>
      <c r="AJ10" s="8" t="s">
        <v>639</v>
      </c>
      <c r="AK10" s="8" t="s">
        <v>640</v>
      </c>
      <c r="AL10" s="12" t="str">
        <v>Annual_Fuel_Zone_Candidate_Fuel_Consumption_By_Final_Fuel_Demands_MMBTU</v>
      </c>
      <c r="AN10" s="8"/>
      <c r="AO10" s="8"/>
      <c r="AP10" s="8"/>
      <c r="AQ10" s="8"/>
      <c r="AR10" s="8"/>
      <c r="AS10" s="8"/>
      <c r="AT10" s="8"/>
      <c r="AU10" s="8"/>
      <c r="AV10" s="8"/>
      <c r="AW10" s="8"/>
      <c r="AX10" s="8"/>
      <c r="AY10" s="8"/>
      <c r="AZ10" s="8"/>
      <c r="BA10" s="8"/>
      <c r="BB10" s="8"/>
      <c r="BC10" s="8"/>
      <c r="BD10" s="8"/>
      <c r="BE10" s="8"/>
      <c r="BF10" s="12"/>
      <c r="BH10" s="12">
        <v>0</v>
      </c>
      <c r="BI10" s="12">
        <v>0</v>
      </c>
      <c r="BJ10" s="12">
        <v>0</v>
      </c>
      <c r="BK10" s="12">
        <v>0</v>
      </c>
      <c r="BO10" s="8" t="s">
        <v>885</v>
      </c>
      <c r="BQ10" s="8"/>
      <c r="BR10" s="8" t="s">
        <v>886</v>
      </c>
      <c r="BT10" s="8"/>
      <c r="BV10" s="8"/>
      <c r="BX10" s="8" t="s">
        <v>838</v>
      </c>
      <c r="BZ10" s="12" t="s">
        <v>634</v>
      </c>
      <c r="CA10" s="12" t="s">
        <v>593</v>
      </c>
      <c r="CB10" s="12" t="s">
        <v>641</v>
      </c>
      <c r="CC10" s="12" t="s">
        <v>406</v>
      </c>
      <c r="CD10" s="12" t="s">
        <v>642</v>
      </c>
      <c r="CE10" s="12"/>
      <c r="CF10" s="12" t="b">
        <v>1</v>
      </c>
      <c r="CH10" s="12" t="s">
        <v>634</v>
      </c>
      <c r="CI10" s="12" t="s">
        <v>608</v>
      </c>
      <c r="CJ10" s="12" t="s">
        <v>406</v>
      </c>
      <c r="CK10" s="12" t="s">
        <v>406</v>
      </c>
      <c r="CL10" s="12" t="s">
        <v>643</v>
      </c>
      <c r="CM10" s="12" t="s">
        <v>638</v>
      </c>
      <c r="CN10" s="12" t="s">
        <v>405</v>
      </c>
      <c r="CO10" s="12" t="b">
        <v>1</v>
      </c>
    </row>
    <row r="11" spans="1:93">
      <c r="B11" s="8" t="s">
        <v>405</v>
      </c>
      <c r="C11" s="8" t="s">
        <v>268</v>
      </c>
      <c r="E11" s="8"/>
      <c r="F11" s="8"/>
      <c r="G11" s="8"/>
      <c r="H11" s="8"/>
      <c r="I11" s="8"/>
      <c r="J11" s="8"/>
      <c r="K11" s="34"/>
      <c r="L11" s="8"/>
      <c r="M11" s="8"/>
      <c r="N11" s="34"/>
      <c r="O11" s="34"/>
      <c r="P11" s="8"/>
      <c r="Q11" s="8" t="str">
        <v>gas_CT</v>
      </c>
      <c r="R11" s="8" t="str">
        <v>solar_MA</v>
      </c>
      <c r="S11" s="8" t="str">
        <v>storage_4hr</v>
      </c>
      <c r="T11" s="8"/>
      <c r="U11" s="8"/>
      <c r="V11" s="8"/>
      <c r="W11" s="8"/>
      <c r="X11" s="8"/>
      <c r="Y11" s="34" t="str">
        <v>gas_CCGT</v>
      </c>
      <c r="Z11" s="8"/>
      <c r="AA11" s="8"/>
      <c r="AC11" s="8"/>
      <c r="AE11" s="8"/>
      <c r="AF11" s="8"/>
      <c r="AG11" s="8"/>
      <c r="AH11" s="8"/>
      <c r="AJ11" s="8" t="s">
        <v>644</v>
      </c>
      <c r="AK11" s="8" t="s">
        <v>645</v>
      </c>
      <c r="AL11" s="12" t="str">
        <v>Annual_Fuel_Zone_Candidate_Fuel_Consumption_For_Final_Fuel_Demands_MMBTU</v>
      </c>
      <c r="AN11" s="8"/>
      <c r="AO11" s="8"/>
      <c r="AP11" s="8"/>
      <c r="AQ11" s="8"/>
      <c r="AR11" s="8"/>
      <c r="AS11" s="8"/>
      <c r="AT11" s="8"/>
      <c r="AU11" s="8"/>
      <c r="AV11" s="8"/>
      <c r="AW11" s="8"/>
      <c r="AX11" s="8"/>
      <c r="AY11" s="8"/>
      <c r="AZ11" s="8"/>
      <c r="BA11" s="8"/>
      <c r="BB11" s="8"/>
      <c r="BC11" s="8"/>
      <c r="BD11" s="8"/>
      <c r="BE11" s="8"/>
      <c r="BF11" s="12"/>
      <c r="BH11" s="12">
        <v>0</v>
      </c>
      <c r="BI11" s="12">
        <v>0</v>
      </c>
      <c r="BJ11" s="12">
        <v>0</v>
      </c>
      <c r="BK11" s="12">
        <v>0</v>
      </c>
      <c r="BO11" s="8" t="s">
        <v>887</v>
      </c>
      <c r="BQ11" s="8"/>
      <c r="BR11" s="8" t="s">
        <v>888</v>
      </c>
      <c r="BT11" s="8"/>
      <c r="BV11" s="8"/>
      <c r="BX11" s="8" t="s">
        <v>395</v>
      </c>
      <c r="BZ11" s="12" t="s">
        <v>634</v>
      </c>
      <c r="CA11" s="12" t="s">
        <v>593</v>
      </c>
      <c r="CB11" s="114" t="s">
        <v>646</v>
      </c>
      <c r="CC11" s="12" t="s">
        <v>311</v>
      </c>
      <c r="CD11" s="12" t="s">
        <v>647</v>
      </c>
      <c r="CE11" s="12"/>
      <c r="CF11" s="12" t="b">
        <v>0</v>
      </c>
      <c r="CH11" s="12" t="s">
        <v>634</v>
      </c>
      <c r="CI11" s="12" t="s">
        <v>593</v>
      </c>
      <c r="CJ11" s="12" t="s">
        <v>406</v>
      </c>
      <c r="CK11" s="12" t="s">
        <v>406</v>
      </c>
      <c r="CL11" s="12" t="s">
        <v>648</v>
      </c>
      <c r="CM11" s="12"/>
      <c r="CN11" s="12"/>
      <c r="CO11" s="12"/>
    </row>
    <row r="12" spans="1:93">
      <c r="B12" s="8" t="s">
        <v>317</v>
      </c>
      <c r="C12" s="8" t="s">
        <v>447</v>
      </c>
      <c r="E12" s="8"/>
      <c r="F12" s="8"/>
      <c r="G12" s="8"/>
      <c r="H12" s="8"/>
      <c r="I12" s="8"/>
      <c r="J12" s="8"/>
      <c r="K12" s="34"/>
      <c r="L12" s="8"/>
      <c r="M12" s="8"/>
      <c r="N12" s="34"/>
      <c r="O12" s="34"/>
      <c r="P12" s="8"/>
      <c r="Q12" s="8" t="str">
        <v>nuclear_resource</v>
      </c>
      <c r="R12" s="8" t="str">
        <v>wind_MA</v>
      </c>
      <c r="S12" s="8"/>
      <c r="T12" s="8"/>
      <c r="U12" s="8"/>
      <c r="V12" s="8"/>
      <c r="W12" s="8"/>
      <c r="X12" s="8"/>
      <c r="Y12" s="34" t="str">
        <v>gas_CT</v>
      </c>
      <c r="Z12" s="8"/>
      <c r="AA12" s="8"/>
      <c r="AC12" s="8"/>
      <c r="AE12" s="8"/>
      <c r="AF12" s="8"/>
      <c r="AG12" s="8"/>
      <c r="AH12" s="8"/>
      <c r="AJ12" s="8" t="s">
        <v>649</v>
      </c>
      <c r="AK12" s="8" t="s">
        <v>650</v>
      </c>
      <c r="AL12" s="12" t="str">
        <v>Annual_Fuel_Zone_Candidate_Fuel_Production_MMBTU</v>
      </c>
      <c r="AN12" s="8"/>
      <c r="AO12" s="8"/>
      <c r="AP12" s="8"/>
      <c r="AQ12" s="8"/>
      <c r="AR12" s="8"/>
      <c r="AS12" s="8"/>
      <c r="AT12" s="8"/>
      <c r="AU12" s="8"/>
      <c r="AV12" s="8"/>
      <c r="AW12" s="8"/>
      <c r="AX12" s="8"/>
      <c r="AY12" s="8"/>
      <c r="AZ12" s="8"/>
      <c r="BA12" s="8"/>
      <c r="BB12" s="8"/>
      <c r="BC12" s="8"/>
      <c r="BD12" s="8"/>
      <c r="BE12" s="8"/>
      <c r="BF12" s="12"/>
      <c r="BH12" s="12">
        <v>0</v>
      </c>
      <c r="BI12" s="12">
        <v>0</v>
      </c>
      <c r="BJ12" s="12">
        <v>0</v>
      </c>
      <c r="BK12" s="12">
        <v>0</v>
      </c>
      <c r="BO12" s="8" t="s">
        <v>889</v>
      </c>
      <c r="BQ12" s="8"/>
      <c r="BR12" s="8" t="s">
        <v>890</v>
      </c>
      <c r="BT12" s="8"/>
      <c r="BV12" s="8"/>
      <c r="BX12" s="8" t="s">
        <v>839</v>
      </c>
      <c r="BZ12" s="12" t="s">
        <v>651</v>
      </c>
      <c r="CA12" s="12" t="s">
        <v>538</v>
      </c>
      <c r="CB12" s="12" t="s">
        <v>652</v>
      </c>
      <c r="CC12" s="12" t="s">
        <v>296</v>
      </c>
      <c r="CD12" s="12" t="s">
        <v>653</v>
      </c>
      <c r="CE12" s="12"/>
      <c r="CF12" s="12" t="b">
        <v>0</v>
      </c>
      <c r="CH12" s="12" t="s">
        <v>634</v>
      </c>
      <c r="CI12" s="12" t="s">
        <v>593</v>
      </c>
      <c r="CJ12" s="12" t="s">
        <v>406</v>
      </c>
      <c r="CK12" s="12" t="s">
        <v>589</v>
      </c>
      <c r="CL12" s="12" t="s">
        <v>648</v>
      </c>
      <c r="CM12" s="12"/>
      <c r="CN12" s="12"/>
      <c r="CO12" s="12"/>
    </row>
    <row r="13" spans="1:93">
      <c r="B13" s="8" t="s">
        <v>348</v>
      </c>
      <c r="C13" s="8" t="s">
        <v>654</v>
      </c>
      <c r="E13" s="8"/>
      <c r="F13" s="8"/>
      <c r="G13" s="8"/>
      <c r="H13" s="8"/>
      <c r="I13" s="8"/>
      <c r="J13" s="8"/>
      <c r="K13" s="34"/>
      <c r="L13" s="8"/>
      <c r="M13" s="8"/>
      <c r="N13" s="34"/>
      <c r="O13" s="34"/>
      <c r="P13" s="8"/>
      <c r="Q13" s="8"/>
      <c r="R13" s="8"/>
      <c r="S13" s="8"/>
      <c r="T13" s="8"/>
      <c r="U13" s="8"/>
      <c r="V13" s="8"/>
      <c r="W13" s="8"/>
      <c r="X13" s="8"/>
      <c r="Y13" s="34" t="str">
        <v>Hybrid_Battery_Storage</v>
      </c>
      <c r="Z13" s="8"/>
      <c r="AA13" s="8"/>
      <c r="AC13" s="8"/>
      <c r="AE13" s="8"/>
      <c r="AF13" s="8"/>
      <c r="AG13" s="8"/>
      <c r="AH13" s="8"/>
      <c r="AJ13" s="8" t="s">
        <v>655</v>
      </c>
      <c r="AK13" s="8" t="s">
        <v>656</v>
      </c>
      <c r="AL13" s="12" t="str">
        <v>Annual_Fuel_Zone_Candidate_Fuel_Storage_MMBTU</v>
      </c>
      <c r="AN13" s="8"/>
      <c r="AO13" s="8"/>
      <c r="AP13" s="8"/>
      <c r="AQ13" s="8"/>
      <c r="AR13" s="8"/>
      <c r="AS13" s="8"/>
      <c r="AT13" s="8"/>
      <c r="AU13" s="8"/>
      <c r="AV13" s="8"/>
      <c r="AW13" s="8"/>
      <c r="AX13" s="8"/>
      <c r="AY13" s="8"/>
      <c r="AZ13" s="8"/>
      <c r="BA13" s="8"/>
      <c r="BB13" s="8"/>
      <c r="BC13" s="8"/>
      <c r="BD13" s="8"/>
      <c r="BE13" s="8"/>
      <c r="BF13" s="12"/>
      <c r="BH13" s="12">
        <v>0</v>
      </c>
      <c r="BI13" s="12">
        <v>0</v>
      </c>
      <c r="BJ13" s="12">
        <v>0</v>
      </c>
      <c r="BK13" s="12">
        <v>0</v>
      </c>
      <c r="BO13" s="8" t="s">
        <v>891</v>
      </c>
      <c r="BQ13" s="8"/>
      <c r="BR13" s="8" t="s">
        <v>892</v>
      </c>
      <c r="BT13" s="8"/>
      <c r="BV13" s="8"/>
      <c r="BX13" s="8" t="s">
        <v>840</v>
      </c>
      <c r="BZ13" s="12" t="s">
        <v>657</v>
      </c>
      <c r="CA13" s="12" t="s">
        <v>538</v>
      </c>
      <c r="CB13" s="12" t="s">
        <v>658</v>
      </c>
      <c r="CC13" s="12" t="s">
        <v>235</v>
      </c>
      <c r="CD13" s="12" t="s">
        <v>653</v>
      </c>
      <c r="CE13" s="12"/>
      <c r="CF13" s="12" t="b">
        <v>0</v>
      </c>
      <c r="CH13" s="12" t="s">
        <v>634</v>
      </c>
      <c r="CI13" s="12" t="s">
        <v>593</v>
      </c>
      <c r="CJ13" s="12" t="s">
        <v>406</v>
      </c>
      <c r="CK13" s="12" t="s">
        <v>588</v>
      </c>
      <c r="CL13" s="12" t="s">
        <v>648</v>
      </c>
      <c r="CM13" s="12"/>
      <c r="CN13" s="12"/>
      <c r="CO13" s="12"/>
    </row>
    <row r="14" spans="1:93">
      <c r="B14" s="8" t="s">
        <v>243</v>
      </c>
      <c r="C14" s="8" t="s">
        <v>510</v>
      </c>
      <c r="E14" s="8"/>
      <c r="F14" s="8"/>
      <c r="G14" s="8"/>
      <c r="H14" s="8"/>
      <c r="I14" s="8"/>
      <c r="J14" s="8"/>
      <c r="K14" s="34"/>
      <c r="L14" s="8"/>
      <c r="M14" s="8"/>
      <c r="N14" s="34"/>
      <c r="O14" s="34"/>
      <c r="P14" s="8"/>
      <c r="Q14" s="8"/>
      <c r="R14" s="8"/>
      <c r="S14" s="8"/>
      <c r="T14" s="8"/>
      <c r="U14" s="8"/>
      <c r="V14" s="8"/>
      <c r="W14" s="8"/>
      <c r="X14" s="8"/>
      <c r="Y14" s="34" t="str">
        <v>hydro_NE</v>
      </c>
      <c r="Z14" s="8"/>
      <c r="AA14" s="8"/>
      <c r="AC14" s="8"/>
      <c r="AE14" s="8"/>
      <c r="AF14" s="8"/>
      <c r="AG14" s="8"/>
      <c r="AH14" s="8"/>
      <c r="AJ14" s="8" t="s">
        <v>659</v>
      </c>
      <c r="AK14" s="8" t="s">
        <v>660</v>
      </c>
      <c r="AL14" s="12" t="str">
        <v>Annual_Fuel_Zone_Resource_Candidate_Fuel_Consumption_MMBTU</v>
      </c>
      <c r="AN14" s="8"/>
      <c r="AO14" s="8"/>
      <c r="AP14" s="8"/>
      <c r="AQ14" s="8"/>
      <c r="AR14" s="8"/>
      <c r="AS14" s="8"/>
      <c r="AT14" s="8"/>
      <c r="AU14" s="8"/>
      <c r="AV14" s="8"/>
      <c r="AW14" s="8"/>
      <c r="AX14" s="8"/>
      <c r="AY14" s="8"/>
      <c r="AZ14" s="8"/>
      <c r="BA14" s="8"/>
      <c r="BB14" s="8"/>
      <c r="BC14" s="8"/>
      <c r="BD14" s="8"/>
      <c r="BE14" s="8"/>
      <c r="BF14" s="12"/>
      <c r="BH14" s="12">
        <v>0</v>
      </c>
      <c r="BI14" s="12">
        <v>0</v>
      </c>
      <c r="BJ14" s="12">
        <v>0</v>
      </c>
      <c r="BK14" s="12">
        <v>0</v>
      </c>
      <c r="BO14" s="8" t="s">
        <v>893</v>
      </c>
      <c r="BQ14" s="8"/>
      <c r="BR14" s="8" t="s">
        <v>894</v>
      </c>
      <c r="BT14" s="8"/>
      <c r="BV14" s="8"/>
      <c r="BX14" s="8" t="s">
        <v>211</v>
      </c>
      <c r="BZ14" s="12" t="s">
        <v>634</v>
      </c>
      <c r="CA14" s="12" t="s">
        <v>252</v>
      </c>
      <c r="CB14" s="12" t="s">
        <v>661</v>
      </c>
      <c r="CC14" s="12" t="s">
        <v>317</v>
      </c>
      <c r="CD14" s="12" t="s">
        <v>662</v>
      </c>
      <c r="CE14" s="12"/>
      <c r="CF14" s="12" t="b">
        <v>0</v>
      </c>
      <c r="CH14" s="12" t="s">
        <v>634</v>
      </c>
      <c r="CI14" s="12" t="s">
        <v>538</v>
      </c>
      <c r="CJ14" s="12" t="s">
        <v>406</v>
      </c>
      <c r="CK14" s="12" t="s">
        <v>406</v>
      </c>
      <c r="CL14" s="12" t="s">
        <v>643</v>
      </c>
      <c r="CM14" s="12" t="s">
        <v>870</v>
      </c>
      <c r="CN14" s="12" t="s">
        <v>296</v>
      </c>
      <c r="CO14" s="12" t="b">
        <v>1</v>
      </c>
    </row>
    <row r="15" spans="1:93">
      <c r="B15" s="8" t="s">
        <v>336</v>
      </c>
      <c r="C15" s="8" t="s">
        <v>444</v>
      </c>
      <c r="E15" s="8"/>
      <c r="F15" s="8"/>
      <c r="G15" s="8"/>
      <c r="H15" s="8"/>
      <c r="I15" s="8"/>
      <c r="J15" s="8"/>
      <c r="K15" s="34"/>
      <c r="L15" s="8"/>
      <c r="M15" s="8"/>
      <c r="N15" s="34"/>
      <c r="O15" s="34"/>
      <c r="P15" s="8"/>
      <c r="Q15" s="8"/>
      <c r="R15" s="8"/>
      <c r="S15" s="8"/>
      <c r="T15" s="8"/>
      <c r="U15" s="8"/>
      <c r="V15" s="8"/>
      <c r="W15" s="8"/>
      <c r="X15" s="8"/>
      <c r="Y15" s="34" t="str">
        <v>MA_Solar_Hybrid</v>
      </c>
      <c r="Z15" s="8"/>
      <c r="AA15" s="8"/>
      <c r="AC15" s="8"/>
      <c r="AE15" s="8"/>
      <c r="AF15" s="8"/>
      <c r="AG15" s="8"/>
      <c r="AH15" s="8"/>
      <c r="AJ15" s="8" t="s">
        <v>663</v>
      </c>
      <c r="AK15" s="8" t="s">
        <v>664</v>
      </c>
      <c r="AL15" s="12" t="str">
        <v>Annual_Increase_Load</v>
      </c>
      <c r="AN15" s="8"/>
      <c r="AO15" s="8"/>
      <c r="AP15" s="8"/>
      <c r="AQ15" s="8"/>
      <c r="AR15" s="8"/>
      <c r="AS15" s="8"/>
      <c r="AT15" s="8"/>
      <c r="AU15" s="8"/>
      <c r="AV15" s="8"/>
      <c r="AW15" s="8"/>
      <c r="AX15" s="8"/>
      <c r="AY15" s="8"/>
      <c r="AZ15" s="8"/>
      <c r="BA15" s="8"/>
      <c r="BB15" s="8"/>
      <c r="BC15" s="8"/>
      <c r="BD15" s="8"/>
      <c r="BE15" s="8"/>
      <c r="BF15" s="12"/>
      <c r="BH15" s="12"/>
      <c r="BI15" s="12">
        <v>0</v>
      </c>
      <c r="BJ15" s="12">
        <v>0</v>
      </c>
      <c r="BK15" s="12">
        <v>0</v>
      </c>
      <c r="BO15" s="8" t="s">
        <v>895</v>
      </c>
      <c r="BQ15" s="8"/>
      <c r="BR15" s="8" t="s">
        <v>896</v>
      </c>
      <c r="BT15" s="8"/>
      <c r="BV15" s="8"/>
      <c r="BX15" s="8" t="s">
        <v>208</v>
      </c>
      <c r="BZ15" s="12" t="s">
        <v>634</v>
      </c>
      <c r="CA15" s="12" t="s">
        <v>609</v>
      </c>
      <c r="CB15" s="12" t="s">
        <v>641</v>
      </c>
      <c r="CC15" s="12" t="s">
        <v>406</v>
      </c>
      <c r="CD15" s="12" t="s">
        <v>642</v>
      </c>
      <c r="CE15" s="12"/>
      <c r="CF15" s="12" t="b">
        <v>1</v>
      </c>
      <c r="CH15" s="12" t="s">
        <v>651</v>
      </c>
      <c r="CI15" s="12" t="s">
        <v>538</v>
      </c>
      <c r="CJ15" s="12" t="s">
        <v>444</v>
      </c>
      <c r="CK15" s="12" t="s">
        <v>444</v>
      </c>
      <c r="CL15" s="12" t="s">
        <v>637</v>
      </c>
      <c r="CM15" s="12" t="s">
        <v>870</v>
      </c>
      <c r="CN15" s="12" t="s">
        <v>296</v>
      </c>
      <c r="CO15" s="12" t="b">
        <v>1</v>
      </c>
    </row>
    <row r="16" spans="1:93">
      <c r="B16" s="8" t="s">
        <v>241</v>
      </c>
      <c r="C16" s="8" t="s">
        <v>665</v>
      </c>
      <c r="E16" s="8"/>
      <c r="F16" s="8"/>
      <c r="G16" s="8"/>
      <c r="H16" s="8"/>
      <c r="I16" s="8"/>
      <c r="J16" s="8"/>
      <c r="K16" s="34"/>
      <c r="L16" s="8"/>
      <c r="M16" s="8"/>
      <c r="N16" s="34"/>
      <c r="O16" s="34"/>
      <c r="P16" s="8"/>
      <c r="Q16" s="8"/>
      <c r="R16" s="8"/>
      <c r="S16" s="8"/>
      <c r="T16" s="8"/>
      <c r="U16" s="8"/>
      <c r="V16" s="8"/>
      <c r="W16" s="8"/>
      <c r="X16" s="8"/>
      <c r="Y16" s="34" t="str">
        <v>nuclear_resource</v>
      </c>
      <c r="Z16" s="8"/>
      <c r="AA16" s="8"/>
      <c r="AC16" s="8"/>
      <c r="AE16" s="8"/>
      <c r="AF16" s="8"/>
      <c r="AG16" s="8"/>
      <c r="AH16" s="8"/>
      <c r="AJ16" s="8" t="s">
        <v>666</v>
      </c>
      <c r="AK16" s="8" t="s">
        <v>667</v>
      </c>
      <c r="AL16" s="12" t="str">
        <v>Annual_Net_Candidate_Fuel_Imports_MMBTU</v>
      </c>
      <c r="AN16" s="8"/>
      <c r="AO16" s="8"/>
      <c r="AP16" s="8"/>
      <c r="AQ16" s="8"/>
      <c r="AR16" s="8"/>
      <c r="AS16" s="8"/>
      <c r="AT16" s="8"/>
      <c r="AU16" s="8"/>
      <c r="AV16" s="8"/>
      <c r="AW16" s="8"/>
      <c r="AX16" s="8"/>
      <c r="AY16" s="8"/>
      <c r="AZ16" s="8"/>
      <c r="BA16" s="8"/>
      <c r="BB16" s="8"/>
      <c r="BC16" s="8"/>
      <c r="BD16" s="8"/>
      <c r="BE16" s="8"/>
      <c r="BF16" s="12"/>
      <c r="BH16" s="12"/>
      <c r="BI16" s="12">
        <v>0</v>
      </c>
      <c r="BJ16" s="12">
        <v>0</v>
      </c>
      <c r="BK16" s="12">
        <v>0</v>
      </c>
      <c r="BO16" s="8" t="s">
        <v>897</v>
      </c>
      <c r="BQ16" s="8"/>
      <c r="BR16" s="8" t="s">
        <v>898</v>
      </c>
      <c r="BT16" s="8"/>
      <c r="BV16" s="8"/>
      <c r="BX16" s="8" t="s">
        <v>210</v>
      </c>
      <c r="BZ16" s="12" t="s">
        <v>634</v>
      </c>
      <c r="CA16" s="12" t="s">
        <v>609</v>
      </c>
      <c r="CB16" s="12" t="s">
        <v>646</v>
      </c>
      <c r="CC16" s="12" t="s">
        <v>311</v>
      </c>
      <c r="CD16" s="12" t="s">
        <v>647</v>
      </c>
      <c r="CE16" s="12"/>
      <c r="CF16" s="12" t="b">
        <v>0</v>
      </c>
      <c r="CH16" s="12" t="s">
        <v>634</v>
      </c>
      <c r="CI16" s="12" t="s">
        <v>538</v>
      </c>
      <c r="CJ16" s="12" t="s">
        <v>407</v>
      </c>
      <c r="CK16" s="12" t="s">
        <v>407</v>
      </c>
      <c r="CL16" s="12" t="s">
        <v>637</v>
      </c>
      <c r="CM16" s="12" t="s">
        <v>870</v>
      </c>
      <c r="CN16" s="12" t="s">
        <v>296</v>
      </c>
      <c r="CO16" s="12" t="b">
        <v>1</v>
      </c>
    </row>
    <row r="17" spans="2:93">
      <c r="B17" s="8" t="s">
        <v>296</v>
      </c>
      <c r="C17" s="8" t="s">
        <v>445</v>
      </c>
      <c r="E17" s="8"/>
      <c r="F17" s="8"/>
      <c r="G17" s="8"/>
      <c r="H17" s="8"/>
      <c r="I17" s="8"/>
      <c r="J17" s="8"/>
      <c r="K17" s="34"/>
      <c r="L17" s="8"/>
      <c r="M17" s="8"/>
      <c r="N17" s="34"/>
      <c r="O17" s="34"/>
      <c r="P17" s="8"/>
      <c r="Q17" s="8"/>
      <c r="R17" s="8"/>
      <c r="S17" s="8"/>
      <c r="T17" s="8"/>
      <c r="U17" s="8"/>
      <c r="V17" s="8"/>
      <c r="W17" s="8"/>
      <c r="X17" s="8"/>
      <c r="Y17" s="34" t="str">
        <v>offshore_wind_MA</v>
      </c>
      <c r="Z17" s="8"/>
      <c r="AA17" s="8"/>
      <c r="AC17" s="8"/>
      <c r="AE17" s="8"/>
      <c r="AF17" s="8"/>
      <c r="AG17" s="8"/>
      <c r="AH17" s="8"/>
      <c r="AJ17" s="8" t="s">
        <v>668</v>
      </c>
      <c r="AK17" s="8" t="s">
        <v>669</v>
      </c>
      <c r="AL17" s="12" t="str">
        <v>Annual_Net_Fuel_Zone_Candidate_Fuel_Consumption_MMBTU</v>
      </c>
      <c r="AN17" s="8"/>
      <c r="AO17" s="8"/>
      <c r="AP17" s="8"/>
      <c r="AQ17" s="8"/>
      <c r="AR17" s="8"/>
      <c r="AS17" s="8"/>
      <c r="AT17" s="8"/>
      <c r="AU17" s="8"/>
      <c r="AV17" s="8"/>
      <c r="AW17" s="8"/>
      <c r="AX17" s="8"/>
      <c r="AY17" s="8"/>
      <c r="AZ17" s="8"/>
      <c r="BA17" s="8"/>
      <c r="BB17" s="8"/>
      <c r="BC17" s="8"/>
      <c r="BD17" s="8"/>
      <c r="BE17" s="8"/>
      <c r="BF17" s="12"/>
      <c r="BH17" s="12"/>
      <c r="BI17" s="12">
        <v>0</v>
      </c>
      <c r="BJ17" s="12">
        <v>0</v>
      </c>
      <c r="BK17" s="12">
        <v>0</v>
      </c>
      <c r="BO17" s="8" t="s">
        <v>899</v>
      </c>
      <c r="BQ17" s="8"/>
      <c r="BR17" s="8" t="s">
        <v>900</v>
      </c>
      <c r="BT17" s="8"/>
      <c r="BV17" s="8"/>
      <c r="BX17" s="8" t="s">
        <v>394</v>
      </c>
      <c r="BZ17" s="12" t="s">
        <v>651</v>
      </c>
      <c r="CA17" s="12" t="s">
        <v>381</v>
      </c>
      <c r="CB17" s="12" t="s">
        <v>652</v>
      </c>
      <c r="CC17" s="12" t="s">
        <v>296</v>
      </c>
      <c r="CD17" s="12" t="s">
        <v>670</v>
      </c>
      <c r="CE17" s="12"/>
      <c r="CF17" s="12" t="b">
        <v>0</v>
      </c>
      <c r="CH17" s="12" t="s">
        <v>634</v>
      </c>
      <c r="CI17" s="12" t="s">
        <v>538</v>
      </c>
      <c r="CJ17" s="12" t="s">
        <v>671</v>
      </c>
      <c r="CK17" s="12" t="s">
        <v>671</v>
      </c>
      <c r="CL17" s="12" t="s">
        <v>643</v>
      </c>
      <c r="CM17" s="12" t="s">
        <v>870</v>
      </c>
      <c r="CN17" s="12" t="s">
        <v>296</v>
      </c>
      <c r="CO17" s="12" t="b">
        <v>1</v>
      </c>
    </row>
    <row r="18" spans="2:93">
      <c r="B18" s="8" t="s">
        <v>324</v>
      </c>
      <c r="C18" s="8" t="s">
        <v>672</v>
      </c>
      <c r="E18" s="8"/>
      <c r="F18" s="8"/>
      <c r="G18" s="8"/>
      <c r="H18" s="8"/>
      <c r="I18" s="8"/>
      <c r="J18" s="8"/>
      <c r="K18" s="34"/>
      <c r="L18" s="8"/>
      <c r="M18" s="8"/>
      <c r="N18" s="34"/>
      <c r="O18" s="34"/>
      <c r="P18" s="8"/>
      <c r="Q18" s="8"/>
      <c r="R18" s="8"/>
      <c r="S18" s="8"/>
      <c r="T18" s="8"/>
      <c r="U18" s="8"/>
      <c r="V18" s="8"/>
      <c r="W18" s="8"/>
      <c r="X18" s="8"/>
      <c r="Y18" s="34" t="str">
        <v>shed_dr</v>
      </c>
      <c r="Z18" s="8"/>
      <c r="AA18" s="8"/>
      <c r="AC18" s="8"/>
      <c r="AE18" s="8"/>
      <c r="AF18" s="8"/>
      <c r="AG18" s="8"/>
      <c r="AH18" s="8"/>
      <c r="AJ18" s="8" t="s">
        <v>673</v>
      </c>
      <c r="AK18" s="8" t="s">
        <v>674</v>
      </c>
      <c r="AL18" s="12" t="str">
        <v>Annual_Provide_Power</v>
      </c>
      <c r="AN18" s="8"/>
      <c r="AO18" s="8"/>
      <c r="AP18" s="8"/>
      <c r="AQ18" s="8"/>
      <c r="AR18" s="8"/>
      <c r="AS18" s="8"/>
      <c r="AT18" s="8"/>
      <c r="AU18" s="8"/>
      <c r="AV18" s="8"/>
      <c r="AW18" s="8"/>
      <c r="AX18" s="8"/>
      <c r="AY18" s="8"/>
      <c r="AZ18" s="8"/>
      <c r="BA18" s="8"/>
      <c r="BB18" s="8"/>
      <c r="BC18" s="8"/>
      <c r="BD18" s="8"/>
      <c r="BE18" s="8"/>
      <c r="BF18" s="12"/>
      <c r="BH18" s="12"/>
      <c r="BI18" s="12">
        <v>0</v>
      </c>
      <c r="BJ18" s="12">
        <v>0</v>
      </c>
      <c r="BK18" s="12">
        <v>0</v>
      </c>
      <c r="BO18" s="8" t="s">
        <v>901</v>
      </c>
      <c r="BQ18" s="8"/>
      <c r="BR18" s="8" t="s">
        <v>902</v>
      </c>
      <c r="BT18" s="8"/>
      <c r="BV18" s="8"/>
      <c r="BX18" s="8" t="s">
        <v>840</v>
      </c>
      <c r="BZ18" s="12" t="s">
        <v>657</v>
      </c>
      <c r="CA18" s="12" t="s">
        <v>381</v>
      </c>
      <c r="CB18" s="114" t="s">
        <v>675</v>
      </c>
      <c r="CC18" s="114" t="s">
        <v>227</v>
      </c>
      <c r="CD18" s="12" t="s">
        <v>670</v>
      </c>
      <c r="CE18" s="12"/>
      <c r="CF18" s="12" t="b">
        <v>0</v>
      </c>
      <c r="CH18" s="12" t="s">
        <v>657</v>
      </c>
      <c r="CI18" s="12" t="s">
        <v>538</v>
      </c>
      <c r="CJ18" s="12" t="s">
        <v>445</v>
      </c>
      <c r="CK18" s="12" t="s">
        <v>445</v>
      </c>
      <c r="CL18" s="12" t="s">
        <v>637</v>
      </c>
      <c r="CM18" s="12" t="s">
        <v>870</v>
      </c>
      <c r="CN18" s="12" t="s">
        <v>296</v>
      </c>
      <c r="CO18" s="12" t="b">
        <v>1</v>
      </c>
    </row>
    <row r="19" spans="2:93">
      <c r="B19" s="8" t="s">
        <v>203</v>
      </c>
      <c r="C19" s="8"/>
      <c r="E19" s="8"/>
      <c r="F19" s="8"/>
      <c r="G19" s="8"/>
      <c r="H19" s="8"/>
      <c r="I19" s="8"/>
      <c r="J19" s="8"/>
      <c r="K19" s="34"/>
      <c r="L19" s="8"/>
      <c r="M19" s="8"/>
      <c r="N19" s="34"/>
      <c r="O19" s="34"/>
      <c r="P19" s="8"/>
      <c r="Q19" s="8"/>
      <c r="R19" s="8"/>
      <c r="S19" s="8"/>
      <c r="T19" s="8"/>
      <c r="U19" s="8"/>
      <c r="V19" s="8"/>
      <c r="W19" s="8"/>
      <c r="X19" s="8"/>
      <c r="Y19" s="34" t="str">
        <v>solar_BTM</v>
      </c>
      <c r="Z19" s="8"/>
      <c r="AA19" s="8"/>
      <c r="AC19" s="8"/>
      <c r="AE19" s="8"/>
      <c r="AF19" s="8"/>
      <c r="AG19" s="8"/>
      <c r="AH19" s="8"/>
      <c r="AJ19" s="8" t="s">
        <v>676</v>
      </c>
      <c r="AK19" s="8" t="s">
        <v>677</v>
      </c>
      <c r="AL19" s="12" t="str">
        <v>Annual_Resource_Emissions_From_Candidate_Fuel</v>
      </c>
      <c r="AN19" s="8"/>
      <c r="AO19" s="8"/>
      <c r="AP19" s="8"/>
      <c r="AQ19" s="8"/>
      <c r="AR19" s="8"/>
      <c r="AS19" s="8"/>
      <c r="AT19" s="8"/>
      <c r="AU19" s="8"/>
      <c r="AV19" s="8"/>
      <c r="AW19" s="8"/>
      <c r="AX19" s="8"/>
      <c r="AY19" s="8"/>
      <c r="AZ19" s="8"/>
      <c r="BA19" s="8"/>
      <c r="BB19" s="8"/>
      <c r="BC19" s="8"/>
      <c r="BD19" s="8"/>
      <c r="BE19" s="8"/>
      <c r="BF19" s="12"/>
      <c r="BH19" s="12"/>
      <c r="BI19" s="12">
        <v>0</v>
      </c>
      <c r="BJ19" s="12">
        <v>0</v>
      </c>
      <c r="BK19" s="12">
        <v>0</v>
      </c>
      <c r="BO19" s="8" t="s">
        <v>903</v>
      </c>
      <c r="BQ19" s="8"/>
      <c r="BR19" s="8" t="s">
        <v>904</v>
      </c>
      <c r="BT19" s="8"/>
      <c r="BV19" s="8"/>
      <c r="BX19" s="8"/>
      <c r="BZ19" s="12" t="s">
        <v>651</v>
      </c>
      <c r="CA19" s="12" t="s">
        <v>610</v>
      </c>
      <c r="CB19" s="114" t="s">
        <v>678</v>
      </c>
      <c r="CC19" s="12" t="s">
        <v>243</v>
      </c>
      <c r="CD19" s="12" t="s">
        <v>679</v>
      </c>
      <c r="CE19" s="12"/>
      <c r="CF19" s="12" t="b">
        <v>0</v>
      </c>
      <c r="CH19" s="12" t="s">
        <v>634</v>
      </c>
      <c r="CI19" s="12" t="s">
        <v>609</v>
      </c>
      <c r="CJ19" s="12" t="s">
        <v>406</v>
      </c>
      <c r="CK19" s="12" t="s">
        <v>406</v>
      </c>
      <c r="CL19" s="12" t="s">
        <v>648</v>
      </c>
      <c r="CM19" s="12"/>
      <c r="CN19" s="12"/>
      <c r="CO19" s="12"/>
    </row>
    <row r="20" spans="2:93">
      <c r="B20" s="8" t="s">
        <v>217</v>
      </c>
      <c r="C20" s="8"/>
      <c r="E20" s="8"/>
      <c r="F20" s="8"/>
      <c r="G20" s="8"/>
      <c r="H20" s="8"/>
      <c r="I20" s="8"/>
      <c r="J20" s="8"/>
      <c r="K20" s="34"/>
      <c r="L20" s="8"/>
      <c r="M20" s="8"/>
      <c r="N20" s="34"/>
      <c r="O20" s="34"/>
      <c r="P20" s="8"/>
      <c r="Q20" s="8"/>
      <c r="R20" s="8"/>
      <c r="S20" s="8"/>
      <c r="T20" s="8"/>
      <c r="U20" s="8"/>
      <c r="V20" s="8"/>
      <c r="W20" s="8"/>
      <c r="X20" s="8"/>
      <c r="Y20" s="34" t="str">
        <v>solar_MA</v>
      </c>
      <c r="Z20" s="8"/>
      <c r="AA20" s="8"/>
      <c r="AC20" s="8"/>
      <c r="AE20" s="8"/>
      <c r="AF20" s="8"/>
      <c r="AG20" s="8"/>
      <c r="AH20" s="8"/>
      <c r="AJ20" s="8" t="s">
        <v>680</v>
      </c>
      <c r="AK20" s="8" t="s">
        <v>681</v>
      </c>
      <c r="AL20" s="12" t="str">
        <v>Annual_Resource_Emissions_In_Policy</v>
      </c>
      <c r="AN20" s="8"/>
      <c r="AO20" s="8"/>
      <c r="AP20" s="8"/>
      <c r="AQ20" s="8"/>
      <c r="AR20" s="8"/>
      <c r="AS20" s="8"/>
      <c r="AT20" s="8"/>
      <c r="AU20" s="8"/>
      <c r="AV20" s="8"/>
      <c r="AW20" s="8"/>
      <c r="AX20" s="8"/>
      <c r="AY20" s="8"/>
      <c r="AZ20" s="8"/>
      <c r="BA20" s="8"/>
      <c r="BB20" s="8"/>
      <c r="BC20" s="8"/>
      <c r="BD20" s="8"/>
      <c r="BE20" s="8"/>
      <c r="BF20" s="12"/>
      <c r="BH20" s="12"/>
      <c r="BI20" s="12">
        <v>0</v>
      </c>
      <c r="BJ20" s="12">
        <v>0</v>
      </c>
      <c r="BK20" s="12">
        <v>0</v>
      </c>
      <c r="BO20" s="8" t="s">
        <v>108</v>
      </c>
      <c r="BQ20" s="8"/>
      <c r="BR20" s="8" t="s">
        <v>905</v>
      </c>
      <c r="BT20" s="8"/>
      <c r="BV20" s="8"/>
      <c r="BX20" s="8"/>
      <c r="BZ20" s="12" t="s">
        <v>634</v>
      </c>
      <c r="CA20" s="12" t="s">
        <v>245</v>
      </c>
      <c r="CB20" s="114" t="s">
        <v>682</v>
      </c>
      <c r="CC20" s="12" t="s">
        <v>586</v>
      </c>
      <c r="CD20" s="12" t="s">
        <v>683</v>
      </c>
      <c r="CE20" s="12"/>
      <c r="CF20" s="12" t="b">
        <v>1</v>
      </c>
      <c r="CH20" s="12" t="s">
        <v>634</v>
      </c>
      <c r="CI20" s="12" t="s">
        <v>609</v>
      </c>
      <c r="CJ20" s="12" t="s">
        <v>406</v>
      </c>
      <c r="CK20" s="12" t="s">
        <v>589</v>
      </c>
      <c r="CL20" s="12" t="s">
        <v>648</v>
      </c>
      <c r="CM20" s="12"/>
      <c r="CN20" s="12"/>
      <c r="CO20" s="12"/>
    </row>
    <row r="21" spans="2:93">
      <c r="B21" s="8" t="s">
        <v>227</v>
      </c>
      <c r="C21" s="8"/>
      <c r="E21" s="8"/>
      <c r="F21" s="8"/>
      <c r="G21" s="8"/>
      <c r="H21" s="8"/>
      <c r="I21" s="8"/>
      <c r="J21" s="8"/>
      <c r="K21" s="34"/>
      <c r="L21" s="8"/>
      <c r="M21" s="8"/>
      <c r="N21" s="34"/>
      <c r="O21" s="34"/>
      <c r="P21" s="8"/>
      <c r="Q21" s="8"/>
      <c r="R21" s="8"/>
      <c r="S21" s="8"/>
      <c r="T21" s="8"/>
      <c r="U21" s="8"/>
      <c r="V21" s="8"/>
      <c r="W21" s="8"/>
      <c r="X21" s="8"/>
      <c r="Y21" s="34" t="str">
        <v>storage_100hr</v>
      </c>
      <c r="Z21" s="8"/>
      <c r="AA21" s="8"/>
      <c r="AC21" s="8"/>
      <c r="AE21" s="8"/>
      <c r="AF21" s="8"/>
      <c r="AG21" s="8"/>
      <c r="AH21" s="8"/>
      <c r="AJ21" s="8" t="s">
        <v>684</v>
      </c>
      <c r="AK21" s="8" t="s">
        <v>685</v>
      </c>
      <c r="AL21" s="12" t="str">
        <v>Annual_Resource_Fuel_Consumption</v>
      </c>
      <c r="AN21" s="8"/>
      <c r="AO21" s="8"/>
      <c r="AP21" s="8"/>
      <c r="AQ21" s="8"/>
      <c r="AR21" s="8"/>
      <c r="AS21" s="8"/>
      <c r="AT21" s="8"/>
      <c r="AU21" s="8"/>
      <c r="AV21" s="8"/>
      <c r="AW21" s="8"/>
      <c r="AX21" s="8"/>
      <c r="AY21" s="8"/>
      <c r="AZ21" s="8"/>
      <c r="BA21" s="8"/>
      <c r="BB21" s="8"/>
      <c r="BC21" s="8"/>
      <c r="BD21" s="8"/>
      <c r="BE21" s="8"/>
      <c r="BF21" s="12"/>
      <c r="BH21" s="12"/>
      <c r="BI21" s="12">
        <v>0</v>
      </c>
      <c r="BJ21" s="12">
        <v>0</v>
      </c>
      <c r="BK21" s="12">
        <v>0</v>
      </c>
      <c r="BO21" s="8"/>
      <c r="BQ21" s="8"/>
      <c r="BR21" s="8" t="s">
        <v>906</v>
      </c>
      <c r="BT21" s="8"/>
      <c r="BV21" s="8"/>
      <c r="BX21" s="8"/>
      <c r="BZ21" s="12" t="s">
        <v>634</v>
      </c>
      <c r="CA21" s="12" t="s">
        <v>279</v>
      </c>
      <c r="CB21" s="12" t="s">
        <v>641</v>
      </c>
      <c r="CC21" s="12" t="s">
        <v>671</v>
      </c>
      <c r="CD21" s="12" t="s">
        <v>686</v>
      </c>
      <c r="CE21" s="12"/>
      <c r="CF21" s="12" t="b">
        <v>0</v>
      </c>
      <c r="CH21" s="12" t="s">
        <v>634</v>
      </c>
      <c r="CI21" s="12" t="s">
        <v>609</v>
      </c>
      <c r="CJ21" s="12" t="s">
        <v>406</v>
      </c>
      <c r="CK21" s="12" t="s">
        <v>588</v>
      </c>
      <c r="CL21" s="12" t="s">
        <v>648</v>
      </c>
      <c r="CM21" s="12"/>
      <c r="CN21" s="12"/>
      <c r="CO21" s="12"/>
    </row>
    <row r="22" spans="2:93">
      <c r="B22" s="8" t="s">
        <v>221</v>
      </c>
      <c r="C22" s="8"/>
      <c r="E22" s="8"/>
      <c r="F22" s="8"/>
      <c r="G22" s="8"/>
      <c r="H22" s="8"/>
      <c r="I22" s="8"/>
      <c r="J22" s="8"/>
      <c r="K22" s="34"/>
      <c r="L22" s="8"/>
      <c r="M22" s="8"/>
      <c r="N22" s="34"/>
      <c r="O22" s="34"/>
      <c r="P22" s="8"/>
      <c r="Q22" s="8"/>
      <c r="R22" s="8"/>
      <c r="S22" s="8"/>
      <c r="T22" s="8"/>
      <c r="U22" s="8"/>
      <c r="V22" s="8"/>
      <c r="W22" s="8"/>
      <c r="X22" s="8"/>
      <c r="Y22" s="34" t="str">
        <v>storage_12hr</v>
      </c>
      <c r="Z22" s="8"/>
      <c r="AA22" s="8"/>
      <c r="AC22" s="8"/>
      <c r="AE22" s="8"/>
      <c r="AF22" s="8"/>
      <c r="AG22" s="8"/>
      <c r="AH22" s="8"/>
      <c r="AJ22" s="8" t="s">
        <v>687</v>
      </c>
      <c r="AK22" s="8" t="s">
        <v>688</v>
      </c>
      <c r="AL22" s="12" t="str">
        <v>Annual_Transmission_Emissions_In_Policy</v>
      </c>
      <c r="AN22" s="8"/>
      <c r="AO22" s="8"/>
      <c r="AP22" s="8"/>
      <c r="AQ22" s="8"/>
      <c r="AR22" s="8"/>
      <c r="AS22" s="8"/>
      <c r="AT22" s="8"/>
      <c r="AU22" s="8"/>
      <c r="AV22" s="8"/>
      <c r="AW22" s="8"/>
      <c r="AX22" s="8"/>
      <c r="AY22" s="8"/>
      <c r="AZ22" s="8"/>
      <c r="BA22" s="8"/>
      <c r="BB22" s="8"/>
      <c r="BC22" s="8"/>
      <c r="BD22" s="8"/>
      <c r="BE22" s="8"/>
      <c r="BF22" s="12"/>
      <c r="BH22" s="12"/>
      <c r="BI22" s="12">
        <v>0</v>
      </c>
      <c r="BJ22" s="12">
        <v>0</v>
      </c>
      <c r="BK22" s="12">
        <v>0</v>
      </c>
      <c r="BO22" s="8"/>
      <c r="BQ22" s="8"/>
      <c r="BR22" s="8" t="s">
        <v>907</v>
      </c>
      <c r="BT22" s="8"/>
      <c r="BV22" s="8"/>
      <c r="BX22" s="8"/>
      <c r="BZ22" s="12" t="s">
        <v>651</v>
      </c>
      <c r="CA22" s="12" t="s">
        <v>279</v>
      </c>
      <c r="CB22" s="12" t="s">
        <v>689</v>
      </c>
      <c r="CC22" s="12" t="s">
        <v>241</v>
      </c>
      <c r="CD22" s="12" t="s">
        <v>690</v>
      </c>
      <c r="CE22" s="12"/>
      <c r="CF22" s="12" t="b">
        <v>0</v>
      </c>
      <c r="CH22" s="12" t="s">
        <v>634</v>
      </c>
      <c r="CI22" s="12" t="s">
        <v>381</v>
      </c>
      <c r="CJ22" s="12" t="s">
        <v>406</v>
      </c>
      <c r="CK22" s="12" t="s">
        <v>406</v>
      </c>
      <c r="CL22" s="12" t="s">
        <v>643</v>
      </c>
      <c r="CM22" s="12" t="s">
        <v>871</v>
      </c>
      <c r="CN22" s="12" t="s">
        <v>296</v>
      </c>
      <c r="CO22" s="12" t="b">
        <v>1</v>
      </c>
    </row>
    <row r="23" spans="2:93">
      <c r="B23" s="8" t="s">
        <v>229</v>
      </c>
      <c r="C23" s="8"/>
      <c r="E23" s="8"/>
      <c r="F23" s="8"/>
      <c r="G23" s="8"/>
      <c r="H23" s="8"/>
      <c r="I23" s="8"/>
      <c r="J23" s="8"/>
      <c r="K23" s="34"/>
      <c r="L23" s="8"/>
      <c r="M23" s="8"/>
      <c r="N23" s="34"/>
      <c r="O23" s="34"/>
      <c r="P23" s="8"/>
      <c r="Q23" s="8"/>
      <c r="R23" s="8"/>
      <c r="S23" s="8"/>
      <c r="T23" s="8"/>
      <c r="U23" s="8"/>
      <c r="V23" s="8"/>
      <c r="W23" s="8"/>
      <c r="X23" s="8"/>
      <c r="Y23" s="34" t="str">
        <v>storage_4hr</v>
      </c>
      <c r="Z23" s="8"/>
      <c r="AA23" s="8"/>
      <c r="AC23" s="8"/>
      <c r="AE23" s="8"/>
      <c r="AF23" s="8"/>
      <c r="AG23" s="8"/>
      <c r="AH23" s="8"/>
      <c r="AJ23" s="8" t="s">
        <v>691</v>
      </c>
      <c r="AK23" s="8" t="s">
        <v>692</v>
      </c>
      <c r="AL23" s="12" t="str">
        <v>Annual_Transmit_Candidate_Fuel_Forward</v>
      </c>
      <c r="AN23" s="8"/>
      <c r="AO23" s="8"/>
      <c r="AP23" s="8"/>
      <c r="AQ23" s="8"/>
      <c r="AR23" s="8"/>
      <c r="AS23" s="8"/>
      <c r="AT23" s="8"/>
      <c r="AU23" s="8"/>
      <c r="AV23" s="8"/>
      <c r="AW23" s="8"/>
      <c r="AX23" s="8"/>
      <c r="AY23" s="8"/>
      <c r="AZ23" s="8"/>
      <c r="BA23" s="8"/>
      <c r="BB23" s="8"/>
      <c r="BC23" s="8"/>
      <c r="BD23" s="8"/>
      <c r="BE23" s="8"/>
      <c r="BF23" s="12"/>
      <c r="BH23" s="12"/>
      <c r="BI23" s="12">
        <v>0</v>
      </c>
      <c r="BJ23" s="12">
        <v>0</v>
      </c>
      <c r="BK23" s="12">
        <v>0</v>
      </c>
      <c r="BO23" s="8"/>
      <c r="BQ23" s="8"/>
      <c r="BR23" s="8" t="s">
        <v>908</v>
      </c>
      <c r="BT23" s="8"/>
      <c r="BV23" s="8"/>
      <c r="BX23" s="8"/>
      <c r="BZ23" s="12" t="s">
        <v>651</v>
      </c>
      <c r="CA23" s="12" t="s">
        <v>279</v>
      </c>
      <c r="CB23" s="12" t="s">
        <v>641</v>
      </c>
      <c r="CC23" s="12" t="s">
        <v>654</v>
      </c>
      <c r="CD23" s="12" t="s">
        <v>693</v>
      </c>
      <c r="CE23" s="12"/>
      <c r="CF23" s="12" t="b">
        <v>1</v>
      </c>
      <c r="CH23" s="12" t="s">
        <v>651</v>
      </c>
      <c r="CI23" s="12" t="s">
        <v>381</v>
      </c>
      <c r="CJ23" s="12" t="s">
        <v>444</v>
      </c>
      <c r="CK23" s="12" t="s">
        <v>444</v>
      </c>
      <c r="CL23" s="12" t="s">
        <v>637</v>
      </c>
      <c r="CM23" s="12" t="s">
        <v>871</v>
      </c>
      <c r="CN23" s="12" t="s">
        <v>296</v>
      </c>
      <c r="CO23" s="12" t="b">
        <v>1</v>
      </c>
    </row>
    <row r="24" spans="2:93">
      <c r="B24" s="8" t="s">
        <v>233</v>
      </c>
      <c r="C24" s="8"/>
      <c r="E24" s="8"/>
      <c r="F24" s="8"/>
      <c r="G24" s="8"/>
      <c r="H24" s="8"/>
      <c r="I24" s="8"/>
      <c r="J24" s="8"/>
      <c r="K24" s="34"/>
      <c r="L24" s="8"/>
      <c r="M24" s="8"/>
      <c r="N24" s="34"/>
      <c r="O24" s="34"/>
      <c r="P24" s="8"/>
      <c r="Q24" s="8"/>
      <c r="R24" s="8"/>
      <c r="S24" s="8"/>
      <c r="T24" s="8"/>
      <c r="U24" s="8"/>
      <c r="V24" s="8"/>
      <c r="W24" s="8"/>
      <c r="X24" s="8"/>
      <c r="Y24" s="34" t="str">
        <v>wind_MA</v>
      </c>
      <c r="Z24" s="8"/>
      <c r="AA24" s="8"/>
      <c r="AC24" s="8"/>
      <c r="AE24" s="8"/>
      <c r="AF24" s="8"/>
      <c r="AG24" s="8"/>
      <c r="AH24" s="8"/>
      <c r="AJ24" s="8" t="s">
        <v>694</v>
      </c>
      <c r="AK24" s="8" t="s">
        <v>695</v>
      </c>
      <c r="AL24" s="12" t="str">
        <v>Annual_Transmit_Candidate_Fuel_Reverse</v>
      </c>
      <c r="AN24" s="8"/>
      <c r="AO24" s="8"/>
      <c r="AP24" s="8"/>
      <c r="AQ24" s="8"/>
      <c r="AR24" s="8"/>
      <c r="AS24" s="8"/>
      <c r="AT24" s="8"/>
      <c r="AU24" s="8"/>
      <c r="AV24" s="8"/>
      <c r="AW24" s="8"/>
      <c r="AX24" s="8"/>
      <c r="AY24" s="8"/>
      <c r="AZ24" s="8"/>
      <c r="BA24" s="8"/>
      <c r="BB24" s="8"/>
      <c r="BC24" s="8"/>
      <c r="BD24" s="8"/>
      <c r="BE24" s="8"/>
      <c r="BF24" s="12"/>
      <c r="BH24" s="12"/>
      <c r="BI24" s="12">
        <v>0</v>
      </c>
      <c r="BJ24" s="12">
        <v>0</v>
      </c>
      <c r="BK24" s="12"/>
      <c r="BO24" s="8"/>
      <c r="BQ24" s="8"/>
      <c r="BR24" s="8" t="s">
        <v>909</v>
      </c>
      <c r="BT24" s="8"/>
      <c r="BV24" s="8"/>
      <c r="BX24" s="8"/>
      <c r="BZ24" s="12" t="s">
        <v>634</v>
      </c>
      <c r="CA24" s="12" t="s">
        <v>305</v>
      </c>
      <c r="CB24" s="12" t="s">
        <v>641</v>
      </c>
      <c r="CC24" s="12" t="s">
        <v>406</v>
      </c>
      <c r="CD24" s="12" t="s">
        <v>642</v>
      </c>
      <c r="CE24" s="12"/>
      <c r="CF24" s="12" t="b">
        <v>1</v>
      </c>
      <c r="CH24" s="12" t="s">
        <v>634</v>
      </c>
      <c r="CI24" s="12" t="s">
        <v>381</v>
      </c>
      <c r="CJ24" s="12" t="s">
        <v>671</v>
      </c>
      <c r="CK24" s="12" t="s">
        <v>671</v>
      </c>
      <c r="CL24" s="12" t="s">
        <v>643</v>
      </c>
      <c r="CM24" s="12" t="s">
        <v>871</v>
      </c>
      <c r="CN24" s="12" t="s">
        <v>296</v>
      </c>
      <c r="CO24" s="12" t="b">
        <v>1</v>
      </c>
    </row>
    <row r="25" spans="2:93">
      <c r="B25" s="8" t="s">
        <v>235</v>
      </c>
      <c r="C25" s="8"/>
      <c r="E25" s="8"/>
      <c r="F25" s="8"/>
      <c r="G25" s="8"/>
      <c r="H25" s="8"/>
      <c r="I25" s="8"/>
      <c r="J25" s="8"/>
      <c r="K25" s="34"/>
      <c r="L25" s="8"/>
      <c r="M25" s="8"/>
      <c r="N25" s="34"/>
      <c r="O25" s="34"/>
      <c r="P25" s="8"/>
      <c r="Q25" s="8"/>
      <c r="R25" s="8"/>
      <c r="S25" s="8"/>
      <c r="T25" s="8"/>
      <c r="U25" s="8"/>
      <c r="V25" s="8"/>
      <c r="W25" s="8"/>
      <c r="X25" s="8"/>
      <c r="Y25" s="34"/>
      <c r="Z25" s="8"/>
      <c r="AA25" s="8"/>
      <c r="AC25" s="8"/>
      <c r="AE25" s="8"/>
      <c r="AF25" s="8"/>
      <c r="AG25" s="8"/>
      <c r="AH25" s="8"/>
      <c r="AJ25" s="8" t="s">
        <v>696</v>
      </c>
      <c r="AK25" s="8" t="s">
        <v>697</v>
      </c>
      <c r="AL25" s="12" t="str">
        <v>Annual_Transmit_Power_Forward</v>
      </c>
      <c r="AN25" s="8"/>
      <c r="AO25" s="8"/>
      <c r="AP25" s="8"/>
      <c r="AQ25" s="8"/>
      <c r="AR25" s="8"/>
      <c r="AS25" s="8"/>
      <c r="AT25" s="8"/>
      <c r="AU25" s="8"/>
      <c r="AV25" s="8"/>
      <c r="AW25" s="8"/>
      <c r="AX25" s="8"/>
      <c r="AY25" s="8"/>
      <c r="AZ25" s="8"/>
      <c r="BA25" s="8"/>
      <c r="BB25" s="8"/>
      <c r="BC25" s="8"/>
      <c r="BD25" s="8"/>
      <c r="BE25" s="8"/>
      <c r="BF25" s="12"/>
      <c r="BH25" s="12"/>
      <c r="BI25" s="12">
        <v>0</v>
      </c>
      <c r="BJ25" s="12">
        <v>0</v>
      </c>
      <c r="BK25" s="12"/>
      <c r="BO25" s="8"/>
      <c r="BQ25" s="8"/>
      <c r="BR25" s="8" t="s">
        <v>910</v>
      </c>
      <c r="BT25" s="8"/>
      <c r="BV25" s="8"/>
      <c r="BX25" s="8"/>
      <c r="BZ25" s="12" t="s">
        <v>634</v>
      </c>
      <c r="CA25" s="12" t="s">
        <v>305</v>
      </c>
      <c r="CB25" s="12" t="s">
        <v>698</v>
      </c>
      <c r="CC25" s="12" t="s">
        <v>699</v>
      </c>
      <c r="CD25" s="12" t="s">
        <v>700</v>
      </c>
      <c r="CE25" s="12"/>
      <c r="CF25" s="12" t="b">
        <v>1</v>
      </c>
      <c r="CH25" s="12" t="s">
        <v>657</v>
      </c>
      <c r="CI25" s="12" t="s">
        <v>381</v>
      </c>
      <c r="CJ25" s="12" t="s">
        <v>445</v>
      </c>
      <c r="CK25" s="12" t="s">
        <v>445</v>
      </c>
      <c r="CL25" s="12" t="s">
        <v>637</v>
      </c>
      <c r="CM25" s="12" t="s">
        <v>871</v>
      </c>
      <c r="CN25" s="12" t="s">
        <v>296</v>
      </c>
      <c r="CO25" s="12" t="b">
        <v>1</v>
      </c>
    </row>
    <row r="26" spans="2:93">
      <c r="B26" s="8" t="s">
        <v>239</v>
      </c>
      <c r="C26" s="8"/>
      <c r="E26" s="8"/>
      <c r="F26" s="8"/>
      <c r="G26" s="8"/>
      <c r="H26" s="8"/>
      <c r="I26" s="8"/>
      <c r="J26" s="8"/>
      <c r="K26" s="34"/>
      <c r="L26" s="8"/>
      <c r="M26" s="8"/>
      <c r="N26" s="34"/>
      <c r="O26" s="34"/>
      <c r="P26" s="8"/>
      <c r="Q26" s="8"/>
      <c r="R26" s="8"/>
      <c r="S26" s="8"/>
      <c r="T26" s="8"/>
      <c r="U26" s="8"/>
      <c r="V26" s="8"/>
      <c r="W26" s="8"/>
      <c r="X26" s="8"/>
      <c r="Y26" s="34"/>
      <c r="Z26" s="8"/>
      <c r="AA26" s="8"/>
      <c r="AC26" s="8"/>
      <c r="AE26" s="8"/>
      <c r="AF26" s="8"/>
      <c r="AG26" s="8"/>
      <c r="AH26" s="8"/>
      <c r="AJ26" s="8" t="s">
        <v>701</v>
      </c>
      <c r="AK26" s="8" t="s">
        <v>702</v>
      </c>
      <c r="AL26" s="12" t="str">
        <v>Annual_Transmit_Power_Reverse</v>
      </c>
      <c r="AN26" s="8"/>
      <c r="AO26" s="8"/>
      <c r="AP26" s="8"/>
      <c r="AQ26" s="8"/>
      <c r="AR26" s="8"/>
      <c r="AS26" s="8"/>
      <c r="AT26" s="8"/>
      <c r="AU26" s="8"/>
      <c r="AV26" s="8"/>
      <c r="AW26" s="8"/>
      <c r="AX26" s="8"/>
      <c r="AY26" s="8"/>
      <c r="AZ26" s="8"/>
      <c r="BA26" s="8"/>
      <c r="BB26" s="8"/>
      <c r="BC26" s="8"/>
      <c r="BD26" s="8"/>
      <c r="BE26" s="8"/>
      <c r="BF26" s="12"/>
      <c r="BH26" s="12"/>
      <c r="BI26" s="12">
        <v>0</v>
      </c>
      <c r="BJ26" s="12">
        <v>0</v>
      </c>
      <c r="BK26" s="12"/>
      <c r="BO26" s="8"/>
      <c r="BQ26" s="8"/>
      <c r="BR26" s="8" t="s">
        <v>911</v>
      </c>
      <c r="BT26" s="8"/>
      <c r="BV26" s="8"/>
      <c r="BX26" s="8"/>
      <c r="BZ26" s="12" t="s">
        <v>634</v>
      </c>
      <c r="CA26" s="12" t="s">
        <v>305</v>
      </c>
      <c r="CB26" s="12" t="s">
        <v>646</v>
      </c>
      <c r="CC26" s="12" t="s">
        <v>336</v>
      </c>
      <c r="CD26" s="12" t="s">
        <v>647</v>
      </c>
      <c r="CE26" s="12"/>
      <c r="CF26" s="12" t="b">
        <v>0</v>
      </c>
      <c r="CH26" s="12" t="s">
        <v>651</v>
      </c>
      <c r="CI26" s="12" t="s">
        <v>610</v>
      </c>
      <c r="CJ26" s="12" t="s">
        <v>268</v>
      </c>
      <c r="CK26" s="12" t="s">
        <v>268</v>
      </c>
      <c r="CL26" s="12" t="s">
        <v>637</v>
      </c>
      <c r="CM26" s="12" t="s">
        <v>703</v>
      </c>
      <c r="CN26" s="12" t="s">
        <v>243</v>
      </c>
      <c r="CO26" s="12" t="b">
        <v>1</v>
      </c>
    </row>
    <row r="27" spans="2:93">
      <c r="B27" s="8" t="s">
        <v>237</v>
      </c>
      <c r="C27" s="8"/>
      <c r="E27" s="8"/>
      <c r="F27" s="8"/>
      <c r="G27" s="8"/>
      <c r="H27" s="8"/>
      <c r="I27" s="8"/>
      <c r="J27" s="8"/>
      <c r="K27" s="34"/>
      <c r="L27" s="8"/>
      <c r="M27" s="8"/>
      <c r="N27" s="34"/>
      <c r="O27" s="34"/>
      <c r="P27" s="8"/>
      <c r="Q27" s="8"/>
      <c r="R27" s="8"/>
      <c r="S27" s="8"/>
      <c r="T27" s="8"/>
      <c r="U27" s="8"/>
      <c r="V27" s="8"/>
      <c r="W27" s="8"/>
      <c r="X27" s="8"/>
      <c r="Y27" s="34"/>
      <c r="Z27" s="8"/>
      <c r="AA27" s="8"/>
      <c r="AC27" s="8"/>
      <c r="AE27" s="8"/>
      <c r="AF27" s="8"/>
      <c r="AG27" s="8"/>
      <c r="AH27" s="8"/>
      <c r="AJ27" s="8" t="s">
        <v>704</v>
      </c>
      <c r="AK27" s="8" t="s">
        <v>705</v>
      </c>
      <c r="AL27" s="12" t="str">
        <v>Asset_Net_Power_MW</v>
      </c>
      <c r="AN27" s="8"/>
      <c r="AO27" s="8"/>
      <c r="AP27" s="8"/>
      <c r="AQ27" s="8"/>
      <c r="AR27" s="8"/>
      <c r="AS27" s="8"/>
      <c r="AT27" s="8"/>
      <c r="AU27" s="8"/>
      <c r="AV27" s="8"/>
      <c r="AW27" s="8"/>
      <c r="AX27" s="8"/>
      <c r="AY27" s="8"/>
      <c r="AZ27" s="8"/>
      <c r="BA27" s="8"/>
      <c r="BB27" s="8"/>
      <c r="BC27" s="8"/>
      <c r="BD27" s="8"/>
      <c r="BE27" s="8"/>
      <c r="BF27" s="12"/>
      <c r="BH27" s="12"/>
      <c r="BI27" s="12">
        <v>0</v>
      </c>
      <c r="BJ27" s="12">
        <v>0</v>
      </c>
      <c r="BK27" s="12"/>
      <c r="BQ27" s="8"/>
      <c r="BR27" s="8" t="s">
        <v>912</v>
      </c>
      <c r="BT27" s="8"/>
      <c r="BV27" s="8"/>
      <c r="BX27" s="8"/>
      <c r="BZ27" s="12" t="s">
        <v>634</v>
      </c>
      <c r="CA27" s="12" t="s">
        <v>305</v>
      </c>
      <c r="CB27" s="12" t="s">
        <v>641</v>
      </c>
      <c r="CC27" s="12" t="s">
        <v>407</v>
      </c>
      <c r="CD27" s="12" t="s">
        <v>706</v>
      </c>
      <c r="CE27" s="12"/>
      <c r="CF27" s="12" t="b">
        <v>1</v>
      </c>
      <c r="CH27" s="12" t="s">
        <v>651</v>
      </c>
      <c r="CI27" s="12" t="s">
        <v>279</v>
      </c>
      <c r="CJ27" s="12" t="s">
        <v>654</v>
      </c>
      <c r="CK27" s="12" t="s">
        <v>654</v>
      </c>
      <c r="CL27" s="12" t="s">
        <v>648</v>
      </c>
      <c r="CM27" s="12" t="s">
        <v>707</v>
      </c>
      <c r="CN27" s="12"/>
      <c r="CO27" s="12"/>
    </row>
    <row r="28" spans="2:93">
      <c r="B28" s="8"/>
      <c r="C28" s="8"/>
      <c r="E28" s="8"/>
      <c r="F28" s="8"/>
      <c r="G28" s="8"/>
      <c r="H28" s="8"/>
      <c r="I28" s="8"/>
      <c r="J28" s="8"/>
      <c r="K28" s="34"/>
      <c r="L28" s="8"/>
      <c r="M28" s="8"/>
      <c r="N28" s="34"/>
      <c r="O28" s="34"/>
      <c r="P28" s="8"/>
      <c r="Q28" s="8"/>
      <c r="R28" s="8"/>
      <c r="S28" s="8"/>
      <c r="T28" s="8"/>
      <c r="U28" s="8"/>
      <c r="V28" s="8"/>
      <c r="W28" s="8"/>
      <c r="X28" s="8"/>
      <c r="Y28" s="34"/>
      <c r="Z28" s="8"/>
      <c r="AA28" s="8"/>
      <c r="AC28" s="8"/>
      <c r="AE28" s="8"/>
      <c r="AF28" s="8"/>
      <c r="AG28" s="8"/>
      <c r="AH28" s="8"/>
      <c r="AJ28" s="8" t="s">
        <v>708</v>
      </c>
      <c r="AK28" s="8" t="s">
        <v>709</v>
      </c>
      <c r="AL28" s="12" t="str">
        <v>Asset_Total_Annual_Fixed_Cost_In_Model_Year_Dollars</v>
      </c>
      <c r="AN28" s="8"/>
      <c r="AO28" s="8"/>
      <c r="AP28" s="8"/>
      <c r="AQ28" s="8"/>
      <c r="AR28" s="8"/>
      <c r="AS28" s="8"/>
      <c r="AT28" s="8"/>
      <c r="AU28" s="8"/>
      <c r="AV28" s="8"/>
      <c r="AW28" s="8"/>
      <c r="AX28" s="8"/>
      <c r="AY28" s="8"/>
      <c r="AZ28" s="8"/>
      <c r="BA28" s="8"/>
      <c r="BB28" s="8"/>
      <c r="BC28" s="8"/>
      <c r="BD28" s="8"/>
      <c r="BE28" s="8"/>
      <c r="BF28" s="12"/>
      <c r="BH28" s="12"/>
      <c r="BI28" s="12">
        <v>0</v>
      </c>
      <c r="BJ28" s="12">
        <v>0</v>
      </c>
      <c r="BK28" s="12"/>
      <c r="BQ28" s="8"/>
      <c r="BR28" s="8" t="s">
        <v>913</v>
      </c>
      <c r="BT28" s="8"/>
      <c r="BV28" s="8"/>
      <c r="BX28" s="8"/>
      <c r="BZ28" s="12" t="s">
        <v>634</v>
      </c>
      <c r="CA28" s="12" t="s">
        <v>306</v>
      </c>
      <c r="CB28" s="12" t="s">
        <v>641</v>
      </c>
      <c r="CC28" s="12" t="s">
        <v>406</v>
      </c>
      <c r="CD28" s="12" t="s">
        <v>642</v>
      </c>
      <c r="CE28" s="12"/>
      <c r="CF28" s="12" t="b">
        <v>1</v>
      </c>
      <c r="CH28" s="12" t="s">
        <v>634</v>
      </c>
      <c r="CI28" s="12" t="s">
        <v>305</v>
      </c>
      <c r="CJ28" s="12" t="s">
        <v>406</v>
      </c>
      <c r="CK28" s="12" t="s">
        <v>406</v>
      </c>
      <c r="CL28" s="12" t="s">
        <v>648</v>
      </c>
      <c r="CM28" s="12" t="s">
        <v>710</v>
      </c>
      <c r="CN28" s="12"/>
      <c r="CO28" s="12"/>
    </row>
    <row r="29" spans="2:93">
      <c r="B29" s="8"/>
      <c r="C29" s="8"/>
      <c r="E29" s="8"/>
      <c r="F29" s="8"/>
      <c r="G29" s="8"/>
      <c r="H29" s="8"/>
      <c r="I29" s="8"/>
      <c r="J29" s="8"/>
      <c r="K29" s="34"/>
      <c r="L29" s="8"/>
      <c r="M29" s="8"/>
      <c r="N29" s="34"/>
      <c r="O29" s="34"/>
      <c r="P29" s="8"/>
      <c r="Q29" s="8"/>
      <c r="R29" s="8"/>
      <c r="S29" s="8"/>
      <c r="T29" s="8"/>
      <c r="U29" s="8"/>
      <c r="V29" s="8"/>
      <c r="W29" s="8"/>
      <c r="X29" s="8"/>
      <c r="Y29" s="34"/>
      <c r="Z29" s="8"/>
      <c r="AA29" s="8"/>
      <c r="AC29" s="8"/>
      <c r="AE29" s="8"/>
      <c r="AF29" s="8"/>
      <c r="AG29" s="8"/>
      <c r="AH29" s="8"/>
      <c r="AJ29" s="8" t="s">
        <v>711</v>
      </c>
      <c r="AK29" s="8" t="s">
        <v>712</v>
      </c>
      <c r="AL29" s="12" t="str">
        <v>Build_Capacity_MW</v>
      </c>
      <c r="AN29" s="8"/>
      <c r="AO29" s="8"/>
      <c r="AP29" s="8"/>
      <c r="AQ29" s="8"/>
      <c r="AR29" s="8"/>
      <c r="AS29" s="8"/>
      <c r="AT29" s="8"/>
      <c r="AU29" s="8"/>
      <c r="AV29" s="8"/>
      <c r="AW29" s="8"/>
      <c r="AX29" s="8"/>
      <c r="AY29" s="8"/>
      <c r="AZ29" s="8"/>
      <c r="BA29" s="8"/>
      <c r="BB29" s="8"/>
      <c r="BC29" s="8"/>
      <c r="BD29" s="8"/>
      <c r="BE29" s="8"/>
      <c r="BF29" s="12"/>
      <c r="BH29" s="12"/>
      <c r="BI29" s="12">
        <v>0</v>
      </c>
      <c r="BJ29" s="12">
        <v>0</v>
      </c>
      <c r="BK29" s="12"/>
      <c r="BQ29" s="8"/>
      <c r="BR29" s="8" t="s">
        <v>914</v>
      </c>
      <c r="BT29" s="8"/>
      <c r="BV29" s="8"/>
      <c r="BX29" s="8"/>
      <c r="BZ29" s="12" t="s">
        <v>634</v>
      </c>
      <c r="CA29" s="12" t="s">
        <v>306</v>
      </c>
      <c r="CB29" s="12" t="s">
        <v>646</v>
      </c>
      <c r="CC29" s="12" t="s">
        <v>367</v>
      </c>
      <c r="CD29" s="12" t="s">
        <v>647</v>
      </c>
      <c r="CE29" s="12"/>
      <c r="CF29" s="12" t="b">
        <v>0</v>
      </c>
      <c r="CH29" s="12" t="s">
        <v>634</v>
      </c>
      <c r="CI29" s="12" t="s">
        <v>305</v>
      </c>
      <c r="CJ29" s="12" t="s">
        <v>406</v>
      </c>
      <c r="CK29" s="12" t="s">
        <v>713</v>
      </c>
      <c r="CL29" s="12" t="s">
        <v>648</v>
      </c>
      <c r="CM29" s="12" t="s">
        <v>714</v>
      </c>
      <c r="CN29" s="12"/>
      <c r="CO29" s="12"/>
    </row>
    <row r="30" spans="2:93">
      <c r="B30" s="8"/>
      <c r="C30" s="8"/>
      <c r="E30" s="8"/>
      <c r="F30" s="8"/>
      <c r="G30" s="8"/>
      <c r="H30" s="8"/>
      <c r="I30" s="8"/>
      <c r="J30" s="8"/>
      <c r="K30" s="34"/>
      <c r="L30" s="8"/>
      <c r="M30" s="8"/>
      <c r="N30" s="34"/>
      <c r="O30" s="34"/>
      <c r="P30" s="8"/>
      <c r="Q30" s="8"/>
      <c r="R30" s="8"/>
      <c r="S30" s="8"/>
      <c r="T30" s="8"/>
      <c r="U30" s="8"/>
      <c r="V30" s="8"/>
      <c r="W30" s="8"/>
      <c r="X30" s="8"/>
      <c r="Y30" s="34"/>
      <c r="Z30" s="8"/>
      <c r="AA30" s="8"/>
      <c r="AC30" s="8"/>
      <c r="AE30" s="8"/>
      <c r="AF30" s="8"/>
      <c r="AG30" s="8"/>
      <c r="AH30" s="8"/>
      <c r="AJ30" s="8" t="s">
        <v>715</v>
      </c>
      <c r="AK30" s="8" t="s">
        <v>716</v>
      </c>
      <c r="AL30" s="12" t="str">
        <v>Build_Storage_MWh</v>
      </c>
      <c r="AN30" s="8"/>
      <c r="AO30" s="8"/>
      <c r="AP30" s="8"/>
      <c r="AQ30" s="8"/>
      <c r="AR30" s="8"/>
      <c r="AS30" s="8"/>
      <c r="AT30" s="8"/>
      <c r="AU30" s="8"/>
      <c r="AV30" s="8"/>
      <c r="AW30" s="8"/>
      <c r="AX30" s="8"/>
      <c r="AY30" s="8"/>
      <c r="AZ30" s="8"/>
      <c r="BA30" s="8"/>
      <c r="BB30" s="8"/>
      <c r="BC30" s="8"/>
      <c r="BD30" s="8"/>
      <c r="BE30" s="8"/>
      <c r="BF30" s="12"/>
      <c r="BH30" s="12"/>
      <c r="BI30" s="12">
        <v>0</v>
      </c>
      <c r="BJ30" s="12">
        <v>0</v>
      </c>
      <c r="BK30" s="12"/>
      <c r="BQ30" s="8"/>
      <c r="BR30" s="8" t="s">
        <v>915</v>
      </c>
      <c r="BT30" s="8"/>
      <c r="BV30" s="8"/>
      <c r="BX30" s="8"/>
      <c r="BZ30" s="12" t="s">
        <v>651</v>
      </c>
      <c r="CA30" s="12" t="s">
        <v>611</v>
      </c>
      <c r="CB30" s="12" t="s">
        <v>652</v>
      </c>
      <c r="CC30" s="12" t="s">
        <v>296</v>
      </c>
      <c r="CD30" s="12" t="s">
        <v>717</v>
      </c>
      <c r="CE30" s="12"/>
      <c r="CF30" s="12" t="b">
        <v>0</v>
      </c>
      <c r="CH30" s="12" t="s">
        <v>634</v>
      </c>
      <c r="CI30" s="12" t="s">
        <v>306</v>
      </c>
      <c r="CJ30" s="12" t="s">
        <v>406</v>
      </c>
      <c r="CK30" s="12" t="s">
        <v>406</v>
      </c>
      <c r="CL30" s="12" t="s">
        <v>648</v>
      </c>
      <c r="CM30" s="12" t="s">
        <v>710</v>
      </c>
      <c r="CN30" s="12"/>
      <c r="CO30" s="12"/>
    </row>
    <row r="31" spans="2:93">
      <c r="B31" s="8"/>
      <c r="C31" s="8"/>
      <c r="E31" s="8"/>
      <c r="F31" s="8"/>
      <c r="G31" s="8"/>
      <c r="H31" s="8"/>
      <c r="I31" s="8"/>
      <c r="J31" s="8"/>
      <c r="K31" s="34"/>
      <c r="L31" s="8"/>
      <c r="M31" s="8"/>
      <c r="N31" s="34"/>
      <c r="O31" s="34"/>
      <c r="P31" s="8"/>
      <c r="Q31" s="8"/>
      <c r="R31" s="8"/>
      <c r="S31" s="8"/>
      <c r="T31" s="8"/>
      <c r="U31" s="8"/>
      <c r="V31" s="8"/>
      <c r="W31" s="8"/>
      <c r="X31" s="8"/>
      <c r="Y31" s="34"/>
      <c r="Z31" s="8"/>
      <c r="AA31" s="8"/>
      <c r="AC31" s="8"/>
      <c r="AE31" s="8"/>
      <c r="AF31" s="8"/>
      <c r="AG31" s="8"/>
      <c r="AH31" s="8"/>
      <c r="AJ31" s="8" t="s">
        <v>718</v>
      </c>
      <c r="AK31" s="8" t="s">
        <v>719</v>
      </c>
      <c r="AL31" s="12" t="str">
        <v>Candidate_Fuel_Commodity_Production_In_Timepoint_MMBTU_H</v>
      </c>
      <c r="AN31" s="8"/>
      <c r="AO31" s="8"/>
      <c r="AP31" s="8"/>
      <c r="AQ31" s="8"/>
      <c r="AR31" s="8"/>
      <c r="AS31" s="8"/>
      <c r="AT31" s="8"/>
      <c r="AU31" s="8"/>
      <c r="AV31" s="8"/>
      <c r="AW31" s="8"/>
      <c r="AX31" s="8"/>
      <c r="AY31" s="8"/>
      <c r="AZ31" s="8"/>
      <c r="BA31" s="8"/>
      <c r="BB31" s="8"/>
      <c r="BC31" s="8"/>
      <c r="BD31" s="8"/>
      <c r="BE31" s="8"/>
      <c r="BF31" s="12"/>
      <c r="BH31" s="12"/>
      <c r="BI31" s="12">
        <v>0</v>
      </c>
      <c r="BJ31" s="12">
        <v>0</v>
      </c>
      <c r="BK31" s="12"/>
      <c r="BQ31" s="8"/>
      <c r="BR31" s="8" t="s">
        <v>916</v>
      </c>
      <c r="BT31" s="8"/>
      <c r="BV31" s="8"/>
      <c r="BX31" s="8"/>
      <c r="BZ31" s="12" t="s">
        <v>657</v>
      </c>
      <c r="CA31" s="12" t="s">
        <v>611</v>
      </c>
      <c r="CB31" s="114" t="s">
        <v>720</v>
      </c>
      <c r="CC31" s="114" t="s">
        <v>233</v>
      </c>
      <c r="CD31" s="12" t="s">
        <v>717</v>
      </c>
      <c r="CE31" s="12"/>
      <c r="CF31" s="12" t="b">
        <v>0</v>
      </c>
      <c r="CH31" s="12" t="s">
        <v>634</v>
      </c>
      <c r="CI31" s="12" t="s">
        <v>306</v>
      </c>
      <c r="CJ31" s="12" t="s">
        <v>406</v>
      </c>
      <c r="CK31" s="12" t="s">
        <v>589</v>
      </c>
      <c r="CL31" s="12" t="s">
        <v>648</v>
      </c>
      <c r="CM31" s="12" t="s">
        <v>714</v>
      </c>
      <c r="CN31" s="12"/>
      <c r="CO31" s="12"/>
    </row>
    <row r="32" spans="2:93">
      <c r="B32" s="8"/>
      <c r="C32" s="8"/>
      <c r="E32" s="8"/>
      <c r="F32" s="8"/>
      <c r="G32" s="8"/>
      <c r="H32" s="8"/>
      <c r="I32" s="8"/>
      <c r="J32" s="8"/>
      <c r="K32" s="34"/>
      <c r="L32" s="8"/>
      <c r="M32" s="8"/>
      <c r="N32" s="34"/>
      <c r="O32" s="34"/>
      <c r="P32" s="8"/>
      <c r="Q32" s="8"/>
      <c r="R32" s="8"/>
      <c r="S32" s="8"/>
      <c r="T32" s="8"/>
      <c r="U32" s="8"/>
      <c r="V32" s="8"/>
      <c r="W32" s="8"/>
      <c r="X32" s="8"/>
      <c r="Y32" s="34"/>
      <c r="Z32" s="8"/>
      <c r="AA32" s="8"/>
      <c r="AC32" s="8"/>
      <c r="AE32" s="8"/>
      <c r="AF32" s="8"/>
      <c r="AG32" s="8"/>
      <c r="AH32" s="8"/>
      <c r="AJ32" s="8" t="s">
        <v>721</v>
      </c>
      <c r="AK32" s="8" t="s">
        <v>722</v>
      </c>
      <c r="AL32" s="12" t="str">
        <v>Candidate_Fuel_Commodity_Production_MMBTU</v>
      </c>
      <c r="AN32" s="8"/>
      <c r="AO32" s="8"/>
      <c r="AP32" s="8"/>
      <c r="AQ32" s="8"/>
      <c r="AR32" s="8"/>
      <c r="AS32" s="8"/>
      <c r="AT32" s="8"/>
      <c r="AU32" s="8"/>
      <c r="AV32" s="8"/>
      <c r="AW32" s="8"/>
      <c r="AX32" s="8"/>
      <c r="AY32" s="8"/>
      <c r="AZ32" s="8"/>
      <c r="BA32" s="8"/>
      <c r="BB32" s="8"/>
      <c r="BC32" s="8"/>
      <c r="BD32" s="8"/>
      <c r="BE32" s="8"/>
      <c r="BF32" s="12"/>
      <c r="BH32" s="12"/>
      <c r="BI32" s="12">
        <v>0</v>
      </c>
      <c r="BJ32" s="12">
        <v>0</v>
      </c>
      <c r="BK32" s="12"/>
      <c r="BQ32" s="8"/>
      <c r="BR32" s="8" t="s">
        <v>917</v>
      </c>
      <c r="BT32" s="8"/>
      <c r="BV32" s="8"/>
      <c r="BX32" s="8"/>
      <c r="BZ32" s="12" t="s">
        <v>651</v>
      </c>
      <c r="CA32" s="12" t="s">
        <v>379</v>
      </c>
      <c r="CB32" s="12" t="s">
        <v>652</v>
      </c>
      <c r="CC32" s="12" t="s">
        <v>296</v>
      </c>
      <c r="CD32" s="12" t="s">
        <v>723</v>
      </c>
      <c r="CE32" s="12"/>
      <c r="CF32" s="12" t="b">
        <v>0</v>
      </c>
      <c r="CH32" s="12" t="s">
        <v>634</v>
      </c>
      <c r="CI32" s="12" t="s">
        <v>611</v>
      </c>
      <c r="CJ32" s="12" t="s">
        <v>406</v>
      </c>
      <c r="CK32" s="12" t="s">
        <v>406</v>
      </c>
      <c r="CL32" s="12" t="s">
        <v>643</v>
      </c>
      <c r="CM32" s="12" t="s">
        <v>872</v>
      </c>
      <c r="CN32" s="12" t="s">
        <v>296</v>
      </c>
      <c r="CO32" s="12" t="b">
        <v>1</v>
      </c>
    </row>
    <row r="33" spans="2:93">
      <c r="B33" s="8"/>
      <c r="C33" s="8"/>
      <c r="E33" s="8"/>
      <c r="F33" s="8"/>
      <c r="G33" s="8"/>
      <c r="H33" s="8"/>
      <c r="I33" s="8"/>
      <c r="J33" s="8"/>
      <c r="K33" s="34"/>
      <c r="L33" s="8"/>
      <c r="M33" s="8"/>
      <c r="N33" s="34"/>
      <c r="O33" s="34"/>
      <c r="P33" s="8"/>
      <c r="Q33" s="8"/>
      <c r="R33" s="8"/>
      <c r="S33" s="8"/>
      <c r="T33" s="8"/>
      <c r="U33" s="8"/>
      <c r="V33" s="8"/>
      <c r="W33" s="8"/>
      <c r="X33" s="8"/>
      <c r="Y33" s="34"/>
      <c r="Z33" s="8"/>
      <c r="AA33" s="8"/>
      <c r="AC33" s="8"/>
      <c r="AE33" s="8"/>
      <c r="AF33" s="8"/>
      <c r="AG33" s="8"/>
      <c r="AH33" s="8"/>
      <c r="AJ33" s="8" t="s">
        <v>724</v>
      </c>
      <c r="AK33" s="8" t="s">
        <v>725</v>
      </c>
      <c r="AL33" s="12" t="str">
        <v>Candidate_Fuel_Production_From_Biomass_MMBTU</v>
      </c>
      <c r="AN33" s="8"/>
      <c r="AO33" s="8"/>
      <c r="AP33" s="8"/>
      <c r="AQ33" s="8"/>
      <c r="AR33" s="8"/>
      <c r="AS33" s="8"/>
      <c r="AT33" s="8"/>
      <c r="AU33" s="8"/>
      <c r="AV33" s="8"/>
      <c r="AW33" s="8"/>
      <c r="AX33" s="8"/>
      <c r="AY33" s="8"/>
      <c r="AZ33" s="8"/>
      <c r="BA33" s="8"/>
      <c r="BB33" s="8"/>
      <c r="BC33" s="8"/>
      <c r="BD33" s="8"/>
      <c r="BE33" s="8"/>
      <c r="BF33" s="12"/>
      <c r="BH33" s="12"/>
      <c r="BI33" s="12">
        <v>0</v>
      </c>
      <c r="BJ33" s="12">
        <v>0</v>
      </c>
      <c r="BK33" s="12"/>
      <c r="BQ33" s="8"/>
      <c r="BR33" s="8" t="s">
        <v>918</v>
      </c>
      <c r="BT33" s="8"/>
      <c r="BV33" s="8"/>
      <c r="BX33" s="8"/>
      <c r="BZ33" s="12" t="s">
        <v>657</v>
      </c>
      <c r="CA33" s="12" t="s">
        <v>379</v>
      </c>
      <c r="CB33" s="114" t="s">
        <v>726</v>
      </c>
      <c r="CC33" s="114" t="s">
        <v>229</v>
      </c>
      <c r="CD33" s="12" t="s">
        <v>723</v>
      </c>
      <c r="CE33" s="12"/>
      <c r="CF33" s="12" t="b">
        <v>0</v>
      </c>
      <c r="CH33" s="12" t="s">
        <v>651</v>
      </c>
      <c r="CI33" s="12" t="s">
        <v>611</v>
      </c>
      <c r="CJ33" s="12" t="s">
        <v>444</v>
      </c>
      <c r="CK33" s="12" t="s">
        <v>444</v>
      </c>
      <c r="CL33" s="12" t="s">
        <v>637</v>
      </c>
      <c r="CM33" s="12" t="s">
        <v>872</v>
      </c>
      <c r="CN33" s="12" t="s">
        <v>296</v>
      </c>
      <c r="CO33" s="12" t="b">
        <v>1</v>
      </c>
    </row>
    <row r="34" spans="2:93">
      <c r="B34" s="8"/>
      <c r="C34" s="8"/>
      <c r="E34" s="8"/>
      <c r="F34" s="8"/>
      <c r="G34" s="8"/>
      <c r="H34" s="8"/>
      <c r="I34" s="8"/>
      <c r="J34" s="8"/>
      <c r="K34" s="34"/>
      <c r="L34" s="8"/>
      <c r="M34" s="8"/>
      <c r="N34" s="34"/>
      <c r="O34" s="34"/>
      <c r="P34" s="8"/>
      <c r="Q34" s="8"/>
      <c r="R34" s="8"/>
      <c r="S34" s="8"/>
      <c r="T34" s="8"/>
      <c r="U34" s="8"/>
      <c r="V34" s="8"/>
      <c r="W34" s="8"/>
      <c r="X34" s="8"/>
      <c r="Y34" s="34"/>
      <c r="Z34" s="8"/>
      <c r="AA34" s="8"/>
      <c r="AC34" s="8"/>
      <c r="AE34" s="8"/>
      <c r="AF34" s="8"/>
      <c r="AG34" s="8"/>
      <c r="AH34" s="8"/>
      <c r="AJ34" s="8" t="s">
        <v>727</v>
      </c>
      <c r="AK34" s="8" t="s">
        <v>728</v>
      </c>
      <c r="AL34" s="12" t="str">
        <v>Candidate_Fuel_Production_From_Biomass_MT</v>
      </c>
      <c r="AN34" s="8"/>
      <c r="AO34" s="8"/>
      <c r="AP34" s="8"/>
      <c r="AQ34" s="8"/>
      <c r="AR34" s="8"/>
      <c r="AS34" s="8"/>
      <c r="AT34" s="8"/>
      <c r="AU34" s="8"/>
      <c r="AV34" s="8"/>
      <c r="AW34" s="8"/>
      <c r="AX34" s="8"/>
      <c r="AY34" s="8"/>
      <c r="AZ34" s="8"/>
      <c r="BA34" s="8"/>
      <c r="BB34" s="8"/>
      <c r="BC34" s="8"/>
      <c r="BD34" s="8"/>
      <c r="BE34" s="8"/>
      <c r="BF34" s="12"/>
      <c r="BH34" s="12"/>
      <c r="BI34" s="12"/>
      <c r="BJ34" s="12"/>
      <c r="BK34" s="12"/>
      <c r="BQ34" s="8"/>
      <c r="BR34" s="8" t="s">
        <v>919</v>
      </c>
      <c r="BT34" s="8"/>
      <c r="BV34" s="8"/>
      <c r="BX34" s="8"/>
      <c r="BZ34" s="12" t="s">
        <v>651</v>
      </c>
      <c r="CA34" s="12" t="s">
        <v>375</v>
      </c>
      <c r="CB34" s="12" t="s">
        <v>652</v>
      </c>
      <c r="CC34" s="12" t="s">
        <v>296</v>
      </c>
      <c r="CD34" s="12" t="s">
        <v>729</v>
      </c>
      <c r="CE34" s="12"/>
      <c r="CF34" s="12" t="b">
        <v>0</v>
      </c>
      <c r="CH34" s="12" t="s">
        <v>634</v>
      </c>
      <c r="CI34" s="12" t="s">
        <v>611</v>
      </c>
      <c r="CJ34" s="12" t="s">
        <v>407</v>
      </c>
      <c r="CK34" s="12" t="s">
        <v>407</v>
      </c>
      <c r="CL34" s="12" t="s">
        <v>637</v>
      </c>
      <c r="CM34" s="12" t="s">
        <v>872</v>
      </c>
      <c r="CN34" s="12" t="s">
        <v>296</v>
      </c>
      <c r="CO34" s="12" t="b">
        <v>1</v>
      </c>
    </row>
    <row r="35" spans="2:93">
      <c r="B35" s="8"/>
      <c r="C35" s="8"/>
      <c r="E35" s="8"/>
      <c r="F35" s="8"/>
      <c r="G35" s="8"/>
      <c r="H35" s="8"/>
      <c r="I35" s="8"/>
      <c r="J35" s="8"/>
      <c r="K35" s="34"/>
      <c r="L35" s="8"/>
      <c r="M35" s="8"/>
      <c r="N35" s="34"/>
      <c r="O35" s="34"/>
      <c r="P35" s="8"/>
      <c r="Q35" s="8"/>
      <c r="R35" s="8"/>
      <c r="S35" s="8"/>
      <c r="T35" s="8"/>
      <c r="U35" s="8"/>
      <c r="V35" s="8"/>
      <c r="W35" s="8"/>
      <c r="X35" s="8"/>
      <c r="Y35" s="34"/>
      <c r="Z35" s="8"/>
      <c r="AA35" s="8"/>
      <c r="AC35" s="8"/>
      <c r="AE35" s="8"/>
      <c r="AF35" s="8"/>
      <c r="AG35" s="8"/>
      <c r="AH35" s="8"/>
      <c r="AJ35" s="8" t="s">
        <v>730</v>
      </c>
      <c r="AK35" s="8" t="s">
        <v>731</v>
      </c>
      <c r="AL35" s="12" t="str">
        <v>Candidate_Fuel_Production_From_Fuel_Production_Plant_In_Timepoint_MMBTU_H</v>
      </c>
      <c r="AN35" s="8"/>
      <c r="AO35" s="8"/>
      <c r="AP35" s="8"/>
      <c r="AQ35" s="8"/>
      <c r="AR35" s="8"/>
      <c r="AS35" s="8"/>
      <c r="AT35" s="8"/>
      <c r="AU35" s="8"/>
      <c r="AV35" s="8"/>
      <c r="AW35" s="8"/>
      <c r="AX35" s="8"/>
      <c r="AY35" s="8"/>
      <c r="AZ35" s="8"/>
      <c r="BA35" s="8"/>
      <c r="BB35" s="8"/>
      <c r="BC35" s="8"/>
      <c r="BD35" s="8"/>
      <c r="BE35" s="8"/>
      <c r="BF35" s="12"/>
      <c r="BH35" s="12"/>
      <c r="BI35" s="12"/>
      <c r="BJ35" s="12"/>
      <c r="BK35" s="12"/>
      <c r="BQ35" s="8"/>
      <c r="BR35" s="8" t="s">
        <v>920</v>
      </c>
      <c r="BT35" s="8"/>
      <c r="BV35" s="8"/>
      <c r="BX35" s="8"/>
      <c r="BZ35" s="12" t="s">
        <v>657</v>
      </c>
      <c r="CA35" s="12" t="s">
        <v>375</v>
      </c>
      <c r="CB35" s="114" t="s">
        <v>732</v>
      </c>
      <c r="CC35" s="114" t="s">
        <v>217</v>
      </c>
      <c r="CD35" s="12" t="s">
        <v>729</v>
      </c>
      <c r="CE35" s="12"/>
      <c r="CF35" s="12" t="b">
        <v>0</v>
      </c>
      <c r="CH35" s="12" t="s">
        <v>634</v>
      </c>
      <c r="CI35" s="12" t="s">
        <v>611</v>
      </c>
      <c r="CJ35" s="12" t="s">
        <v>671</v>
      </c>
      <c r="CK35" s="12" t="s">
        <v>671</v>
      </c>
      <c r="CL35" s="12" t="s">
        <v>643</v>
      </c>
      <c r="CM35" s="12" t="s">
        <v>872</v>
      </c>
      <c r="CN35" s="12" t="s">
        <v>296</v>
      </c>
      <c r="CO35" s="12" t="b">
        <v>1</v>
      </c>
    </row>
    <row r="36" spans="2:93">
      <c r="B36" s="8"/>
      <c r="C36" s="8"/>
      <c r="E36" s="8"/>
      <c r="F36" s="8"/>
      <c r="G36" s="8"/>
      <c r="H36" s="8"/>
      <c r="I36" s="8"/>
      <c r="J36" s="8"/>
      <c r="K36" s="34"/>
      <c r="L36" s="8"/>
      <c r="M36" s="8"/>
      <c r="N36" s="34"/>
      <c r="O36" s="34"/>
      <c r="P36" s="8"/>
      <c r="Q36" s="8"/>
      <c r="R36" s="8"/>
      <c r="S36" s="8"/>
      <c r="T36" s="8"/>
      <c r="U36" s="8"/>
      <c r="V36" s="8"/>
      <c r="W36" s="8"/>
      <c r="X36" s="8"/>
      <c r="Y36" s="34"/>
      <c r="Z36" s="8"/>
      <c r="AA36" s="8"/>
      <c r="AC36" s="8"/>
      <c r="AE36" s="8"/>
      <c r="AF36" s="8"/>
      <c r="AG36" s="8"/>
      <c r="AH36" s="8"/>
      <c r="AJ36" s="8" t="s">
        <v>733</v>
      </c>
      <c r="AK36" s="8" t="s">
        <v>734</v>
      </c>
      <c r="AL36" s="12" t="str">
        <v>Candidate_Fuel_Production_From_Fuel_Production_Plant_MMBTU</v>
      </c>
      <c r="AN36" s="8"/>
      <c r="AO36" s="8"/>
      <c r="AP36" s="8"/>
      <c r="AQ36" s="8"/>
      <c r="AR36" s="8"/>
      <c r="AS36" s="8"/>
      <c r="AT36" s="8"/>
      <c r="AU36" s="8"/>
      <c r="AV36" s="8"/>
      <c r="AW36" s="8"/>
      <c r="AX36" s="8"/>
      <c r="AY36" s="8"/>
      <c r="AZ36" s="8"/>
      <c r="BA36" s="8"/>
      <c r="BB36" s="8"/>
      <c r="BC36" s="8"/>
      <c r="BD36" s="8"/>
      <c r="BE36" s="8"/>
      <c r="BF36" s="12"/>
      <c r="BH36" s="12"/>
      <c r="BI36" s="12"/>
      <c r="BJ36" s="12"/>
      <c r="BK36" s="12"/>
      <c r="BQ36" s="8"/>
      <c r="BR36" s="8" t="s">
        <v>921</v>
      </c>
      <c r="BT36" s="8"/>
      <c r="BV36" s="8"/>
      <c r="BX36" s="8"/>
      <c r="BZ36" s="12" t="s">
        <v>651</v>
      </c>
      <c r="CA36" s="12" t="s">
        <v>377</v>
      </c>
      <c r="CB36" s="12" t="s">
        <v>652</v>
      </c>
      <c r="CC36" s="12" t="s">
        <v>296</v>
      </c>
      <c r="CD36" s="12" t="s">
        <v>735</v>
      </c>
      <c r="CE36" s="12"/>
      <c r="CF36" s="12" t="b">
        <v>0</v>
      </c>
      <c r="CH36" s="12" t="s">
        <v>657</v>
      </c>
      <c r="CI36" s="12" t="s">
        <v>611</v>
      </c>
      <c r="CJ36" s="12" t="s">
        <v>445</v>
      </c>
      <c r="CK36" s="12" t="s">
        <v>445</v>
      </c>
      <c r="CL36" s="12" t="s">
        <v>637</v>
      </c>
      <c r="CM36" s="12" t="s">
        <v>872</v>
      </c>
      <c r="CN36" s="12" t="s">
        <v>296</v>
      </c>
      <c r="CO36" s="12" t="b">
        <v>1</v>
      </c>
    </row>
    <row r="37" spans="2:93">
      <c r="B37" s="8"/>
      <c r="C37" s="8"/>
      <c r="E37" s="8"/>
      <c r="F37" s="8"/>
      <c r="G37" s="8"/>
      <c r="H37" s="8"/>
      <c r="I37" s="8"/>
      <c r="J37" s="8"/>
      <c r="K37" s="34"/>
      <c r="L37" s="8"/>
      <c r="M37" s="8"/>
      <c r="N37" s="34"/>
      <c r="O37" s="34"/>
      <c r="P37" s="8"/>
      <c r="Q37" s="8"/>
      <c r="R37" s="8"/>
      <c r="S37" s="8"/>
      <c r="T37" s="8"/>
      <c r="U37" s="8"/>
      <c r="V37" s="8"/>
      <c r="W37" s="8"/>
      <c r="X37" s="8"/>
      <c r="Y37" s="34"/>
      <c r="Z37" s="8"/>
      <c r="AA37" s="8"/>
      <c r="AC37" s="8"/>
      <c r="AE37" s="8"/>
      <c r="AF37" s="8"/>
      <c r="AG37" s="8"/>
      <c r="AH37" s="8"/>
      <c r="AJ37" s="8" t="s">
        <v>736</v>
      </c>
      <c r="AK37" s="8" t="s">
        <v>737</v>
      </c>
      <c r="AL37" s="12" t="str">
        <v>Candidate_Fuel_Production_From_Fuel_Production_Plants_In_Timepoint_MMBTU_H</v>
      </c>
      <c r="AN37" s="8"/>
      <c r="AO37" s="8"/>
      <c r="AP37" s="8"/>
      <c r="AQ37" s="8"/>
      <c r="AR37" s="8"/>
      <c r="AS37" s="8"/>
      <c r="AT37" s="8"/>
      <c r="AU37" s="8"/>
      <c r="AV37" s="8"/>
      <c r="AW37" s="8"/>
      <c r="AX37" s="8"/>
      <c r="AY37" s="8"/>
      <c r="AZ37" s="8"/>
      <c r="BA37" s="8"/>
      <c r="BB37" s="8"/>
      <c r="BC37" s="8"/>
      <c r="BD37" s="8"/>
      <c r="BE37" s="8"/>
      <c r="BF37" s="12"/>
      <c r="BH37" s="12"/>
      <c r="BI37" s="12"/>
      <c r="BJ37" s="12"/>
      <c r="BK37" s="12"/>
      <c r="BQ37" s="8"/>
      <c r="BR37" s="8" t="s">
        <v>922</v>
      </c>
      <c r="BT37" s="8"/>
      <c r="BV37" s="8"/>
      <c r="BX37" s="8"/>
      <c r="BZ37" s="12" t="s">
        <v>657</v>
      </c>
      <c r="CA37" s="12" t="s">
        <v>377</v>
      </c>
      <c r="CB37" s="114" t="s">
        <v>738</v>
      </c>
      <c r="CC37" s="114" t="s">
        <v>221</v>
      </c>
      <c r="CD37" s="12" t="s">
        <v>735</v>
      </c>
      <c r="CE37" s="12"/>
      <c r="CF37" s="12" t="b">
        <v>0</v>
      </c>
      <c r="CH37" s="12" t="s">
        <v>634</v>
      </c>
      <c r="CI37" s="12" t="s">
        <v>379</v>
      </c>
      <c r="CJ37" s="12" t="s">
        <v>406</v>
      </c>
      <c r="CK37" s="12" t="s">
        <v>406</v>
      </c>
      <c r="CL37" s="12" t="s">
        <v>643</v>
      </c>
      <c r="CM37" s="12" t="s">
        <v>873</v>
      </c>
      <c r="CN37" s="12" t="s">
        <v>296</v>
      </c>
      <c r="CO37" s="12" t="b">
        <v>1</v>
      </c>
    </row>
    <row r="38" spans="2:93">
      <c r="B38" s="8"/>
      <c r="C38" s="8"/>
      <c r="E38" s="8"/>
      <c r="F38" s="8"/>
      <c r="G38" s="8"/>
      <c r="H38" s="8"/>
      <c r="I38" s="8"/>
      <c r="J38" s="8"/>
      <c r="K38" s="34"/>
      <c r="L38" s="8"/>
      <c r="M38" s="8"/>
      <c r="N38" s="34"/>
      <c r="O38" s="34"/>
      <c r="P38" s="8"/>
      <c r="Q38" s="8"/>
      <c r="R38" s="8"/>
      <c r="S38" s="8"/>
      <c r="T38" s="8"/>
      <c r="U38" s="8"/>
      <c r="V38" s="8"/>
      <c r="W38" s="8"/>
      <c r="X38" s="8"/>
      <c r="Y38" s="34"/>
      <c r="Z38" s="8"/>
      <c r="AA38" s="8"/>
      <c r="AC38" s="8"/>
      <c r="AE38" s="8"/>
      <c r="AF38" s="8"/>
      <c r="AG38" s="8"/>
      <c r="AH38" s="8"/>
      <c r="AJ38" s="8" t="s">
        <v>739</v>
      </c>
      <c r="AK38" s="8" t="s">
        <v>740</v>
      </c>
      <c r="AL38" s="12" t="str">
        <v>Candidate_Fuel_Production_From_Fuel_Production_Plants_MMBTU</v>
      </c>
      <c r="AN38" s="8"/>
      <c r="AO38" s="8"/>
      <c r="AP38" s="8"/>
      <c r="AQ38" s="8"/>
      <c r="AR38" s="8"/>
      <c r="AS38" s="8"/>
      <c r="AT38" s="8"/>
      <c r="AU38" s="8"/>
      <c r="AV38" s="8"/>
      <c r="AW38" s="8"/>
      <c r="AX38" s="8"/>
      <c r="AY38" s="8"/>
      <c r="AZ38" s="8"/>
      <c r="BA38" s="8"/>
      <c r="BB38" s="8"/>
      <c r="BC38" s="8"/>
      <c r="BD38" s="8"/>
      <c r="BE38" s="8"/>
      <c r="BF38" s="12"/>
      <c r="BH38" s="12"/>
      <c r="BI38" s="12"/>
      <c r="BJ38" s="12"/>
      <c r="BK38" s="12"/>
      <c r="BQ38" s="8"/>
      <c r="BR38" s="8" t="s">
        <v>923</v>
      </c>
      <c r="BT38" s="8"/>
      <c r="BV38" s="8"/>
      <c r="BX38" s="8"/>
      <c r="BZ38" s="12" t="s">
        <v>651</v>
      </c>
      <c r="CA38" s="12" t="s">
        <v>612</v>
      </c>
      <c r="CB38" s="12" t="s">
        <v>741</v>
      </c>
      <c r="CC38" s="12" t="s">
        <v>324</v>
      </c>
      <c r="CD38" s="12" t="s">
        <v>742</v>
      </c>
      <c r="CE38" s="12"/>
      <c r="CF38" s="12" t="b">
        <v>1</v>
      </c>
      <c r="CH38" s="12" t="s">
        <v>651</v>
      </c>
      <c r="CI38" s="12" t="s">
        <v>379</v>
      </c>
      <c r="CJ38" s="12" t="s">
        <v>444</v>
      </c>
      <c r="CK38" s="12" t="s">
        <v>444</v>
      </c>
      <c r="CL38" s="12" t="s">
        <v>637</v>
      </c>
      <c r="CM38" s="12" t="s">
        <v>873</v>
      </c>
      <c r="CN38" s="12" t="s">
        <v>296</v>
      </c>
      <c r="CO38" s="12" t="b">
        <v>1</v>
      </c>
    </row>
    <row r="39" spans="2:93">
      <c r="B39" s="8"/>
      <c r="C39" s="8"/>
      <c r="E39" s="8"/>
      <c r="F39" s="8"/>
      <c r="G39" s="8"/>
      <c r="H39" s="8"/>
      <c r="I39" s="8"/>
      <c r="J39" s="8"/>
      <c r="K39" s="34"/>
      <c r="L39" s="8"/>
      <c r="M39" s="8"/>
      <c r="N39" s="34"/>
      <c r="O39" s="34"/>
      <c r="P39" s="8"/>
      <c r="Q39" s="8"/>
      <c r="R39" s="8"/>
      <c r="S39" s="8"/>
      <c r="T39" s="8"/>
      <c r="U39" s="8"/>
      <c r="V39" s="8"/>
      <c r="W39" s="8"/>
      <c r="X39" s="8"/>
      <c r="Y39" s="34"/>
      <c r="Z39" s="8"/>
      <c r="AA39" s="8"/>
      <c r="AC39" s="8"/>
      <c r="AE39" s="8"/>
      <c r="AF39" s="8"/>
      <c r="AG39" s="8"/>
      <c r="AH39" s="8"/>
      <c r="AJ39" s="8" t="s">
        <v>743</v>
      </c>
      <c r="AK39" s="8" t="s">
        <v>744</v>
      </c>
      <c r="AL39" s="12" t="str">
        <v>Committed_Capacity_MW</v>
      </c>
      <c r="AN39" s="8"/>
      <c r="AO39" s="8"/>
      <c r="AP39" s="8"/>
      <c r="AQ39" s="8"/>
      <c r="AR39" s="8"/>
      <c r="AS39" s="8"/>
      <c r="AT39" s="8"/>
      <c r="AU39" s="8"/>
      <c r="AV39" s="8"/>
      <c r="AW39" s="8"/>
      <c r="AX39" s="8"/>
      <c r="AY39" s="8"/>
      <c r="AZ39" s="8"/>
      <c r="BA39" s="8"/>
      <c r="BB39" s="8"/>
      <c r="BC39" s="8"/>
      <c r="BD39" s="8"/>
      <c r="BE39" s="8"/>
      <c r="BF39" s="12"/>
      <c r="BH39" s="12"/>
      <c r="BI39" s="12"/>
      <c r="BJ39" s="12"/>
      <c r="BK39" s="12"/>
      <c r="BQ39" s="8"/>
      <c r="BR39" s="8" t="s">
        <v>924</v>
      </c>
      <c r="BT39" s="8"/>
      <c r="BV39" s="8"/>
      <c r="BX39" s="8"/>
      <c r="BZ39" s="12" t="s">
        <v>651</v>
      </c>
      <c r="CA39" s="12" t="s">
        <v>612</v>
      </c>
      <c r="CB39" s="12" t="s">
        <v>641</v>
      </c>
      <c r="CC39" s="12" t="s">
        <v>665</v>
      </c>
      <c r="CD39" s="12" t="s">
        <v>745</v>
      </c>
      <c r="CE39" s="12"/>
      <c r="CF39" s="12" t="b">
        <v>1</v>
      </c>
      <c r="CH39" s="12" t="s">
        <v>634</v>
      </c>
      <c r="CI39" s="12" t="s">
        <v>379</v>
      </c>
      <c r="CJ39" s="12" t="s">
        <v>407</v>
      </c>
      <c r="CK39" s="12" t="s">
        <v>407</v>
      </c>
      <c r="CL39" s="12" t="s">
        <v>637</v>
      </c>
      <c r="CM39" s="12" t="s">
        <v>873</v>
      </c>
      <c r="CN39" s="12" t="s">
        <v>296</v>
      </c>
      <c r="CO39" s="12" t="b">
        <v>1</v>
      </c>
    </row>
    <row r="40" spans="2:93">
      <c r="B40" s="8"/>
      <c r="C40" s="8"/>
      <c r="E40" s="8"/>
      <c r="F40" s="8"/>
      <c r="G40" s="8"/>
      <c r="H40" s="8"/>
      <c r="I40" s="8"/>
      <c r="J40" s="8"/>
      <c r="K40" s="34"/>
      <c r="L40" s="8"/>
      <c r="M40" s="8"/>
      <c r="N40" s="34"/>
      <c r="O40" s="34"/>
      <c r="P40" s="8"/>
      <c r="Q40" s="8"/>
      <c r="R40" s="8"/>
      <c r="S40" s="8"/>
      <c r="T40" s="8"/>
      <c r="U40" s="8"/>
      <c r="V40" s="8"/>
      <c r="W40" s="8"/>
      <c r="X40" s="8"/>
      <c r="Y40" s="34"/>
      <c r="Z40" s="8"/>
      <c r="AA40" s="8"/>
      <c r="AC40" s="8"/>
      <c r="AE40" s="8"/>
      <c r="AF40" s="8"/>
      <c r="AG40" s="8"/>
      <c r="AH40" s="8"/>
      <c r="AJ40" s="8" t="s">
        <v>746</v>
      </c>
      <c r="AK40" s="8" t="s">
        <v>747</v>
      </c>
      <c r="AL40" s="12" t="str">
        <v>Committed_Units</v>
      </c>
      <c r="AN40" s="8"/>
      <c r="AO40" s="8"/>
      <c r="AP40" s="8"/>
      <c r="AQ40" s="8"/>
      <c r="AR40" s="8"/>
      <c r="AS40" s="8"/>
      <c r="AT40" s="8"/>
      <c r="AU40" s="8"/>
      <c r="AV40" s="8"/>
      <c r="AW40" s="8"/>
      <c r="AX40" s="8"/>
      <c r="AY40" s="8"/>
      <c r="AZ40" s="8"/>
      <c r="BA40" s="8"/>
      <c r="BB40" s="8"/>
      <c r="BC40" s="8"/>
      <c r="BD40" s="8"/>
      <c r="BE40" s="8"/>
      <c r="BF40" s="12"/>
      <c r="BH40" s="12"/>
      <c r="BI40" s="12"/>
      <c r="BJ40" s="12"/>
      <c r="BK40" s="12"/>
      <c r="BQ40" s="8"/>
      <c r="BR40" s="8" t="s">
        <v>925</v>
      </c>
      <c r="BT40" s="8"/>
      <c r="BV40" s="8"/>
      <c r="BX40" s="8"/>
      <c r="BZ40" s="12" t="s">
        <v>651</v>
      </c>
      <c r="CA40" s="12" t="s">
        <v>612</v>
      </c>
      <c r="CB40" s="12" t="s">
        <v>748</v>
      </c>
      <c r="CC40" s="12" t="s">
        <v>203</v>
      </c>
      <c r="CD40" s="12" t="s">
        <v>749</v>
      </c>
      <c r="CE40" s="12"/>
      <c r="CF40" s="12" t="b">
        <v>1</v>
      </c>
      <c r="CH40" s="12" t="s">
        <v>634</v>
      </c>
      <c r="CI40" s="12" t="s">
        <v>379</v>
      </c>
      <c r="CJ40" s="12" t="s">
        <v>671</v>
      </c>
      <c r="CK40" s="12" t="s">
        <v>671</v>
      </c>
      <c r="CL40" s="12" t="s">
        <v>643</v>
      </c>
      <c r="CM40" s="12" t="s">
        <v>873</v>
      </c>
      <c r="CN40" s="12" t="s">
        <v>296</v>
      </c>
      <c r="CO40" s="12" t="b">
        <v>1</v>
      </c>
    </row>
    <row r="41" spans="2:93">
      <c r="B41" s="8"/>
      <c r="C41" s="8"/>
      <c r="E41" s="8"/>
      <c r="F41" s="8"/>
      <c r="G41" s="8"/>
      <c r="H41" s="8"/>
      <c r="I41" s="8"/>
      <c r="J41" s="8"/>
      <c r="K41" s="34"/>
      <c r="L41" s="8"/>
      <c r="M41" s="8"/>
      <c r="N41" s="34"/>
      <c r="O41" s="34"/>
      <c r="P41" s="8"/>
      <c r="Q41" s="8"/>
      <c r="R41" s="8"/>
      <c r="S41" s="8"/>
      <c r="T41" s="8"/>
      <c r="U41" s="8"/>
      <c r="V41" s="8"/>
      <c r="W41" s="8"/>
      <c r="X41" s="8"/>
      <c r="Y41" s="34"/>
      <c r="Z41" s="8"/>
      <c r="AA41" s="8"/>
      <c r="AC41" s="8"/>
      <c r="AE41" s="8"/>
      <c r="AF41" s="8"/>
      <c r="AG41" s="8"/>
      <c r="AH41" s="8"/>
      <c r="AJ41" s="8" t="s">
        <v>750</v>
      </c>
      <c r="AK41" s="8" t="s">
        <v>751</v>
      </c>
      <c r="AL41" s="12" t="str">
        <v>Costs_Fuel_Final_Fuel_Demands_In_Model_Year</v>
      </c>
      <c r="AN41" s="8"/>
      <c r="AO41" s="8"/>
      <c r="AP41" s="8"/>
      <c r="AQ41" s="8"/>
      <c r="AR41" s="8"/>
      <c r="AS41" s="8"/>
      <c r="AT41" s="8"/>
      <c r="AU41" s="8"/>
      <c r="AV41" s="8"/>
      <c r="AW41" s="8"/>
      <c r="AX41" s="8"/>
      <c r="AY41" s="8"/>
      <c r="AZ41" s="8"/>
      <c r="BA41" s="8"/>
      <c r="BB41" s="8"/>
      <c r="BC41" s="8"/>
      <c r="BD41" s="8"/>
      <c r="BE41" s="8"/>
      <c r="BF41" s="12"/>
      <c r="BH41" s="12"/>
      <c r="BI41" s="12"/>
      <c r="BJ41" s="12"/>
      <c r="BK41" s="12"/>
      <c r="BQ41" s="8"/>
      <c r="BR41" s="8" t="s">
        <v>926</v>
      </c>
      <c r="BT41" s="8"/>
      <c r="BV41" s="8"/>
      <c r="BX41" s="8"/>
      <c r="BZ41" s="12" t="s">
        <v>657</v>
      </c>
      <c r="CA41" s="12" t="s">
        <v>752</v>
      </c>
      <c r="CB41" s="114" t="s">
        <v>753</v>
      </c>
      <c r="CC41" s="12" t="s">
        <v>204</v>
      </c>
      <c r="CD41" s="12" t="s">
        <v>754</v>
      </c>
      <c r="CE41" s="12"/>
      <c r="CF41" s="12" t="b">
        <v>0</v>
      </c>
      <c r="CH41" s="12" t="s">
        <v>657</v>
      </c>
      <c r="CI41" s="12" t="s">
        <v>379</v>
      </c>
      <c r="CJ41" s="12" t="s">
        <v>445</v>
      </c>
      <c r="CK41" s="12" t="s">
        <v>445</v>
      </c>
      <c r="CL41" s="12" t="s">
        <v>637</v>
      </c>
      <c r="CM41" s="12" t="s">
        <v>873</v>
      </c>
      <c r="CN41" s="12" t="s">
        <v>296</v>
      </c>
      <c r="CO41" s="12" t="b">
        <v>1</v>
      </c>
    </row>
    <row r="42" spans="2:93">
      <c r="B42" s="8"/>
      <c r="C42" s="8"/>
      <c r="E42" s="8"/>
      <c r="F42" s="8"/>
      <c r="G42" s="8"/>
      <c r="H42" s="8"/>
      <c r="I42" s="8"/>
      <c r="J42" s="8"/>
      <c r="K42" s="34"/>
      <c r="L42" s="8"/>
      <c r="M42" s="8"/>
      <c r="N42" s="34"/>
      <c r="O42" s="34"/>
      <c r="P42" s="8"/>
      <c r="Q42" s="8"/>
      <c r="R42" s="8"/>
      <c r="S42" s="8"/>
      <c r="T42" s="8"/>
      <c r="U42" s="8"/>
      <c r="V42" s="8"/>
      <c r="W42" s="8"/>
      <c r="X42" s="8"/>
      <c r="Y42" s="34"/>
      <c r="Z42" s="8"/>
      <c r="AA42" s="8"/>
      <c r="AC42" s="8"/>
      <c r="AE42" s="8"/>
      <c r="AF42" s="8"/>
      <c r="AG42" s="8"/>
      <c r="AH42" s="8"/>
      <c r="AJ42" s="8" t="s">
        <v>755</v>
      </c>
      <c r="AK42" s="8" t="s">
        <v>756</v>
      </c>
      <c r="AL42" s="12" t="str">
        <v>Costs_Fuel_Resource_Burn_In_Timepoint</v>
      </c>
      <c r="AN42" s="8"/>
      <c r="AO42" s="8"/>
      <c r="AP42" s="8"/>
      <c r="AQ42" s="8"/>
      <c r="AR42" s="8"/>
      <c r="AS42" s="8"/>
      <c r="AT42" s="8"/>
      <c r="AU42" s="8"/>
      <c r="AV42" s="8"/>
      <c r="AW42" s="8"/>
      <c r="AX42" s="8"/>
      <c r="AY42" s="8"/>
      <c r="AZ42" s="8"/>
      <c r="BA42" s="8"/>
      <c r="BB42" s="8"/>
      <c r="BC42" s="8"/>
      <c r="BD42" s="8"/>
      <c r="BE42" s="8"/>
      <c r="BF42" s="12"/>
      <c r="BH42" s="12"/>
      <c r="BI42" s="12"/>
      <c r="BJ42" s="12"/>
      <c r="BK42" s="12"/>
      <c r="BQ42" s="8"/>
      <c r="BR42" s="8" t="s">
        <v>927</v>
      </c>
      <c r="BT42" s="8"/>
      <c r="BV42" s="8"/>
      <c r="BX42" s="8"/>
      <c r="BZ42" s="12" t="s">
        <v>657</v>
      </c>
      <c r="CA42" s="12" t="s">
        <v>547</v>
      </c>
      <c r="CB42" s="114" t="s">
        <v>757</v>
      </c>
      <c r="CC42" s="12" t="s">
        <v>215</v>
      </c>
      <c r="CD42" s="12" t="s">
        <v>758</v>
      </c>
      <c r="CE42" s="12"/>
      <c r="CF42" s="12" t="b">
        <v>0</v>
      </c>
      <c r="CH42" s="12" t="s">
        <v>634</v>
      </c>
      <c r="CI42" s="12" t="s">
        <v>375</v>
      </c>
      <c r="CJ42" s="12" t="s">
        <v>406</v>
      </c>
      <c r="CK42" s="12" t="s">
        <v>406</v>
      </c>
      <c r="CL42" s="12" t="s">
        <v>643</v>
      </c>
      <c r="CM42" s="12" t="s">
        <v>874</v>
      </c>
      <c r="CN42" s="12" t="s">
        <v>296</v>
      </c>
      <c r="CO42" s="12" t="b">
        <v>1</v>
      </c>
    </row>
    <row r="43" spans="2:93">
      <c r="B43" s="8"/>
      <c r="C43" s="8"/>
      <c r="E43" s="8"/>
      <c r="F43" s="8"/>
      <c r="G43" s="8"/>
      <c r="H43" s="8"/>
      <c r="I43" s="8"/>
      <c r="J43" s="8"/>
      <c r="K43" s="34"/>
      <c r="L43" s="8"/>
      <c r="M43" s="8"/>
      <c r="N43" s="34"/>
      <c r="O43" s="34"/>
      <c r="P43" s="8"/>
      <c r="Q43" s="8"/>
      <c r="R43" s="8"/>
      <c r="S43" s="8"/>
      <c r="T43" s="8"/>
      <c r="U43" s="8"/>
      <c r="V43" s="8"/>
      <c r="W43" s="8"/>
      <c r="X43" s="8"/>
      <c r="Y43" s="34"/>
      <c r="Z43" s="8"/>
      <c r="AA43" s="8"/>
      <c r="AC43" s="8"/>
      <c r="AE43" s="8"/>
      <c r="AF43" s="8"/>
      <c r="AG43" s="8"/>
      <c r="AH43" s="8"/>
      <c r="AJ43" s="8" t="s">
        <v>759</v>
      </c>
      <c r="AK43" s="8" t="s">
        <v>760</v>
      </c>
      <c r="AL43" s="12" t="str">
        <v>Cumulative_New_Storage_Energy_Capacity_MWh</v>
      </c>
      <c r="AN43" s="8"/>
      <c r="AO43" s="8"/>
      <c r="AP43" s="8"/>
      <c r="AQ43" s="8"/>
      <c r="AR43" s="8"/>
      <c r="AS43" s="8"/>
      <c r="AT43" s="8"/>
      <c r="AU43" s="8"/>
      <c r="AV43" s="8"/>
      <c r="AW43" s="8"/>
      <c r="AX43" s="8"/>
      <c r="AY43" s="8"/>
      <c r="AZ43" s="8"/>
      <c r="BA43" s="8"/>
      <c r="BB43" s="8"/>
      <c r="BC43" s="8"/>
      <c r="BD43" s="8"/>
      <c r="BE43" s="8"/>
      <c r="BF43" s="12"/>
      <c r="BH43" s="12"/>
      <c r="BI43" s="12"/>
      <c r="BJ43" s="12"/>
      <c r="BK43" s="12"/>
      <c r="BQ43" s="8"/>
      <c r="BR43" s="8" t="s">
        <v>928</v>
      </c>
      <c r="BT43" s="8"/>
      <c r="BV43" s="8"/>
      <c r="BX43" s="8"/>
      <c r="BZ43" s="12" t="s">
        <v>657</v>
      </c>
      <c r="CA43" s="12" t="s">
        <v>761</v>
      </c>
      <c r="CB43" s="114" t="s">
        <v>762</v>
      </c>
      <c r="CC43" s="12" t="s">
        <v>237</v>
      </c>
      <c r="CD43" s="12" t="s">
        <v>763</v>
      </c>
      <c r="CE43" s="12"/>
      <c r="CF43" s="12" t="b">
        <v>0</v>
      </c>
      <c r="CH43" s="12" t="s">
        <v>651</v>
      </c>
      <c r="CI43" s="12" t="s">
        <v>375</v>
      </c>
      <c r="CJ43" s="12" t="s">
        <v>444</v>
      </c>
      <c r="CK43" s="12" t="s">
        <v>444</v>
      </c>
      <c r="CL43" s="12" t="s">
        <v>637</v>
      </c>
      <c r="CM43" s="12" t="s">
        <v>874</v>
      </c>
      <c r="CN43" s="12" t="s">
        <v>296</v>
      </c>
      <c r="CO43" s="12" t="b">
        <v>1</v>
      </c>
    </row>
    <row r="44" spans="2:93">
      <c r="B44" s="8"/>
      <c r="C44" s="8"/>
      <c r="E44" s="8"/>
      <c r="F44" s="8"/>
      <c r="G44" s="8"/>
      <c r="H44" s="8"/>
      <c r="I44" s="8"/>
      <c r="J44" s="8"/>
      <c r="K44" s="34"/>
      <c r="L44" s="8"/>
      <c r="M44" s="8"/>
      <c r="N44" s="34"/>
      <c r="O44" s="34"/>
      <c r="P44" s="8"/>
      <c r="Q44" s="8"/>
      <c r="R44" s="8"/>
      <c r="S44" s="8"/>
      <c r="T44" s="8"/>
      <c r="U44" s="8"/>
      <c r="V44" s="8"/>
      <c r="W44" s="8"/>
      <c r="X44" s="8"/>
      <c r="Y44" s="34"/>
      <c r="Z44" s="8"/>
      <c r="AA44" s="8"/>
      <c r="AC44" s="8"/>
      <c r="AE44" s="8"/>
      <c r="AF44" s="8"/>
      <c r="AG44" s="8"/>
      <c r="AH44" s="8"/>
      <c r="AJ44" s="8" t="s">
        <v>764</v>
      </c>
      <c r="AK44" s="8" t="s">
        <v>765</v>
      </c>
      <c r="AL44" s="12" t="str">
        <v>Daily_Budget_Slack</v>
      </c>
      <c r="AN44" s="8"/>
      <c r="AO44" s="8"/>
      <c r="AP44" s="8"/>
      <c r="AQ44" s="8"/>
      <c r="AR44" s="8"/>
      <c r="AS44" s="8"/>
      <c r="AT44" s="8"/>
      <c r="AU44" s="8"/>
      <c r="AV44" s="8"/>
      <c r="AW44" s="8"/>
      <c r="AX44" s="8"/>
      <c r="AY44" s="8"/>
      <c r="AZ44" s="8"/>
      <c r="BA44" s="8"/>
      <c r="BB44" s="8"/>
      <c r="BC44" s="8"/>
      <c r="BD44" s="8"/>
      <c r="BE44" s="8"/>
      <c r="BF44" s="12"/>
      <c r="BH44" s="12"/>
      <c r="BI44" s="12"/>
      <c r="BJ44" s="12"/>
      <c r="BK44" s="12"/>
      <c r="BQ44" s="8"/>
      <c r="BR44" s="8" t="s">
        <v>929</v>
      </c>
      <c r="BT44" s="8"/>
      <c r="BV44" s="8"/>
      <c r="BX44" s="8"/>
      <c r="BZ44" s="12" t="s">
        <v>657</v>
      </c>
      <c r="CA44" s="12" t="s">
        <v>761</v>
      </c>
      <c r="CB44" s="12" t="s">
        <v>652</v>
      </c>
      <c r="CC44" s="12" t="s">
        <v>296</v>
      </c>
      <c r="CD44" s="12" t="s">
        <v>763</v>
      </c>
      <c r="CE44" s="12"/>
      <c r="CF44" s="12" t="b">
        <v>0</v>
      </c>
      <c r="CH44" s="12" t="s">
        <v>634</v>
      </c>
      <c r="CI44" s="12" t="s">
        <v>375</v>
      </c>
      <c r="CJ44" s="12" t="s">
        <v>446</v>
      </c>
      <c r="CK44" s="12" t="s">
        <v>446</v>
      </c>
      <c r="CL44" s="12" t="s">
        <v>637</v>
      </c>
      <c r="CM44" s="12" t="s">
        <v>874</v>
      </c>
      <c r="CN44" s="12" t="s">
        <v>296</v>
      </c>
      <c r="CO44" s="12" t="b">
        <v>0</v>
      </c>
    </row>
    <row r="45" spans="2:93">
      <c r="B45" s="8"/>
      <c r="C45" s="8"/>
      <c r="E45" s="8"/>
      <c r="F45" s="8"/>
      <c r="G45" s="8"/>
      <c r="H45" s="8"/>
      <c r="I45" s="8"/>
      <c r="J45" s="8"/>
      <c r="K45" s="34"/>
      <c r="L45" s="8"/>
      <c r="M45" s="8"/>
      <c r="N45" s="34"/>
      <c r="O45" s="34"/>
      <c r="P45" s="8"/>
      <c r="Q45" s="8"/>
      <c r="R45" s="8"/>
      <c r="S45" s="8"/>
      <c r="T45" s="8"/>
      <c r="U45" s="8"/>
      <c r="V45" s="8"/>
      <c r="W45" s="8"/>
      <c r="X45" s="8"/>
      <c r="Y45" s="34"/>
      <c r="Z45" s="8"/>
      <c r="AA45" s="8"/>
      <c r="AC45" s="8"/>
      <c r="AE45" s="8"/>
      <c r="AF45" s="8"/>
      <c r="AG45" s="8"/>
      <c r="AH45" s="8"/>
      <c r="AJ45" s="8" t="s">
        <v>766</v>
      </c>
      <c r="AK45" s="8" t="s">
        <v>767</v>
      </c>
      <c r="AL45" s="12" t="str">
        <v>ELCC_Facet_Value</v>
      </c>
      <c r="AN45" s="8"/>
      <c r="AO45" s="8"/>
      <c r="AP45" s="8"/>
      <c r="AQ45" s="8"/>
      <c r="AR45" s="8"/>
      <c r="AS45" s="8"/>
      <c r="AT45" s="8"/>
      <c r="AU45" s="8"/>
      <c r="AV45" s="8"/>
      <c r="AW45" s="8"/>
      <c r="AX45" s="8"/>
      <c r="AY45" s="8"/>
      <c r="AZ45" s="8"/>
      <c r="BA45" s="8"/>
      <c r="BB45" s="8"/>
      <c r="BC45" s="8"/>
      <c r="BD45" s="8"/>
      <c r="BE45" s="8"/>
      <c r="BF45" s="12"/>
      <c r="BH45" s="12"/>
      <c r="BI45" s="12"/>
      <c r="BJ45" s="12"/>
      <c r="BK45" s="12"/>
      <c r="BQ45" s="8"/>
      <c r="BR45" s="8" t="s">
        <v>930</v>
      </c>
      <c r="BT45" s="8"/>
      <c r="BV45" s="8"/>
      <c r="BX45" s="8"/>
      <c r="BZ45" s="12" t="s">
        <v>657</v>
      </c>
      <c r="CA45" s="12" t="s">
        <v>768</v>
      </c>
      <c r="CB45" s="114" t="s">
        <v>762</v>
      </c>
      <c r="CC45" s="12" t="s">
        <v>239</v>
      </c>
      <c r="CD45" s="12" t="s">
        <v>769</v>
      </c>
      <c r="CE45" s="12"/>
      <c r="CF45" s="12" t="b">
        <v>0</v>
      </c>
      <c r="CH45" s="12" t="s">
        <v>634</v>
      </c>
      <c r="CI45" s="12" t="s">
        <v>375</v>
      </c>
      <c r="CJ45" s="12" t="s">
        <v>671</v>
      </c>
      <c r="CK45" s="12" t="s">
        <v>671</v>
      </c>
      <c r="CL45" s="12" t="s">
        <v>643</v>
      </c>
      <c r="CM45" s="12" t="s">
        <v>874</v>
      </c>
      <c r="CN45" s="12" t="s">
        <v>296</v>
      </c>
      <c r="CO45" s="12" t="b">
        <v>1</v>
      </c>
    </row>
    <row r="46" spans="2:93">
      <c r="B46" s="8"/>
      <c r="C46" s="8"/>
      <c r="E46" s="8"/>
      <c r="F46" s="8"/>
      <c r="G46" s="8"/>
      <c r="H46" s="8"/>
      <c r="I46" s="8"/>
      <c r="J46" s="8"/>
      <c r="K46" s="34"/>
      <c r="L46" s="8"/>
      <c r="M46" s="8"/>
      <c r="N46" s="34"/>
      <c r="O46" s="34"/>
      <c r="P46" s="8"/>
      <c r="Q46" s="8"/>
      <c r="R46" s="8"/>
      <c r="S46" s="8"/>
      <c r="T46" s="8"/>
      <c r="U46" s="8"/>
      <c r="V46" s="8"/>
      <c r="W46" s="8"/>
      <c r="X46" s="8"/>
      <c r="Y46" s="34"/>
      <c r="Z46" s="8"/>
      <c r="AA46" s="8"/>
      <c r="AC46" s="8"/>
      <c r="AE46" s="8"/>
      <c r="AF46" s="8"/>
      <c r="AG46" s="8"/>
      <c r="AH46" s="8"/>
      <c r="AJ46" s="8" t="s">
        <v>770</v>
      </c>
      <c r="AK46" s="8" t="s">
        <v>771</v>
      </c>
      <c r="AL46" s="12" t="str">
        <v>ELCC_LHS</v>
      </c>
      <c r="AN46" s="8"/>
      <c r="AO46" s="8"/>
      <c r="AP46" s="8"/>
      <c r="AQ46" s="8"/>
      <c r="AR46" s="8"/>
      <c r="AS46" s="8"/>
      <c r="AT46" s="8"/>
      <c r="AU46" s="8"/>
      <c r="AV46" s="8"/>
      <c r="AW46" s="8"/>
      <c r="AX46" s="8"/>
      <c r="AY46" s="8"/>
      <c r="AZ46" s="8"/>
      <c r="BA46" s="8"/>
      <c r="BB46" s="8"/>
      <c r="BC46" s="8"/>
      <c r="BD46" s="8"/>
      <c r="BE46" s="8"/>
      <c r="BF46" s="12"/>
      <c r="BH46" s="12"/>
      <c r="BI46" s="12"/>
      <c r="BJ46" s="12"/>
      <c r="BK46" s="12"/>
      <c r="BQ46" s="8"/>
      <c r="BR46" s="8" t="s">
        <v>931</v>
      </c>
      <c r="BT46" s="8"/>
      <c r="BV46" s="8"/>
      <c r="BX46" s="8"/>
      <c r="BZ46" s="12" t="s">
        <v>657</v>
      </c>
      <c r="CA46" s="12" t="s">
        <v>768</v>
      </c>
      <c r="CB46" s="12" t="s">
        <v>652</v>
      </c>
      <c r="CC46" s="12" t="s">
        <v>296</v>
      </c>
      <c r="CD46" s="12" t="s">
        <v>769</v>
      </c>
      <c r="CE46" s="12"/>
      <c r="CF46" s="12" t="b">
        <v>0</v>
      </c>
      <c r="CH46" s="12" t="s">
        <v>657</v>
      </c>
      <c r="CI46" s="12" t="s">
        <v>375</v>
      </c>
      <c r="CJ46" s="12" t="s">
        <v>445</v>
      </c>
      <c r="CK46" s="12" t="s">
        <v>445</v>
      </c>
      <c r="CL46" s="12" t="s">
        <v>637</v>
      </c>
      <c r="CM46" s="12" t="s">
        <v>874</v>
      </c>
      <c r="CN46" s="12" t="s">
        <v>296</v>
      </c>
      <c r="CO46" s="12" t="b">
        <v>1</v>
      </c>
    </row>
    <row r="47" spans="2:93">
      <c r="B47" s="8"/>
      <c r="C47" s="8"/>
      <c r="E47" s="8"/>
      <c r="F47" s="8"/>
      <c r="G47" s="8"/>
      <c r="H47" s="8"/>
      <c r="I47" s="8"/>
      <c r="J47" s="8"/>
      <c r="K47" s="34"/>
      <c r="L47" s="8"/>
      <c r="M47" s="8"/>
      <c r="N47" s="34"/>
      <c r="O47" s="34"/>
      <c r="P47" s="8"/>
      <c r="Q47" s="8"/>
      <c r="R47" s="8"/>
      <c r="S47" s="8"/>
      <c r="T47" s="8"/>
      <c r="U47" s="8"/>
      <c r="V47" s="8"/>
      <c r="W47" s="8"/>
      <c r="X47" s="8"/>
      <c r="Y47" s="34"/>
      <c r="Z47" s="8"/>
      <c r="AA47" s="8"/>
      <c r="AC47" s="8"/>
      <c r="AE47" s="8"/>
      <c r="AF47" s="8"/>
      <c r="AG47" s="8"/>
      <c r="AH47" s="8"/>
      <c r="AJ47" s="8" t="s">
        <v>772</v>
      </c>
      <c r="AK47" s="8" t="s">
        <v>773</v>
      </c>
      <c r="AL47" s="12" t="str">
        <v>ELCC_MW</v>
      </c>
      <c r="AN47" s="8"/>
      <c r="AO47" s="8"/>
      <c r="AP47" s="8"/>
      <c r="AQ47" s="8"/>
      <c r="AR47" s="8"/>
      <c r="AS47" s="8"/>
      <c r="AT47" s="8"/>
      <c r="AU47" s="8"/>
      <c r="AV47" s="8"/>
      <c r="AW47" s="8"/>
      <c r="AX47" s="8"/>
      <c r="AY47" s="8"/>
      <c r="AZ47" s="8"/>
      <c r="BA47" s="8"/>
      <c r="BB47" s="8"/>
      <c r="BC47" s="8"/>
      <c r="BD47" s="8"/>
      <c r="BE47" s="8"/>
      <c r="BF47" s="12"/>
      <c r="BH47" s="12"/>
      <c r="BI47" s="12"/>
      <c r="BJ47" s="12"/>
      <c r="BK47" s="12"/>
      <c r="BQ47" s="8"/>
      <c r="BR47" s="8" t="s">
        <v>932</v>
      </c>
      <c r="BT47" s="8"/>
      <c r="BV47" s="8"/>
      <c r="BX47" s="8"/>
      <c r="BZ47" s="12" t="s">
        <v>657</v>
      </c>
      <c r="CA47" s="12" t="s">
        <v>761</v>
      </c>
      <c r="CB47" s="12" t="s">
        <v>641</v>
      </c>
      <c r="CC47" s="12" t="s">
        <v>672</v>
      </c>
      <c r="CD47" s="12" t="s">
        <v>774</v>
      </c>
      <c r="CE47" s="12"/>
      <c r="CF47" s="12" t="b">
        <v>1</v>
      </c>
      <c r="CH47" s="12" t="s">
        <v>634</v>
      </c>
      <c r="CI47" s="12" t="s">
        <v>377</v>
      </c>
      <c r="CJ47" s="12" t="s">
        <v>406</v>
      </c>
      <c r="CK47" s="12" t="s">
        <v>406</v>
      </c>
      <c r="CL47" s="12" t="s">
        <v>643</v>
      </c>
      <c r="CM47" s="12" t="s">
        <v>875</v>
      </c>
      <c r="CN47" s="12" t="s">
        <v>296</v>
      </c>
      <c r="CO47" s="12" t="b">
        <v>1</v>
      </c>
    </row>
    <row r="48" spans="2:93">
      <c r="B48" s="8"/>
      <c r="C48" s="8"/>
      <c r="E48" s="8"/>
      <c r="F48" s="8"/>
      <c r="G48" s="8"/>
      <c r="H48" s="8"/>
      <c r="I48" s="8"/>
      <c r="J48" s="8"/>
      <c r="K48" s="34"/>
      <c r="L48" s="8"/>
      <c r="M48" s="8"/>
      <c r="N48" s="34"/>
      <c r="O48" s="34"/>
      <c r="P48" s="8"/>
      <c r="Q48" s="8"/>
      <c r="R48" s="8"/>
      <c r="S48" s="8"/>
      <c r="T48" s="8"/>
      <c r="U48" s="8"/>
      <c r="V48" s="8"/>
      <c r="W48" s="8"/>
      <c r="X48" s="8"/>
      <c r="Y48" s="34"/>
      <c r="Z48" s="8"/>
      <c r="AA48" s="8"/>
      <c r="AC48" s="8"/>
      <c r="AE48" s="8"/>
      <c r="AF48" s="8"/>
      <c r="AG48" s="8"/>
      <c r="AH48" s="8"/>
      <c r="AJ48" s="8" t="s">
        <v>775</v>
      </c>
      <c r="AK48" s="8" t="s">
        <v>776</v>
      </c>
      <c r="AL48" s="12" t="str">
        <v>Emissions_Constraint_LHS</v>
      </c>
      <c r="AN48" s="8"/>
      <c r="AO48" s="8"/>
      <c r="AP48" s="8"/>
      <c r="AQ48" s="8"/>
      <c r="AR48" s="8"/>
      <c r="AS48" s="8"/>
      <c r="AT48" s="8"/>
      <c r="AU48" s="8"/>
      <c r="AV48" s="8"/>
      <c r="AW48" s="8"/>
      <c r="AX48" s="8"/>
      <c r="AY48" s="8"/>
      <c r="AZ48" s="8"/>
      <c r="BA48" s="8"/>
      <c r="BB48" s="8"/>
      <c r="BC48" s="8"/>
      <c r="BD48" s="8"/>
      <c r="BE48" s="8"/>
      <c r="BF48" s="12"/>
      <c r="BH48" s="12"/>
      <c r="BI48" s="12"/>
      <c r="BJ48" s="12"/>
      <c r="BK48" s="12"/>
      <c r="BQ48" s="8"/>
      <c r="BR48" s="8" t="s">
        <v>933</v>
      </c>
      <c r="BT48" s="8"/>
      <c r="BV48" s="8"/>
      <c r="BX48" s="8"/>
      <c r="BZ48" s="12"/>
      <c r="CA48" s="12"/>
      <c r="CB48" s="12"/>
      <c r="CC48" s="12"/>
      <c r="CD48" s="12"/>
      <c r="CE48" s="12"/>
      <c r="CF48" s="12"/>
      <c r="CH48" s="12" t="s">
        <v>651</v>
      </c>
      <c r="CI48" s="12" t="s">
        <v>377</v>
      </c>
      <c r="CJ48" s="12" t="s">
        <v>444</v>
      </c>
      <c r="CK48" s="12" t="s">
        <v>444</v>
      </c>
      <c r="CL48" s="12" t="s">
        <v>637</v>
      </c>
      <c r="CM48" s="12" t="s">
        <v>875</v>
      </c>
      <c r="CN48" s="12" t="s">
        <v>296</v>
      </c>
      <c r="CO48" s="12" t="b">
        <v>1</v>
      </c>
    </row>
    <row r="49" spans="2:93">
      <c r="B49" s="8"/>
      <c r="C49" s="8"/>
      <c r="E49" s="8"/>
      <c r="F49" s="8"/>
      <c r="G49" s="8"/>
      <c r="H49" s="8"/>
      <c r="I49" s="8"/>
      <c r="J49" s="8"/>
      <c r="K49" s="34"/>
      <c r="L49" s="8"/>
      <c r="M49" s="8"/>
      <c r="N49" s="34"/>
      <c r="O49" s="34"/>
      <c r="P49" s="8"/>
      <c r="Q49" s="8"/>
      <c r="R49" s="8"/>
      <c r="S49" s="8"/>
      <c r="T49" s="8"/>
      <c r="U49" s="8"/>
      <c r="V49" s="8"/>
      <c r="W49" s="8"/>
      <c r="X49" s="8"/>
      <c r="Y49" s="34"/>
      <c r="Z49" s="8"/>
      <c r="AA49" s="8"/>
      <c r="AC49" s="8"/>
      <c r="AE49" s="8"/>
      <c r="AF49" s="8"/>
      <c r="AG49" s="8"/>
      <c r="AH49" s="8"/>
      <c r="AJ49" s="8" t="s">
        <v>777</v>
      </c>
      <c r="AK49" s="8" t="s">
        <v>778</v>
      </c>
      <c r="AL49" s="12" t="str">
        <v>Energy_Constraint_LHS</v>
      </c>
      <c r="AN49" s="8"/>
      <c r="AO49" s="8"/>
      <c r="AP49" s="8"/>
      <c r="AQ49" s="8"/>
      <c r="AR49" s="8"/>
      <c r="AS49" s="8"/>
      <c r="AT49" s="8"/>
      <c r="AU49" s="8"/>
      <c r="AV49" s="8"/>
      <c r="AW49" s="8"/>
      <c r="AX49" s="8"/>
      <c r="AY49" s="8"/>
      <c r="AZ49" s="8"/>
      <c r="BA49" s="8"/>
      <c r="BB49" s="8"/>
      <c r="BC49" s="8"/>
      <c r="BD49" s="8"/>
      <c r="BE49" s="8"/>
      <c r="BF49" s="12"/>
      <c r="BH49" s="12"/>
      <c r="BI49" s="12"/>
      <c r="BJ49" s="12"/>
      <c r="BK49" s="12"/>
      <c r="BQ49" s="8"/>
      <c r="BR49" s="8" t="s">
        <v>934</v>
      </c>
      <c r="BT49" s="8"/>
      <c r="BV49" s="8"/>
      <c r="BX49" s="8"/>
      <c r="BZ49" s="12"/>
      <c r="CA49" s="12"/>
      <c r="CB49" s="12"/>
      <c r="CC49" s="12"/>
      <c r="CD49" s="12"/>
      <c r="CE49" s="12"/>
      <c r="CF49" s="12"/>
      <c r="CH49" s="12" t="s">
        <v>634</v>
      </c>
      <c r="CI49" s="12" t="s">
        <v>377</v>
      </c>
      <c r="CJ49" s="12" t="s">
        <v>407</v>
      </c>
      <c r="CK49" s="12" t="s">
        <v>407</v>
      </c>
      <c r="CL49" s="12" t="s">
        <v>637</v>
      </c>
      <c r="CM49" s="12" t="s">
        <v>875</v>
      </c>
      <c r="CN49" s="12" t="s">
        <v>296</v>
      </c>
      <c r="CO49" s="12" t="b">
        <v>1</v>
      </c>
    </row>
    <row r="50" spans="2:93">
      <c r="B50" s="8"/>
      <c r="C50" s="8"/>
      <c r="E50" s="8"/>
      <c r="F50" s="8"/>
      <c r="G50" s="8"/>
      <c r="H50" s="8"/>
      <c r="I50" s="8"/>
      <c r="J50" s="8"/>
      <c r="K50" s="34"/>
      <c r="L50" s="8"/>
      <c r="M50" s="8"/>
      <c r="N50" s="34"/>
      <c r="O50" s="34"/>
      <c r="P50" s="8"/>
      <c r="Q50" s="8"/>
      <c r="R50" s="8"/>
      <c r="S50" s="8"/>
      <c r="T50" s="8"/>
      <c r="U50" s="8"/>
      <c r="V50" s="8"/>
      <c r="W50" s="8"/>
      <c r="X50" s="8"/>
      <c r="Y50" s="34"/>
      <c r="Z50" s="8"/>
      <c r="AA50" s="8"/>
      <c r="AC50" s="8"/>
      <c r="AE50" s="8"/>
      <c r="AF50" s="8"/>
      <c r="AG50" s="8"/>
      <c r="AH50" s="8"/>
      <c r="AJ50" s="8" t="s">
        <v>779</v>
      </c>
      <c r="AK50" s="8" t="s">
        <v>780</v>
      </c>
      <c r="AL50" s="12" t="str">
        <v>Energy_Policy_Annual_Contribution_By_Resource</v>
      </c>
      <c r="AN50" s="8"/>
      <c r="AO50" s="8"/>
      <c r="AP50" s="8"/>
      <c r="AQ50" s="8"/>
      <c r="AR50" s="8"/>
      <c r="AS50" s="8"/>
      <c r="AT50" s="8"/>
      <c r="AU50" s="8"/>
      <c r="AV50" s="8"/>
      <c r="AW50" s="8"/>
      <c r="AX50" s="8"/>
      <c r="AY50" s="8"/>
      <c r="AZ50" s="8"/>
      <c r="BA50" s="8"/>
      <c r="BB50" s="8"/>
      <c r="BC50" s="8"/>
      <c r="BD50" s="8"/>
      <c r="BE50" s="8"/>
      <c r="BF50" s="12"/>
      <c r="BH50" s="12"/>
      <c r="BI50" s="12"/>
      <c r="BJ50" s="12"/>
      <c r="BK50" s="12"/>
      <c r="BQ50" s="8"/>
      <c r="BR50" s="8" t="s">
        <v>935</v>
      </c>
      <c r="BT50" s="8"/>
      <c r="BV50" s="8"/>
      <c r="BX50" s="8"/>
      <c r="BZ50" s="12"/>
      <c r="CA50" s="12"/>
      <c r="CB50" s="12"/>
      <c r="CC50" s="12"/>
      <c r="CD50" s="12"/>
      <c r="CE50" s="12"/>
      <c r="CF50" s="12"/>
      <c r="CH50" s="12" t="s">
        <v>634</v>
      </c>
      <c r="CI50" s="12" t="s">
        <v>377</v>
      </c>
      <c r="CJ50" s="12" t="s">
        <v>671</v>
      </c>
      <c r="CK50" s="12" t="s">
        <v>671</v>
      </c>
      <c r="CL50" s="12" t="s">
        <v>643</v>
      </c>
      <c r="CM50" s="12" t="s">
        <v>875</v>
      </c>
      <c r="CN50" s="12" t="s">
        <v>296</v>
      </c>
      <c r="CO50" s="12" t="b">
        <v>1</v>
      </c>
    </row>
    <row r="51" spans="2:93">
      <c r="B51" s="8"/>
      <c r="C51" s="8"/>
      <c r="E51" s="8"/>
      <c r="F51" s="8"/>
      <c r="G51" s="8"/>
      <c r="H51" s="8"/>
      <c r="I51" s="8"/>
      <c r="J51" s="8"/>
      <c r="K51" s="34"/>
      <c r="L51" s="8"/>
      <c r="M51" s="8"/>
      <c r="N51" s="34"/>
      <c r="O51" s="34"/>
      <c r="P51" s="8"/>
      <c r="Q51" s="8"/>
      <c r="R51" s="8"/>
      <c r="S51" s="8"/>
      <c r="T51" s="8"/>
      <c r="U51" s="8"/>
      <c r="V51" s="8"/>
      <c r="W51" s="8"/>
      <c r="X51" s="8"/>
      <c r="Y51" s="34"/>
      <c r="Z51" s="8"/>
      <c r="AA51" s="8"/>
      <c r="AC51" s="8"/>
      <c r="AE51" s="8"/>
      <c r="AF51" s="8"/>
      <c r="AG51" s="8"/>
      <c r="AH51" s="8"/>
      <c r="AJ51" s="8" t="s">
        <v>781</v>
      </c>
      <c r="AK51" s="8" t="s">
        <v>782</v>
      </c>
      <c r="AL51" s="12" t="str">
        <v>Fuel_Conversion_Plant_Consumption_In_Timepoint_MMBTU</v>
      </c>
      <c r="AN51" s="8"/>
      <c r="AO51" s="8"/>
      <c r="AP51" s="8"/>
      <c r="AQ51" s="8"/>
      <c r="AR51" s="8"/>
      <c r="AS51" s="8"/>
      <c r="AT51" s="8"/>
      <c r="AU51" s="8"/>
      <c r="AV51" s="8"/>
      <c r="AW51" s="8"/>
      <c r="AX51" s="8"/>
      <c r="AY51" s="8"/>
      <c r="AZ51" s="8"/>
      <c r="BA51" s="8"/>
      <c r="BB51" s="8"/>
      <c r="BC51" s="8"/>
      <c r="BD51" s="8"/>
      <c r="BE51" s="8"/>
      <c r="BF51" s="12"/>
      <c r="BH51" s="12"/>
      <c r="BI51" s="12"/>
      <c r="BJ51" s="12"/>
      <c r="BK51" s="12"/>
      <c r="BQ51" s="8"/>
      <c r="BR51" s="8"/>
      <c r="BT51" s="8"/>
      <c r="BV51" s="8"/>
      <c r="BX51" s="8"/>
      <c r="CH51" s="12" t="s">
        <v>657</v>
      </c>
      <c r="CI51" s="12" t="s">
        <v>377</v>
      </c>
      <c r="CJ51" s="12" t="s">
        <v>445</v>
      </c>
      <c r="CK51" s="12" t="s">
        <v>445</v>
      </c>
      <c r="CL51" s="12" t="s">
        <v>637</v>
      </c>
      <c r="CM51" s="12" t="s">
        <v>875</v>
      </c>
      <c r="CN51" s="12" t="s">
        <v>296</v>
      </c>
      <c r="CO51" s="12" t="b">
        <v>1</v>
      </c>
    </row>
    <row r="52" spans="2:93">
      <c r="B52" s="8"/>
      <c r="C52" s="8"/>
      <c r="E52" s="8"/>
      <c r="F52" s="8"/>
      <c r="G52" s="8"/>
      <c r="H52" s="8"/>
      <c r="I52" s="8"/>
      <c r="J52" s="8"/>
      <c r="K52" s="34"/>
      <c r="L52" s="8"/>
      <c r="M52" s="8"/>
      <c r="N52" s="34"/>
      <c r="O52" s="34"/>
      <c r="P52" s="8"/>
      <c r="Q52" s="8"/>
      <c r="R52" s="8"/>
      <c r="S52" s="8"/>
      <c r="T52" s="8"/>
      <c r="U52" s="8"/>
      <c r="V52" s="8"/>
      <c r="W52" s="8"/>
      <c r="X52" s="8"/>
      <c r="Y52" s="34"/>
      <c r="Z52" s="8"/>
      <c r="AA52" s="8"/>
      <c r="AC52" s="8"/>
      <c r="AE52" s="8"/>
      <c r="AF52" s="8"/>
      <c r="AG52" s="8"/>
      <c r="AH52" s="8"/>
      <c r="AJ52" s="8"/>
      <c r="AK52" s="8" t="s">
        <v>783</v>
      </c>
      <c r="AL52" s="12" t="str">
        <v>Fuel_Conversion_Plant_Fuel_Cost</v>
      </c>
      <c r="AN52" s="8"/>
      <c r="AO52" s="8"/>
      <c r="AP52" s="8"/>
      <c r="AQ52" s="8"/>
      <c r="AR52" s="8"/>
      <c r="AS52" s="8"/>
      <c r="AT52" s="8"/>
      <c r="AU52" s="8"/>
      <c r="AV52" s="8"/>
      <c r="AW52" s="8"/>
      <c r="AX52" s="8"/>
      <c r="AY52" s="8"/>
      <c r="AZ52" s="8"/>
      <c r="BA52" s="8"/>
      <c r="BB52" s="8"/>
      <c r="BC52" s="8"/>
      <c r="BD52" s="8"/>
      <c r="BE52" s="8"/>
      <c r="BF52" s="12"/>
      <c r="BH52" s="12"/>
      <c r="BI52" s="12"/>
      <c r="BJ52" s="12"/>
      <c r="BK52" s="12"/>
      <c r="BQ52" s="8"/>
      <c r="BR52" s="8"/>
      <c r="BT52" s="8"/>
      <c r="BV52" s="8"/>
      <c r="BX52" s="8"/>
      <c r="CH52" s="12" t="s">
        <v>651</v>
      </c>
      <c r="CI52" s="12" t="s">
        <v>612</v>
      </c>
      <c r="CJ52" s="12" t="s">
        <v>665</v>
      </c>
      <c r="CK52" s="12" t="s">
        <v>665</v>
      </c>
      <c r="CL52" s="12" t="s">
        <v>648</v>
      </c>
      <c r="CM52" s="12" t="s">
        <v>784</v>
      </c>
      <c r="CN52" s="12"/>
      <c r="CO52" s="12"/>
    </row>
    <row r="53" spans="2:93">
      <c r="B53" s="8"/>
      <c r="C53" s="8"/>
      <c r="E53" s="8"/>
      <c r="F53" s="8"/>
      <c r="G53" s="8"/>
      <c r="H53" s="8"/>
      <c r="I53" s="8"/>
      <c r="J53" s="8"/>
      <c r="K53" s="34"/>
      <c r="L53" s="8"/>
      <c r="M53" s="8"/>
      <c r="N53" s="34"/>
      <c r="O53" s="34"/>
      <c r="P53" s="8"/>
      <c r="Q53" s="8"/>
      <c r="R53" s="8"/>
      <c r="S53" s="8"/>
      <c r="T53" s="8"/>
      <c r="U53" s="8"/>
      <c r="V53" s="8"/>
      <c r="W53" s="8"/>
      <c r="X53" s="8"/>
      <c r="Y53" s="34"/>
      <c r="Z53" s="8"/>
      <c r="AA53" s="8"/>
      <c r="AC53" s="8"/>
      <c r="AE53" s="8"/>
      <c r="AF53" s="8"/>
      <c r="AG53" s="8"/>
      <c r="AH53" s="8"/>
      <c r="AJ53" s="8"/>
      <c r="AK53" s="8" t="s">
        <v>785</v>
      </c>
      <c r="AL53" s="12" t="str">
        <v>Fuel_Storage_Consumption_Increase_Load_Capacity_In_Timepoint_MW</v>
      </c>
      <c r="AN53" s="8"/>
      <c r="AO53" s="8"/>
      <c r="AP53" s="8"/>
      <c r="AQ53" s="8"/>
      <c r="AR53" s="8"/>
      <c r="AS53" s="8"/>
      <c r="AT53" s="8"/>
      <c r="AU53" s="8"/>
      <c r="AV53" s="8"/>
      <c r="AW53" s="8"/>
      <c r="AX53" s="8"/>
      <c r="AY53" s="8"/>
      <c r="AZ53" s="8"/>
      <c r="BA53" s="8"/>
      <c r="BB53" s="8"/>
      <c r="BC53" s="8"/>
      <c r="BD53" s="8"/>
      <c r="BE53" s="8"/>
      <c r="BF53" s="12"/>
      <c r="BH53" s="12"/>
      <c r="BI53" s="12"/>
      <c r="BJ53" s="12"/>
      <c r="BK53" s="12"/>
      <c r="BQ53" s="8"/>
      <c r="BR53" s="8"/>
      <c r="BT53" s="8"/>
      <c r="BV53" s="8"/>
      <c r="BX53" s="8"/>
      <c r="CH53" s="12" t="s">
        <v>657</v>
      </c>
      <c r="CI53" s="12" t="s">
        <v>375</v>
      </c>
      <c r="CJ53" s="12" t="s">
        <v>471</v>
      </c>
      <c r="CK53" s="12" t="s">
        <v>471</v>
      </c>
      <c r="CL53" s="12" t="s">
        <v>637</v>
      </c>
      <c r="CM53" s="12" t="s">
        <v>874</v>
      </c>
      <c r="CN53" s="12" t="s">
        <v>296</v>
      </c>
      <c r="CO53" s="12" t="b">
        <v>1</v>
      </c>
    </row>
    <row r="54" spans="2:93">
      <c r="B54" s="8"/>
      <c r="C54" s="8"/>
      <c r="E54" s="8"/>
      <c r="F54" s="8"/>
      <c r="G54" s="8"/>
      <c r="H54" s="8"/>
      <c r="I54" s="8"/>
      <c r="J54" s="8"/>
      <c r="K54" s="34"/>
      <c r="L54" s="8"/>
      <c r="M54" s="8"/>
      <c r="N54" s="34"/>
      <c r="O54" s="34"/>
      <c r="P54" s="8"/>
      <c r="Q54" s="8"/>
      <c r="R54" s="8"/>
      <c r="S54" s="8"/>
      <c r="T54" s="8"/>
      <c r="U54" s="8"/>
      <c r="V54" s="8"/>
      <c r="W54" s="8"/>
      <c r="X54" s="8"/>
      <c r="Y54" s="34"/>
      <c r="Z54" s="8"/>
      <c r="AA54" s="8"/>
      <c r="AC54" s="8"/>
      <c r="AE54" s="8"/>
      <c r="AF54" s="8"/>
      <c r="AG54" s="8"/>
      <c r="AH54" s="8"/>
      <c r="AJ54" s="8"/>
      <c r="AK54" s="8" t="s">
        <v>786</v>
      </c>
      <c r="AL54" s="12" t="str">
        <v>Fuel_Storage_Production_Increase_Load_Capacity_In_Timepoint_MW</v>
      </c>
      <c r="AN54" s="8"/>
      <c r="AO54" s="8"/>
      <c r="AP54" s="8"/>
      <c r="AQ54" s="8"/>
      <c r="AR54" s="8"/>
      <c r="AS54" s="8"/>
      <c r="AT54" s="8"/>
      <c r="AU54" s="8"/>
      <c r="AV54" s="8"/>
      <c r="AW54" s="8"/>
      <c r="AX54" s="8"/>
      <c r="AY54" s="8"/>
      <c r="AZ54" s="8"/>
      <c r="BA54" s="8"/>
      <c r="BB54" s="8"/>
      <c r="BC54" s="8"/>
      <c r="BD54" s="8"/>
      <c r="BE54" s="8"/>
      <c r="BF54" s="12"/>
      <c r="BH54" s="12"/>
      <c r="BI54" s="12"/>
      <c r="BJ54" s="12"/>
      <c r="BK54" s="12"/>
      <c r="BQ54" s="8"/>
      <c r="BR54" s="8"/>
      <c r="BT54" s="8"/>
      <c r="BV54" s="8"/>
      <c r="BX54" s="8"/>
      <c r="CH54" s="12" t="s">
        <v>657</v>
      </c>
      <c r="CI54" s="12" t="s">
        <v>377</v>
      </c>
      <c r="CJ54" s="12" t="s">
        <v>471</v>
      </c>
      <c r="CK54" s="12" t="s">
        <v>471</v>
      </c>
      <c r="CL54" s="12" t="s">
        <v>637</v>
      </c>
      <c r="CM54" s="12" t="s">
        <v>875</v>
      </c>
      <c r="CN54" s="12" t="s">
        <v>296</v>
      </c>
      <c r="CO54" s="12" t="b">
        <v>1</v>
      </c>
    </row>
    <row r="55" spans="2:93">
      <c r="B55" s="8"/>
      <c r="C55" s="8"/>
      <c r="E55" s="8"/>
      <c r="F55" s="8"/>
      <c r="G55" s="8"/>
      <c r="H55" s="8"/>
      <c r="I55" s="8"/>
      <c r="J55" s="8"/>
      <c r="K55" s="34"/>
      <c r="L55" s="8"/>
      <c r="M55" s="8"/>
      <c r="N55" s="34"/>
      <c r="O55" s="34"/>
      <c r="P55" s="8"/>
      <c r="Q55" s="8"/>
      <c r="R55" s="8"/>
      <c r="S55" s="8"/>
      <c r="T55" s="8"/>
      <c r="U55" s="8"/>
      <c r="V55" s="8"/>
      <c r="W55" s="8"/>
      <c r="X55" s="8"/>
      <c r="Y55" s="34"/>
      <c r="Z55" s="8"/>
      <c r="AA55" s="8"/>
      <c r="AC55" s="8"/>
      <c r="AE55" s="8"/>
      <c r="AF55" s="8"/>
      <c r="AG55" s="8"/>
      <c r="AH55" s="8"/>
      <c r="AJ55" s="8"/>
      <c r="AK55" s="8" t="s">
        <v>787</v>
      </c>
      <c r="AL55" s="12" t="str">
        <v>Fuel_Storage_SOC_Inter_Intra_Joint</v>
      </c>
      <c r="AN55" s="8"/>
      <c r="AO55" s="8"/>
      <c r="AP55" s="8"/>
      <c r="AQ55" s="8"/>
      <c r="AR55" s="8"/>
      <c r="AS55" s="8"/>
      <c r="AT55" s="8"/>
      <c r="AU55" s="8"/>
      <c r="AV55" s="8"/>
      <c r="AW55" s="8"/>
      <c r="AX55" s="8"/>
      <c r="AY55" s="8"/>
      <c r="AZ55" s="8"/>
      <c r="BA55" s="8"/>
      <c r="BB55" s="8"/>
      <c r="BC55" s="8"/>
      <c r="BD55" s="8"/>
      <c r="BE55" s="8"/>
      <c r="BF55" s="12"/>
      <c r="BH55" s="12"/>
      <c r="BI55" s="12"/>
      <c r="BJ55" s="12"/>
      <c r="BK55" s="12"/>
      <c r="BQ55" s="8"/>
      <c r="BR55" s="8"/>
      <c r="BT55" s="8"/>
      <c r="BV55" s="8"/>
      <c r="BX55" s="8"/>
      <c r="CH55" s="12" t="s">
        <v>657</v>
      </c>
      <c r="CI55" s="12" t="s">
        <v>381</v>
      </c>
      <c r="CJ55" s="12" t="s">
        <v>471</v>
      </c>
      <c r="CK55" s="12" t="s">
        <v>471</v>
      </c>
      <c r="CL55" s="12" t="s">
        <v>637</v>
      </c>
      <c r="CM55" s="12" t="s">
        <v>871</v>
      </c>
      <c r="CN55" s="12" t="s">
        <v>296</v>
      </c>
      <c r="CO55" s="12" t="b">
        <v>1</v>
      </c>
    </row>
    <row r="56" spans="2:93">
      <c r="B56" s="8"/>
      <c r="C56" s="8"/>
      <c r="E56" s="8"/>
      <c r="F56" s="8"/>
      <c r="G56" s="8"/>
      <c r="H56" s="8"/>
      <c r="I56" s="8"/>
      <c r="J56" s="8"/>
      <c r="K56" s="34"/>
      <c r="L56" s="8"/>
      <c r="M56" s="8"/>
      <c r="N56" s="34"/>
      <c r="O56" s="34"/>
      <c r="P56" s="8"/>
      <c r="Q56" s="8"/>
      <c r="R56" s="8"/>
      <c r="S56" s="8"/>
      <c r="T56" s="8"/>
      <c r="U56" s="8"/>
      <c r="V56" s="8"/>
      <c r="W56" s="8"/>
      <c r="X56" s="8"/>
      <c r="Y56" s="34"/>
      <c r="Z56" s="8"/>
      <c r="AA56" s="8"/>
      <c r="AC56" s="8"/>
      <c r="AE56" s="8"/>
      <c r="AF56" s="8"/>
      <c r="AG56" s="8"/>
      <c r="AH56" s="8"/>
      <c r="AJ56" s="8"/>
      <c r="AK56" s="8" t="s">
        <v>788</v>
      </c>
      <c r="AL56" s="12" t="str">
        <v>Fuel_Storage_SOC_Inter_Period</v>
      </c>
      <c r="AN56" s="8"/>
      <c r="AO56" s="8"/>
      <c r="AP56" s="8"/>
      <c r="AQ56" s="8"/>
      <c r="AR56" s="8"/>
      <c r="AS56" s="8"/>
      <c r="AT56" s="8"/>
      <c r="AU56" s="8"/>
      <c r="AV56" s="8"/>
      <c r="AW56" s="8"/>
      <c r="AX56" s="8"/>
      <c r="AY56" s="8"/>
      <c r="AZ56" s="8"/>
      <c r="BA56" s="8"/>
      <c r="BB56" s="8"/>
      <c r="BC56" s="8"/>
      <c r="BD56" s="8"/>
      <c r="BE56" s="8"/>
      <c r="BF56" s="12"/>
      <c r="BH56" s="12"/>
      <c r="BI56" s="12"/>
      <c r="BJ56" s="12"/>
      <c r="BK56" s="12"/>
      <c r="BQ56" s="8"/>
      <c r="BR56" s="8"/>
      <c r="BT56" s="8"/>
      <c r="BV56" s="8"/>
      <c r="BX56" s="8"/>
      <c r="CH56" s="12" t="s">
        <v>657</v>
      </c>
      <c r="CI56" s="12" t="s">
        <v>379</v>
      </c>
      <c r="CJ56" s="12" t="s">
        <v>471</v>
      </c>
      <c r="CK56" s="12" t="s">
        <v>471</v>
      </c>
      <c r="CL56" s="12" t="s">
        <v>637</v>
      </c>
      <c r="CM56" s="12" t="s">
        <v>873</v>
      </c>
      <c r="CN56" s="12" t="s">
        <v>296</v>
      </c>
      <c r="CO56" s="12" t="b">
        <v>1</v>
      </c>
    </row>
    <row r="57" spans="2:93">
      <c r="B57" s="8"/>
      <c r="C57" s="8"/>
      <c r="E57" s="8"/>
      <c r="F57" s="8"/>
      <c r="G57" s="8"/>
      <c r="H57" s="8"/>
      <c r="I57" s="8"/>
      <c r="J57" s="8"/>
      <c r="K57" s="34"/>
      <c r="L57" s="8"/>
      <c r="M57" s="8"/>
      <c r="N57" s="34"/>
      <c r="O57" s="34"/>
      <c r="P57" s="8"/>
      <c r="Q57" s="8"/>
      <c r="R57" s="8"/>
      <c r="S57" s="8"/>
      <c r="T57" s="8"/>
      <c r="U57" s="8"/>
      <c r="V57" s="8"/>
      <c r="W57" s="8"/>
      <c r="X57" s="8"/>
      <c r="Y57" s="34"/>
      <c r="Z57" s="8"/>
      <c r="AA57" s="8"/>
      <c r="AC57" s="8"/>
      <c r="AE57" s="8"/>
      <c r="AF57" s="8"/>
      <c r="AG57" s="8"/>
      <c r="AH57" s="8"/>
      <c r="AJ57" s="8"/>
      <c r="AK57" s="8" t="s">
        <v>789</v>
      </c>
      <c r="AL57" s="12" t="str">
        <v>Fuel_Storage_SOC_Intra_Period</v>
      </c>
      <c r="AN57" s="8"/>
      <c r="AO57" s="8"/>
      <c r="AP57" s="8"/>
      <c r="AQ57" s="8"/>
      <c r="AR57" s="8"/>
      <c r="AS57" s="8"/>
      <c r="AT57" s="8"/>
      <c r="AU57" s="8"/>
      <c r="AV57" s="8"/>
      <c r="AW57" s="8"/>
      <c r="AX57" s="8"/>
      <c r="AY57" s="8"/>
      <c r="AZ57" s="8"/>
      <c r="BA57" s="8"/>
      <c r="BB57" s="8"/>
      <c r="BC57" s="8"/>
      <c r="BD57" s="8"/>
      <c r="BE57" s="8"/>
      <c r="BF57" s="12"/>
      <c r="BH57" s="12"/>
      <c r="BI57" s="12"/>
      <c r="BJ57" s="12"/>
      <c r="BK57" s="12"/>
      <c r="BQ57" s="8"/>
      <c r="BR57" s="8"/>
      <c r="BT57" s="8"/>
      <c r="BV57" s="8"/>
      <c r="BX57" s="8"/>
      <c r="CH57" s="12" t="s">
        <v>657</v>
      </c>
      <c r="CI57" s="12" t="s">
        <v>611</v>
      </c>
      <c r="CJ57" s="12" t="s">
        <v>471</v>
      </c>
      <c r="CK57" s="12" t="s">
        <v>471</v>
      </c>
      <c r="CL57" s="12" t="s">
        <v>637</v>
      </c>
      <c r="CM57" s="12" t="s">
        <v>872</v>
      </c>
      <c r="CN57" s="12" t="s">
        <v>296</v>
      </c>
      <c r="CO57" s="12" t="b">
        <v>1</v>
      </c>
    </row>
    <row r="58" spans="2:93">
      <c r="B58" s="8"/>
      <c r="C58" s="8"/>
      <c r="E58" s="8"/>
      <c r="F58" s="8"/>
      <c r="G58" s="8"/>
      <c r="H58" s="8"/>
      <c r="I58" s="8"/>
      <c r="J58" s="8"/>
      <c r="K58" s="34"/>
      <c r="L58" s="8"/>
      <c r="M58" s="8"/>
      <c r="N58" s="34"/>
      <c r="O58" s="34"/>
      <c r="P58" s="8"/>
      <c r="Q58" s="8"/>
      <c r="R58" s="8"/>
      <c r="S58" s="8"/>
      <c r="T58" s="8"/>
      <c r="U58" s="8"/>
      <c r="V58" s="8"/>
      <c r="W58" s="8"/>
      <c r="X58" s="8"/>
      <c r="Y58" s="34"/>
      <c r="Z58" s="8"/>
      <c r="AA58" s="8"/>
      <c r="AC58" s="8"/>
      <c r="AE58" s="8"/>
      <c r="AF58" s="8"/>
      <c r="AG58" s="8"/>
      <c r="AH58" s="8"/>
      <c r="AJ58" s="8"/>
      <c r="AK58" s="8" t="s">
        <v>790</v>
      </c>
      <c r="AL58" s="12" t="str">
        <v>Fuel_Transportation_Hurdle_Cost_In_Timepoint_Forward</v>
      </c>
      <c r="AN58" s="8"/>
      <c r="AO58" s="8"/>
      <c r="AP58" s="8"/>
      <c r="AQ58" s="8"/>
      <c r="AR58" s="8"/>
      <c r="AS58" s="8"/>
      <c r="AT58" s="8"/>
      <c r="AU58" s="8"/>
      <c r="AV58" s="8"/>
      <c r="AW58" s="8"/>
      <c r="AX58" s="8"/>
      <c r="AY58" s="8"/>
      <c r="AZ58" s="8"/>
      <c r="BA58" s="8"/>
      <c r="BB58" s="8"/>
      <c r="BC58" s="8"/>
      <c r="BD58" s="8"/>
      <c r="BE58" s="8"/>
      <c r="BF58" s="12"/>
      <c r="BH58" s="12"/>
      <c r="BI58" s="12"/>
      <c r="BJ58" s="12"/>
      <c r="BK58" s="12"/>
      <c r="BQ58" s="8"/>
      <c r="BR58" s="8"/>
      <c r="BT58" s="8"/>
      <c r="BV58" s="8"/>
      <c r="BX58" s="8"/>
      <c r="CH58" s="12" t="s">
        <v>657</v>
      </c>
      <c r="CI58" s="12" t="s">
        <v>538</v>
      </c>
      <c r="CJ58" s="12" t="s">
        <v>471</v>
      </c>
      <c r="CK58" s="12" t="s">
        <v>471</v>
      </c>
      <c r="CL58" s="12" t="s">
        <v>637</v>
      </c>
      <c r="CM58" s="12" t="s">
        <v>870</v>
      </c>
      <c r="CN58" s="12" t="s">
        <v>296</v>
      </c>
      <c r="CO58" s="12" t="b">
        <v>1</v>
      </c>
    </row>
    <row r="59" spans="2:93">
      <c r="B59" s="8"/>
      <c r="C59" s="8"/>
      <c r="E59" s="8"/>
      <c r="F59" s="8"/>
      <c r="G59" s="8"/>
      <c r="H59" s="8"/>
      <c r="I59" s="8"/>
      <c r="J59" s="8"/>
      <c r="K59" s="34"/>
      <c r="L59" s="8"/>
      <c r="M59" s="8"/>
      <c r="N59" s="34"/>
      <c r="O59" s="34"/>
      <c r="P59" s="8"/>
      <c r="Q59" s="8"/>
      <c r="R59" s="8"/>
      <c r="S59" s="8"/>
      <c r="T59" s="8"/>
      <c r="U59" s="8"/>
      <c r="V59" s="8"/>
      <c r="W59" s="8"/>
      <c r="X59" s="8"/>
      <c r="Y59" s="34"/>
      <c r="Z59" s="8"/>
      <c r="AA59" s="8"/>
      <c r="AC59" s="8"/>
      <c r="AE59" s="8"/>
      <c r="AF59" s="8"/>
      <c r="AG59" s="8"/>
      <c r="AH59" s="8"/>
      <c r="AJ59" s="8"/>
      <c r="AK59" s="8" t="s">
        <v>791</v>
      </c>
      <c r="AL59" s="12" t="str">
        <v>Fuel_Transportation_Hurdle_Cost_In_Timepoint_Reverse</v>
      </c>
      <c r="AN59" s="8"/>
      <c r="AO59" s="8"/>
      <c r="AP59" s="8"/>
      <c r="AQ59" s="8"/>
      <c r="AR59" s="8"/>
      <c r="AS59" s="8"/>
      <c r="AT59" s="8"/>
      <c r="AU59" s="8"/>
      <c r="AV59" s="8"/>
      <c r="AW59" s="8"/>
      <c r="AX59" s="8"/>
      <c r="AY59" s="8"/>
      <c r="AZ59" s="8"/>
      <c r="BA59" s="8"/>
      <c r="BB59" s="8"/>
      <c r="BC59" s="8"/>
      <c r="BD59" s="8"/>
      <c r="BE59" s="8"/>
      <c r="BF59" s="12"/>
      <c r="BH59" s="12"/>
      <c r="BI59" s="12"/>
      <c r="BJ59" s="12"/>
      <c r="BK59" s="12"/>
      <c r="BQ59" s="8"/>
      <c r="BR59" s="8"/>
      <c r="BT59" s="8"/>
      <c r="BV59" s="8"/>
      <c r="BX59" s="8"/>
      <c r="CH59" s="12" t="s">
        <v>634</v>
      </c>
      <c r="CI59" s="12" t="s">
        <v>761</v>
      </c>
      <c r="CJ59" s="12" t="s">
        <v>406</v>
      </c>
      <c r="CK59" s="12" t="s">
        <v>406</v>
      </c>
      <c r="CL59" s="12" t="s">
        <v>643</v>
      </c>
      <c r="CM59" s="12" t="s">
        <v>876</v>
      </c>
      <c r="CN59" s="12" t="s">
        <v>296</v>
      </c>
      <c r="CO59" s="12" t="b">
        <v>1</v>
      </c>
    </row>
    <row r="60" spans="2:93">
      <c r="B60" s="8"/>
      <c r="C60" s="8"/>
      <c r="E60" s="8"/>
      <c r="F60" s="8"/>
      <c r="G60" s="8"/>
      <c r="H60" s="8"/>
      <c r="I60" s="8"/>
      <c r="J60" s="8"/>
      <c r="K60" s="34"/>
      <c r="L60" s="8"/>
      <c r="M60" s="8"/>
      <c r="N60" s="34"/>
      <c r="O60" s="34"/>
      <c r="P60" s="8"/>
      <c r="Q60" s="8"/>
      <c r="R60" s="8"/>
      <c r="S60" s="8"/>
      <c r="T60" s="8"/>
      <c r="U60" s="8"/>
      <c r="V60" s="8"/>
      <c r="W60" s="8"/>
      <c r="X60" s="8"/>
      <c r="Y60" s="34"/>
      <c r="Z60" s="8"/>
      <c r="AA60" s="8"/>
      <c r="AC60" s="8"/>
      <c r="AE60" s="8"/>
      <c r="AF60" s="8"/>
      <c r="AG60" s="8"/>
      <c r="AH60" s="8"/>
      <c r="AJ60" s="8"/>
      <c r="AK60" s="8" t="s">
        <v>792</v>
      </c>
      <c r="AL60" s="12" t="str">
        <v>Fuel_Zone_Candidate_Fuel_Commodity_Production_In_Timepoint_MMBTU_H</v>
      </c>
      <c r="AN60" s="8"/>
      <c r="AO60" s="8"/>
      <c r="AP60" s="8"/>
      <c r="AQ60" s="8"/>
      <c r="AR60" s="8"/>
      <c r="AS60" s="8"/>
      <c r="AT60" s="8"/>
      <c r="AU60" s="8"/>
      <c r="AV60" s="8"/>
      <c r="AW60" s="8"/>
      <c r="AX60" s="8"/>
      <c r="AY60" s="8"/>
      <c r="AZ60" s="8"/>
      <c r="BA60" s="8"/>
      <c r="BB60" s="8"/>
      <c r="BC60" s="8"/>
      <c r="BD60" s="8"/>
      <c r="BE60" s="8"/>
      <c r="BF60" s="12"/>
      <c r="BH60" s="12"/>
      <c r="BI60" s="12"/>
      <c r="BJ60" s="12"/>
      <c r="BK60" s="12"/>
      <c r="BQ60" s="8"/>
      <c r="BR60" s="8"/>
      <c r="BT60" s="8"/>
      <c r="BV60" s="8"/>
      <c r="BX60" s="8"/>
      <c r="CH60" s="12" t="s">
        <v>651</v>
      </c>
      <c r="CI60" s="12" t="s">
        <v>761</v>
      </c>
      <c r="CJ60" s="12" t="s">
        <v>444</v>
      </c>
      <c r="CK60" s="12" t="s">
        <v>444</v>
      </c>
      <c r="CL60" s="12" t="s">
        <v>637</v>
      </c>
      <c r="CM60" s="12" t="s">
        <v>876</v>
      </c>
      <c r="CN60" s="12" t="s">
        <v>296</v>
      </c>
      <c r="CO60" s="12" t="b">
        <v>1</v>
      </c>
    </row>
    <row r="61" spans="2:93">
      <c r="B61" s="8"/>
      <c r="C61" s="8"/>
      <c r="E61" s="8"/>
      <c r="F61" s="8"/>
      <c r="G61" s="8"/>
      <c r="H61" s="8"/>
      <c r="I61" s="8"/>
      <c r="J61" s="8"/>
      <c r="K61" s="34"/>
      <c r="L61" s="8"/>
      <c r="M61" s="8"/>
      <c r="N61" s="34"/>
      <c r="O61" s="34"/>
      <c r="P61" s="8"/>
      <c r="Q61" s="8"/>
      <c r="R61" s="8"/>
      <c r="S61" s="8"/>
      <c r="T61" s="8"/>
      <c r="U61" s="8"/>
      <c r="V61" s="8"/>
      <c r="W61" s="8"/>
      <c r="X61" s="8"/>
      <c r="Y61" s="34"/>
      <c r="Z61" s="8"/>
      <c r="AA61" s="8"/>
      <c r="AC61" s="8"/>
      <c r="AE61" s="8"/>
      <c r="AF61" s="8"/>
      <c r="AG61" s="8"/>
      <c r="AH61" s="8"/>
      <c r="AJ61" s="8"/>
      <c r="AK61" s="8" t="s">
        <v>793</v>
      </c>
      <c r="AL61" s="12" t="str">
        <v>Fuel_Zone_Candidate_Fuel_Consumption_By_Final_Fuel_Demands_MMBTU_H</v>
      </c>
      <c r="AN61" s="8"/>
      <c r="AO61" s="8"/>
      <c r="AP61" s="8"/>
      <c r="AQ61" s="8"/>
      <c r="AR61" s="8"/>
      <c r="AS61" s="8"/>
      <c r="AT61" s="8"/>
      <c r="AU61" s="8"/>
      <c r="AV61" s="8"/>
      <c r="AW61" s="8"/>
      <c r="AX61" s="8"/>
      <c r="AY61" s="8"/>
      <c r="AZ61" s="8"/>
      <c r="BA61" s="8"/>
      <c r="BB61" s="8"/>
      <c r="BC61" s="8"/>
      <c r="BD61" s="8"/>
      <c r="BE61" s="8"/>
      <c r="BF61" s="12"/>
      <c r="BH61" s="12"/>
      <c r="BI61" s="12"/>
      <c r="BJ61" s="12"/>
      <c r="BK61" s="12"/>
      <c r="BQ61" s="8"/>
      <c r="BR61" s="8"/>
      <c r="BT61" s="8"/>
      <c r="BV61" s="8"/>
      <c r="BX61" s="8"/>
      <c r="CH61" s="12" t="s">
        <v>634</v>
      </c>
      <c r="CI61" s="12" t="s">
        <v>761</v>
      </c>
      <c r="CJ61" s="12" t="s">
        <v>407</v>
      </c>
      <c r="CK61" s="12" t="s">
        <v>407</v>
      </c>
      <c r="CL61" s="12" t="s">
        <v>637</v>
      </c>
      <c r="CM61" s="12" t="s">
        <v>876</v>
      </c>
      <c r="CN61" s="12" t="s">
        <v>296</v>
      </c>
      <c r="CO61" s="12" t="b">
        <v>1</v>
      </c>
    </row>
    <row r="62" spans="2:93">
      <c r="B62" s="8"/>
      <c r="C62" s="8"/>
      <c r="E62" s="8"/>
      <c r="F62" s="8"/>
      <c r="G62" s="8"/>
      <c r="H62" s="8"/>
      <c r="I62" s="8"/>
      <c r="J62" s="8"/>
      <c r="K62" s="34"/>
      <c r="L62" s="8"/>
      <c r="M62" s="8"/>
      <c r="N62" s="34"/>
      <c r="O62" s="34"/>
      <c r="P62" s="8"/>
      <c r="Q62" s="8"/>
      <c r="R62" s="8"/>
      <c r="S62" s="8"/>
      <c r="T62" s="8"/>
      <c r="U62" s="8"/>
      <c r="V62" s="8"/>
      <c r="W62" s="8"/>
      <c r="X62" s="8"/>
      <c r="Y62" s="34"/>
      <c r="Z62" s="8"/>
      <c r="AA62" s="8"/>
      <c r="AC62" s="8"/>
      <c r="AE62" s="8"/>
      <c r="AF62" s="8"/>
      <c r="AG62" s="8"/>
      <c r="AH62" s="8"/>
      <c r="AJ62" s="8"/>
      <c r="AK62" s="8" t="s">
        <v>794</v>
      </c>
      <c r="AL62" s="12" t="str">
        <v>Fuel_Zone_Candidate_Fuel_Production_In_Timepoint_MMBTU_H</v>
      </c>
      <c r="AN62" s="8"/>
      <c r="AO62" s="8"/>
      <c r="AP62" s="8"/>
      <c r="AQ62" s="8"/>
      <c r="AR62" s="8"/>
      <c r="AS62" s="8"/>
      <c r="AT62" s="8"/>
      <c r="AU62" s="8"/>
      <c r="AV62" s="8"/>
      <c r="AW62" s="8"/>
      <c r="AX62" s="8"/>
      <c r="AY62" s="8"/>
      <c r="AZ62" s="8"/>
      <c r="BA62" s="8"/>
      <c r="BB62" s="8"/>
      <c r="BC62" s="8"/>
      <c r="BD62" s="8"/>
      <c r="BE62" s="8"/>
      <c r="BF62" s="12"/>
      <c r="BH62" s="12"/>
      <c r="BI62" s="12"/>
      <c r="BJ62" s="12"/>
      <c r="BK62" s="12"/>
      <c r="BQ62" s="8"/>
      <c r="BR62" s="8"/>
      <c r="BT62" s="8"/>
      <c r="BV62" s="8"/>
      <c r="BX62" s="8"/>
      <c r="CH62" s="12" t="s">
        <v>634</v>
      </c>
      <c r="CI62" s="12" t="s">
        <v>761</v>
      </c>
      <c r="CJ62" s="12" t="s">
        <v>671</v>
      </c>
      <c r="CK62" s="12" t="s">
        <v>671</v>
      </c>
      <c r="CL62" s="12" t="s">
        <v>643</v>
      </c>
      <c r="CM62" s="12" t="s">
        <v>876</v>
      </c>
      <c r="CN62" s="12" t="s">
        <v>296</v>
      </c>
      <c r="CO62" s="12" t="b">
        <v>1</v>
      </c>
    </row>
    <row r="63" spans="2:93">
      <c r="B63" s="8"/>
      <c r="C63" s="8"/>
      <c r="E63" s="8"/>
      <c r="F63" s="8"/>
      <c r="G63" s="8"/>
      <c r="H63" s="8"/>
      <c r="I63" s="8"/>
      <c r="J63" s="8"/>
      <c r="K63" s="34"/>
      <c r="L63" s="8"/>
      <c r="M63" s="8"/>
      <c r="N63" s="34"/>
      <c r="O63" s="34"/>
      <c r="P63" s="8"/>
      <c r="Q63" s="8"/>
      <c r="R63" s="8"/>
      <c r="S63" s="8"/>
      <c r="T63" s="8"/>
      <c r="U63" s="8"/>
      <c r="V63" s="8"/>
      <c r="W63" s="8"/>
      <c r="X63" s="8"/>
      <c r="Y63" s="34"/>
      <c r="Z63" s="8"/>
      <c r="AA63" s="8"/>
      <c r="AC63" s="8"/>
      <c r="AE63" s="8"/>
      <c r="AF63" s="8"/>
      <c r="AG63" s="8"/>
      <c r="AH63" s="8"/>
      <c r="AJ63" s="8"/>
      <c r="AK63" s="8" t="s">
        <v>795</v>
      </c>
      <c r="AL63" s="12" t="str">
        <v>Fuel_Zone_Candidate_Fuel_Storage_In_Timepoint_MMBTU_H</v>
      </c>
      <c r="AN63" s="8"/>
      <c r="AO63" s="8"/>
      <c r="AP63" s="8"/>
      <c r="AQ63" s="8"/>
      <c r="AR63" s="8"/>
      <c r="AS63" s="8"/>
      <c r="AT63" s="8"/>
      <c r="AU63" s="8"/>
      <c r="AV63" s="8"/>
      <c r="AW63" s="8"/>
      <c r="AX63" s="8"/>
      <c r="AY63" s="8"/>
      <c r="AZ63" s="8"/>
      <c r="BA63" s="8"/>
      <c r="BB63" s="8"/>
      <c r="BC63" s="8"/>
      <c r="BD63" s="8"/>
      <c r="BE63" s="8"/>
      <c r="BF63" s="12"/>
      <c r="BH63" s="12"/>
      <c r="BI63" s="12"/>
      <c r="BJ63" s="12"/>
      <c r="BK63" s="12"/>
      <c r="BQ63" s="8"/>
      <c r="BR63" s="8"/>
      <c r="BT63" s="8"/>
      <c r="BV63" s="8"/>
      <c r="BX63" s="8"/>
      <c r="CH63" s="12" t="s">
        <v>657</v>
      </c>
      <c r="CI63" s="12" t="s">
        <v>761</v>
      </c>
      <c r="CJ63" s="12" t="s">
        <v>445</v>
      </c>
      <c r="CK63" s="12" t="s">
        <v>445</v>
      </c>
      <c r="CL63" s="12" t="s">
        <v>637</v>
      </c>
      <c r="CM63" s="12" t="s">
        <v>876</v>
      </c>
      <c r="CN63" s="12" t="s">
        <v>296</v>
      </c>
      <c r="CO63" s="12" t="b">
        <v>1</v>
      </c>
    </row>
    <row r="64" spans="2:93">
      <c r="B64" s="8"/>
      <c r="C64" s="8"/>
      <c r="E64" s="8"/>
      <c r="F64" s="8"/>
      <c r="G64" s="8"/>
      <c r="H64" s="8"/>
      <c r="I64" s="8"/>
      <c r="J64" s="8"/>
      <c r="K64" s="34"/>
      <c r="L64" s="8"/>
      <c r="M64" s="8"/>
      <c r="N64" s="34"/>
      <c r="O64" s="34"/>
      <c r="P64" s="8"/>
      <c r="Q64" s="8"/>
      <c r="R64" s="8"/>
      <c r="S64" s="8"/>
      <c r="T64" s="8"/>
      <c r="U64" s="8"/>
      <c r="V64" s="8"/>
      <c r="W64" s="8"/>
      <c r="X64" s="8"/>
      <c r="Y64" s="34"/>
      <c r="Z64" s="8"/>
      <c r="AA64" s="8"/>
      <c r="AC64" s="8"/>
      <c r="AE64" s="8"/>
      <c r="AF64" s="8"/>
      <c r="AG64" s="8"/>
      <c r="AH64" s="8"/>
      <c r="AJ64" s="8"/>
      <c r="AK64" s="8" t="s">
        <v>796</v>
      </c>
      <c r="AL64" s="12" t="str">
        <v>Fuel_Zone_Resource_Candidate_Fuel_Consumption_In_Timepoint_MMBTU_H</v>
      </c>
      <c r="AN64" s="8"/>
      <c r="AO64" s="8"/>
      <c r="AP64" s="8"/>
      <c r="AQ64" s="8"/>
      <c r="AR64" s="8"/>
      <c r="AS64" s="8"/>
      <c r="AT64" s="8"/>
      <c r="AU64" s="8"/>
      <c r="AV64" s="8"/>
      <c r="AW64" s="8"/>
      <c r="AX64" s="8"/>
      <c r="AY64" s="8"/>
      <c r="AZ64" s="8"/>
      <c r="BA64" s="8"/>
      <c r="BB64" s="8"/>
      <c r="BC64" s="8"/>
      <c r="BD64" s="8"/>
      <c r="BE64" s="8"/>
      <c r="BF64" s="12"/>
      <c r="BH64" s="12"/>
      <c r="BI64" s="12"/>
      <c r="BJ64" s="12"/>
      <c r="BK64" s="12"/>
      <c r="BQ64" s="8"/>
      <c r="BR64" s="8"/>
      <c r="BT64" s="8"/>
      <c r="BV64" s="8"/>
      <c r="BX64" s="8"/>
      <c r="CH64" s="12" t="s">
        <v>657</v>
      </c>
      <c r="CI64" s="12" t="s">
        <v>761</v>
      </c>
      <c r="CJ64" s="12" t="s">
        <v>471</v>
      </c>
      <c r="CK64" s="12" t="s">
        <v>471</v>
      </c>
      <c r="CL64" s="12" t="s">
        <v>637</v>
      </c>
      <c r="CM64" s="12" t="s">
        <v>876</v>
      </c>
      <c r="CN64" s="12" t="s">
        <v>296</v>
      </c>
      <c r="CO64" s="12" t="b">
        <v>1</v>
      </c>
    </row>
    <row r="65" spans="2:93">
      <c r="B65" s="8"/>
      <c r="C65" s="8"/>
      <c r="E65" s="8"/>
      <c r="F65" s="8"/>
      <c r="G65" s="8"/>
      <c r="H65" s="8"/>
      <c r="I65" s="8"/>
      <c r="J65" s="8"/>
      <c r="K65" s="34"/>
      <c r="L65" s="8"/>
      <c r="M65" s="8"/>
      <c r="N65" s="34"/>
      <c r="O65" s="34"/>
      <c r="P65" s="8"/>
      <c r="Q65" s="8"/>
      <c r="R65" s="8"/>
      <c r="S65" s="8"/>
      <c r="T65" s="8"/>
      <c r="U65" s="8"/>
      <c r="V65" s="8"/>
      <c r="W65" s="8"/>
      <c r="X65" s="8"/>
      <c r="Y65" s="34"/>
      <c r="Z65" s="8"/>
      <c r="AA65" s="8"/>
      <c r="AC65" s="8"/>
      <c r="AE65" s="8"/>
      <c r="AF65" s="8"/>
      <c r="AG65" s="8"/>
      <c r="AH65" s="8"/>
      <c r="AJ65" s="8"/>
      <c r="AK65" s="8" t="s">
        <v>797</v>
      </c>
      <c r="AL65" s="12" t="str">
        <v>Increase_Load_For_Charging_Fuel_Storage_MW</v>
      </c>
      <c r="AN65" s="8"/>
      <c r="AO65" s="8"/>
      <c r="AP65" s="8"/>
      <c r="AQ65" s="8"/>
      <c r="AR65" s="8"/>
      <c r="AS65" s="8"/>
      <c r="AT65" s="8"/>
      <c r="AU65" s="8"/>
      <c r="AV65" s="8"/>
      <c r="AW65" s="8"/>
      <c r="AX65" s="8"/>
      <c r="AY65" s="8"/>
      <c r="AZ65" s="8"/>
      <c r="BA65" s="8"/>
      <c r="BB65" s="8"/>
      <c r="BC65" s="8"/>
      <c r="BD65" s="8"/>
      <c r="BE65" s="8"/>
      <c r="BF65" s="12"/>
      <c r="BH65" s="12"/>
      <c r="BI65" s="12"/>
      <c r="BJ65" s="12"/>
      <c r="BK65" s="12"/>
      <c r="BQ65" s="8"/>
      <c r="BR65" s="8"/>
      <c r="BT65" s="8"/>
      <c r="BV65" s="8"/>
      <c r="BX65" s="8"/>
      <c r="CH65" s="12" t="s">
        <v>634</v>
      </c>
      <c r="CI65" s="12" t="s">
        <v>768</v>
      </c>
      <c r="CJ65" s="12" t="s">
        <v>406</v>
      </c>
      <c r="CK65" s="12" t="s">
        <v>406</v>
      </c>
      <c r="CL65" s="12" t="s">
        <v>643</v>
      </c>
      <c r="CM65" s="12" t="s">
        <v>877</v>
      </c>
      <c r="CN65" s="12" t="s">
        <v>296</v>
      </c>
      <c r="CO65" s="12" t="b">
        <v>1</v>
      </c>
    </row>
    <row r="66" spans="2:93">
      <c r="B66" s="8"/>
      <c r="C66" s="8"/>
      <c r="E66" s="8"/>
      <c r="F66" s="8"/>
      <c r="G66" s="8"/>
      <c r="H66" s="8"/>
      <c r="I66" s="8"/>
      <c r="J66" s="8"/>
      <c r="K66" s="34"/>
      <c r="L66" s="8"/>
      <c r="M66" s="8"/>
      <c r="N66" s="34"/>
      <c r="O66" s="34"/>
      <c r="P66" s="8"/>
      <c r="Q66" s="8"/>
      <c r="R66" s="8"/>
      <c r="S66" s="8"/>
      <c r="T66" s="8"/>
      <c r="U66" s="8"/>
      <c r="V66" s="8"/>
      <c r="W66" s="8"/>
      <c r="X66" s="8"/>
      <c r="Y66" s="34"/>
      <c r="Z66" s="8"/>
      <c r="AA66" s="8"/>
      <c r="AC66" s="8"/>
      <c r="AE66" s="8"/>
      <c r="AF66" s="8"/>
      <c r="AG66" s="8"/>
      <c r="AH66" s="8"/>
      <c r="AJ66" s="8"/>
      <c r="AK66" s="8" t="s">
        <v>798</v>
      </c>
      <c r="AL66" s="12" t="str">
        <v>Increase_Load_For_Discharging_Fuel_Storage_MW</v>
      </c>
      <c r="AN66" s="8"/>
      <c r="AO66" s="8"/>
      <c r="AP66" s="8"/>
      <c r="AQ66" s="8"/>
      <c r="AR66" s="8"/>
      <c r="AS66" s="8"/>
      <c r="AT66" s="8"/>
      <c r="AU66" s="8"/>
      <c r="AV66" s="8"/>
      <c r="AW66" s="8"/>
      <c r="AX66" s="8"/>
      <c r="AY66" s="8"/>
      <c r="AZ66" s="8"/>
      <c r="BA66" s="8"/>
      <c r="BB66" s="8"/>
      <c r="BC66" s="8"/>
      <c r="BD66" s="8"/>
      <c r="BE66" s="8"/>
      <c r="BF66" s="12"/>
      <c r="BH66" s="12"/>
      <c r="BI66" s="12"/>
      <c r="BJ66" s="12"/>
      <c r="BK66" s="12"/>
      <c r="BQ66" s="8"/>
      <c r="BR66" s="8"/>
      <c r="BT66" s="8"/>
      <c r="BV66" s="8"/>
      <c r="BX66" s="8"/>
      <c r="CH66" s="12" t="s">
        <v>651</v>
      </c>
      <c r="CI66" s="12" t="s">
        <v>768</v>
      </c>
      <c r="CJ66" s="12" t="s">
        <v>444</v>
      </c>
      <c r="CK66" s="12" t="s">
        <v>444</v>
      </c>
      <c r="CL66" s="12" t="s">
        <v>637</v>
      </c>
      <c r="CM66" s="12" t="s">
        <v>877</v>
      </c>
      <c r="CN66" s="12" t="s">
        <v>296</v>
      </c>
      <c r="CO66" s="12" t="b">
        <v>1</v>
      </c>
    </row>
    <row r="67" spans="2:93">
      <c r="B67" s="8"/>
      <c r="C67" s="8"/>
      <c r="E67" s="8"/>
      <c r="F67" s="8"/>
      <c r="G67" s="8"/>
      <c r="H67" s="8"/>
      <c r="I67" s="8"/>
      <c r="J67" s="8"/>
      <c r="K67" s="34"/>
      <c r="L67" s="8"/>
      <c r="M67" s="8"/>
      <c r="N67" s="34"/>
      <c r="O67" s="34"/>
      <c r="P67" s="8"/>
      <c r="Q67" s="8"/>
      <c r="R67" s="8"/>
      <c r="S67" s="8"/>
      <c r="T67" s="8"/>
      <c r="U67" s="8"/>
      <c r="V67" s="8"/>
      <c r="W67" s="8"/>
      <c r="X67" s="8"/>
      <c r="Y67" s="34"/>
      <c r="Z67" s="8"/>
      <c r="AA67" s="8"/>
      <c r="AC67" s="8"/>
      <c r="AE67" s="8"/>
      <c r="AF67" s="8"/>
      <c r="AG67" s="8"/>
      <c r="AH67" s="8"/>
      <c r="AJ67" s="8"/>
      <c r="AK67" s="8" t="s">
        <v>799</v>
      </c>
      <c r="AL67" s="12" t="str">
        <v>Increase_Load_MW</v>
      </c>
      <c r="AN67" s="8"/>
      <c r="AO67" s="8"/>
      <c r="AP67" s="8"/>
      <c r="AQ67" s="8"/>
      <c r="AR67" s="8"/>
      <c r="AS67" s="8"/>
      <c r="AT67" s="8"/>
      <c r="AU67" s="8"/>
      <c r="AV67" s="8"/>
      <c r="AW67" s="8"/>
      <c r="AX67" s="8"/>
      <c r="AY67" s="8"/>
      <c r="AZ67" s="8"/>
      <c r="BA67" s="8"/>
      <c r="BB67" s="8"/>
      <c r="BC67" s="8"/>
      <c r="BD67" s="8"/>
      <c r="BE67" s="8"/>
      <c r="BF67" s="12"/>
      <c r="BH67" s="12"/>
      <c r="BI67" s="12"/>
      <c r="BJ67" s="12"/>
      <c r="BK67" s="12"/>
      <c r="BQ67" s="8"/>
      <c r="BR67" s="8"/>
      <c r="BT67" s="8"/>
      <c r="BV67" s="8"/>
      <c r="BX67" s="8"/>
      <c r="CH67" s="12" t="s">
        <v>634</v>
      </c>
      <c r="CI67" s="12" t="s">
        <v>768</v>
      </c>
      <c r="CJ67" s="12" t="s">
        <v>407</v>
      </c>
      <c r="CK67" s="12" t="s">
        <v>407</v>
      </c>
      <c r="CL67" s="12" t="s">
        <v>637</v>
      </c>
      <c r="CM67" s="12" t="s">
        <v>877</v>
      </c>
      <c r="CN67" s="12" t="s">
        <v>296</v>
      </c>
      <c r="CO67" s="12" t="b">
        <v>1</v>
      </c>
    </row>
    <row r="68" spans="2:93">
      <c r="B68" s="8"/>
      <c r="C68" s="8"/>
      <c r="E68" s="8"/>
      <c r="F68" s="8"/>
      <c r="G68" s="8"/>
      <c r="H68" s="8"/>
      <c r="I68" s="8"/>
      <c r="J68" s="8"/>
      <c r="K68" s="34"/>
      <c r="L68" s="8"/>
      <c r="M68" s="8"/>
      <c r="N68" s="34"/>
      <c r="O68" s="34"/>
      <c r="P68" s="8"/>
      <c r="Q68" s="8"/>
      <c r="R68" s="8"/>
      <c r="S68" s="8"/>
      <c r="T68" s="8"/>
      <c r="U68" s="8"/>
      <c r="V68" s="8"/>
      <c r="W68" s="8"/>
      <c r="X68" s="8"/>
      <c r="Y68" s="34"/>
      <c r="Z68" s="8"/>
      <c r="AA68" s="8"/>
      <c r="AC68" s="8"/>
      <c r="AE68" s="8"/>
      <c r="AF68" s="8"/>
      <c r="AG68" s="8"/>
      <c r="AH68" s="8"/>
      <c r="AJ68" s="8"/>
      <c r="AK68" s="8" t="s">
        <v>800</v>
      </c>
      <c r="AL68" s="12" t="str">
        <v>Incremental_Reserve_Requirement_MW</v>
      </c>
      <c r="AN68" s="8"/>
      <c r="AO68" s="8"/>
      <c r="AP68" s="8"/>
      <c r="AQ68" s="8"/>
      <c r="AR68" s="8"/>
      <c r="AS68" s="8"/>
      <c r="AT68" s="8"/>
      <c r="AU68" s="8"/>
      <c r="AV68" s="8"/>
      <c r="AW68" s="8"/>
      <c r="AX68" s="8"/>
      <c r="AY68" s="8"/>
      <c r="AZ68" s="8"/>
      <c r="BA68" s="8"/>
      <c r="BB68" s="8"/>
      <c r="BC68" s="8"/>
      <c r="BD68" s="8"/>
      <c r="BE68" s="8"/>
      <c r="BF68" s="12"/>
      <c r="BH68" s="12"/>
      <c r="BI68" s="12"/>
      <c r="BJ68" s="12"/>
      <c r="BK68" s="12"/>
      <c r="BQ68" s="8"/>
      <c r="BR68" s="8"/>
      <c r="BT68" s="8"/>
      <c r="BV68" s="8"/>
      <c r="BX68" s="8"/>
      <c r="CH68" s="12" t="s">
        <v>634</v>
      </c>
      <c r="CI68" s="12" t="s">
        <v>768</v>
      </c>
      <c r="CJ68" s="12" t="s">
        <v>671</v>
      </c>
      <c r="CK68" s="12" t="s">
        <v>671</v>
      </c>
      <c r="CL68" s="12" t="s">
        <v>643</v>
      </c>
      <c r="CM68" s="12" t="s">
        <v>877</v>
      </c>
      <c r="CN68" s="12" t="s">
        <v>296</v>
      </c>
      <c r="CO68" s="12" t="b">
        <v>1</v>
      </c>
    </row>
    <row r="69" spans="2:93">
      <c r="B69" s="8"/>
      <c r="C69" s="8"/>
      <c r="E69" s="8"/>
      <c r="F69" s="8"/>
      <c r="G69" s="8"/>
      <c r="H69" s="8"/>
      <c r="I69" s="8"/>
      <c r="J69" s="8"/>
      <c r="K69" s="34"/>
      <c r="L69" s="8"/>
      <c r="M69" s="8"/>
      <c r="N69" s="34"/>
      <c r="O69" s="34"/>
      <c r="P69" s="8"/>
      <c r="Q69" s="8"/>
      <c r="R69" s="8"/>
      <c r="S69" s="8"/>
      <c r="T69" s="8"/>
      <c r="U69" s="8"/>
      <c r="V69" s="8"/>
      <c r="W69" s="8"/>
      <c r="X69" s="8"/>
      <c r="Y69" s="34"/>
      <c r="Z69" s="8"/>
      <c r="AA69" s="8"/>
      <c r="AC69" s="8"/>
      <c r="AE69" s="8"/>
      <c r="AF69" s="8"/>
      <c r="AG69" s="8"/>
      <c r="AH69" s="8"/>
      <c r="AJ69" s="8"/>
      <c r="AK69" s="8" t="s">
        <v>801</v>
      </c>
      <c r="AL69" s="12" t="str">
        <v>Integer_Build</v>
      </c>
      <c r="AN69" s="8"/>
      <c r="AO69" s="8"/>
      <c r="AP69" s="8"/>
      <c r="AQ69" s="8"/>
      <c r="AR69" s="8"/>
      <c r="AS69" s="8"/>
      <c r="AT69" s="8"/>
      <c r="AU69" s="8"/>
      <c r="AV69" s="8"/>
      <c r="AW69" s="8"/>
      <c r="AX69" s="8"/>
      <c r="AY69" s="8"/>
      <c r="AZ69" s="8"/>
      <c r="BA69" s="8"/>
      <c r="BB69" s="8"/>
      <c r="BC69" s="8"/>
      <c r="BD69" s="8"/>
      <c r="BE69" s="8"/>
      <c r="BF69" s="12"/>
      <c r="BH69" s="12"/>
      <c r="BI69" s="12"/>
      <c r="BJ69" s="12"/>
      <c r="BK69" s="12"/>
      <c r="BQ69" s="8"/>
      <c r="BR69" s="8"/>
      <c r="BT69" s="8"/>
      <c r="BV69" s="8"/>
      <c r="BX69" s="8"/>
      <c r="CH69" s="12" t="s">
        <v>657</v>
      </c>
      <c r="CI69" s="12" t="s">
        <v>768</v>
      </c>
      <c r="CJ69" s="12" t="s">
        <v>445</v>
      </c>
      <c r="CK69" s="12" t="s">
        <v>445</v>
      </c>
      <c r="CL69" s="12" t="s">
        <v>637</v>
      </c>
      <c r="CM69" s="12" t="s">
        <v>877</v>
      </c>
      <c r="CN69" s="12" t="s">
        <v>296</v>
      </c>
      <c r="CO69" s="12" t="b">
        <v>1</v>
      </c>
    </row>
    <row r="70" spans="2:93">
      <c r="B70" s="8"/>
      <c r="C70" s="8"/>
      <c r="E70" s="8"/>
      <c r="F70" s="8"/>
      <c r="G70" s="8"/>
      <c r="H70" s="8"/>
      <c r="I70" s="8"/>
      <c r="J70" s="8"/>
      <c r="K70" s="34"/>
      <c r="L70" s="8"/>
      <c r="M70" s="8"/>
      <c r="N70" s="34"/>
      <c r="O70" s="34"/>
      <c r="P70" s="8"/>
      <c r="Q70" s="8"/>
      <c r="R70" s="8"/>
      <c r="S70" s="8"/>
      <c r="T70" s="8"/>
      <c r="U70" s="8"/>
      <c r="V70" s="8"/>
      <c r="W70" s="8"/>
      <c r="X70" s="8"/>
      <c r="Y70" s="34"/>
      <c r="Z70" s="8"/>
      <c r="AA70" s="8"/>
      <c r="AC70" s="8"/>
      <c r="AE70" s="8"/>
      <c r="AF70" s="8"/>
      <c r="AG70" s="8"/>
      <c r="AH70" s="8"/>
      <c r="AJ70" s="8"/>
      <c r="AK70" s="8" t="s">
        <v>802</v>
      </c>
      <c r="AL70" s="12" t="str">
        <v>Net_Candidate_Fuel_Imports_In_Timepoint_MMBTU_H</v>
      </c>
      <c r="AN70" s="8"/>
      <c r="AO70" s="8"/>
      <c r="AP70" s="8"/>
      <c r="AQ70" s="8"/>
      <c r="AR70" s="8"/>
      <c r="AS70" s="8"/>
      <c r="AT70" s="8"/>
      <c r="AU70" s="8"/>
      <c r="AV70" s="8"/>
      <c r="AW70" s="8"/>
      <c r="AX70" s="8"/>
      <c r="AY70" s="8"/>
      <c r="AZ70" s="8"/>
      <c r="BA70" s="8"/>
      <c r="BB70" s="8"/>
      <c r="BC70" s="8"/>
      <c r="BD70" s="8"/>
      <c r="BE70" s="8"/>
      <c r="BF70" s="12"/>
      <c r="BH70" s="12"/>
      <c r="BI70" s="12"/>
      <c r="BJ70" s="12"/>
      <c r="BK70" s="12"/>
      <c r="BQ70" s="8"/>
      <c r="BR70" s="8"/>
      <c r="BT70" s="8"/>
      <c r="BV70" s="8"/>
      <c r="BX70" s="8"/>
      <c r="CH70" s="12" t="s">
        <v>657</v>
      </c>
      <c r="CI70" s="12" t="s">
        <v>768</v>
      </c>
      <c r="CJ70" s="12" t="s">
        <v>471</v>
      </c>
      <c r="CK70" s="12" t="s">
        <v>471</v>
      </c>
      <c r="CL70" s="12" t="s">
        <v>637</v>
      </c>
      <c r="CM70" s="12" t="s">
        <v>877</v>
      </c>
      <c r="CN70" s="12" t="s">
        <v>296</v>
      </c>
      <c r="CO70" s="12" t="b">
        <v>1</v>
      </c>
    </row>
    <row r="71" spans="2:93">
      <c r="B71" s="8"/>
      <c r="C71" s="8"/>
      <c r="E71" s="8"/>
      <c r="F71" s="8"/>
      <c r="G71" s="8"/>
      <c r="H71" s="8"/>
      <c r="I71" s="8"/>
      <c r="J71" s="8"/>
      <c r="K71" s="34"/>
      <c r="L71" s="8"/>
      <c r="M71" s="8"/>
      <c r="N71" s="34"/>
      <c r="O71" s="34"/>
      <c r="P71" s="8"/>
      <c r="Q71" s="8"/>
      <c r="R71" s="8"/>
      <c r="S71" s="8"/>
      <c r="T71" s="8"/>
      <c r="U71" s="8"/>
      <c r="V71" s="8"/>
      <c r="W71" s="8"/>
      <c r="X71" s="8"/>
      <c r="Y71" s="34"/>
      <c r="Z71" s="8"/>
      <c r="AA71" s="8"/>
      <c r="AC71" s="8"/>
      <c r="AE71" s="8"/>
      <c r="AF71" s="8"/>
      <c r="AG71" s="8"/>
      <c r="AH71" s="8"/>
      <c r="AJ71" s="8"/>
      <c r="AK71" s="8" t="s">
        <v>803</v>
      </c>
      <c r="AL71" s="12" t="str">
        <v>Net_Fuel_Zone_Candidate_Fuel_Consumption_In_Timepoint_MMBTU_H</v>
      </c>
      <c r="AN71" s="8"/>
      <c r="AO71" s="8"/>
      <c r="AP71" s="8"/>
      <c r="AQ71" s="8"/>
      <c r="AR71" s="8"/>
      <c r="AS71" s="8"/>
      <c r="AT71" s="8"/>
      <c r="AU71" s="8"/>
      <c r="AV71" s="8"/>
      <c r="AW71" s="8"/>
      <c r="AX71" s="8"/>
      <c r="AY71" s="8"/>
      <c r="AZ71" s="8"/>
      <c r="BA71" s="8"/>
      <c r="BB71" s="8"/>
      <c r="BC71" s="8"/>
      <c r="BD71" s="8"/>
      <c r="BE71" s="8"/>
      <c r="BF71" s="12"/>
      <c r="BH71" s="12"/>
      <c r="BI71" s="12"/>
      <c r="BJ71" s="12"/>
      <c r="BK71" s="12"/>
      <c r="BQ71" s="8"/>
      <c r="BR71" s="8"/>
      <c r="BT71" s="8"/>
      <c r="BV71" s="8"/>
      <c r="BX71" s="8"/>
      <c r="CH71" s="12" t="s">
        <v>657</v>
      </c>
      <c r="CI71" s="12" t="s">
        <v>761</v>
      </c>
      <c r="CJ71" s="12" t="s">
        <v>672</v>
      </c>
      <c r="CK71" s="12" t="s">
        <v>672</v>
      </c>
      <c r="CL71" s="12" t="s">
        <v>648</v>
      </c>
      <c r="CM71" s="12" t="s">
        <v>804</v>
      </c>
      <c r="CN71" s="12"/>
      <c r="CO71" s="12"/>
    </row>
    <row r="72" spans="2:93">
      <c r="B72" s="8"/>
      <c r="C72" s="8"/>
      <c r="E72" s="8"/>
      <c r="F72" s="8"/>
      <c r="G72" s="8"/>
      <c r="H72" s="8"/>
      <c r="I72" s="8"/>
      <c r="J72" s="8"/>
      <c r="K72" s="34"/>
      <c r="L72" s="8"/>
      <c r="M72" s="8"/>
      <c r="N72" s="34"/>
      <c r="O72" s="34"/>
      <c r="P72" s="8"/>
      <c r="Q72" s="8"/>
      <c r="R72" s="8"/>
      <c r="S72" s="8"/>
      <c r="T72" s="8"/>
      <c r="U72" s="8"/>
      <c r="V72" s="8"/>
      <c r="W72" s="8"/>
      <c r="X72" s="8"/>
      <c r="Y72" s="34"/>
      <c r="Z72" s="8"/>
      <c r="AA72" s="8"/>
      <c r="AC72" s="8"/>
      <c r="AE72" s="8"/>
      <c r="AF72" s="8"/>
      <c r="AG72" s="8"/>
      <c r="AH72" s="8"/>
      <c r="AJ72" s="8"/>
      <c r="AK72" s="8" t="s">
        <v>805</v>
      </c>
      <c r="AL72" s="12" t="str">
        <v>NQC_By_Resource</v>
      </c>
      <c r="AN72" s="8"/>
      <c r="AO72" s="8"/>
      <c r="AP72" s="8"/>
      <c r="AQ72" s="8"/>
      <c r="AR72" s="8"/>
      <c r="AS72" s="8"/>
      <c r="AT72" s="8"/>
      <c r="AU72" s="8"/>
      <c r="AV72" s="8"/>
      <c r="AW72" s="8"/>
      <c r="AX72" s="8"/>
      <c r="AY72" s="8"/>
      <c r="AZ72" s="8"/>
      <c r="BA72" s="8"/>
      <c r="BB72" s="8"/>
      <c r="BC72" s="8"/>
      <c r="BD72" s="8"/>
      <c r="BE72" s="8"/>
      <c r="BF72" s="12"/>
      <c r="BH72" s="12"/>
      <c r="BI72" s="12"/>
      <c r="BJ72" s="12"/>
      <c r="BK72" s="12"/>
      <c r="BQ72" s="8"/>
      <c r="BR72" s="8"/>
      <c r="BT72" s="8"/>
      <c r="BV72" s="8"/>
      <c r="BX72" s="8"/>
    </row>
    <row r="73" spans="2:93">
      <c r="B73" s="8"/>
      <c r="C73" s="8"/>
      <c r="E73" s="8"/>
      <c r="F73" s="8"/>
      <c r="G73" s="8"/>
      <c r="H73" s="8"/>
      <c r="I73" s="8"/>
      <c r="J73" s="8"/>
      <c r="K73" s="34"/>
      <c r="L73" s="8"/>
      <c r="M73" s="8"/>
      <c r="N73" s="34"/>
      <c r="O73" s="34"/>
      <c r="P73" s="8"/>
      <c r="Q73" s="8"/>
      <c r="R73" s="8"/>
      <c r="S73" s="8"/>
      <c r="T73" s="8"/>
      <c r="U73" s="8"/>
      <c r="V73" s="8"/>
      <c r="W73" s="8"/>
      <c r="X73" s="8"/>
      <c r="Y73" s="34"/>
      <c r="Z73" s="8"/>
      <c r="AA73" s="8"/>
      <c r="AC73" s="8"/>
      <c r="AE73" s="8"/>
      <c r="AF73" s="8"/>
      <c r="AG73" s="8"/>
      <c r="AH73" s="8"/>
      <c r="AJ73" s="8"/>
      <c r="AK73" s="8" t="s">
        <v>806</v>
      </c>
      <c r="AL73" s="12" t="str">
        <v>NQC_LHS</v>
      </c>
      <c r="AN73" s="8"/>
      <c r="AO73" s="8"/>
      <c r="AP73" s="8"/>
      <c r="AQ73" s="8"/>
      <c r="AR73" s="8"/>
      <c r="AS73" s="8"/>
      <c r="AT73" s="8"/>
      <c r="AU73" s="8"/>
      <c r="AV73" s="8"/>
      <c r="AW73" s="8"/>
      <c r="AX73" s="8"/>
      <c r="AY73" s="8"/>
      <c r="AZ73" s="8"/>
      <c r="BA73" s="8"/>
      <c r="BB73" s="8"/>
      <c r="BC73" s="8"/>
      <c r="BD73" s="8"/>
      <c r="BE73" s="8"/>
      <c r="BF73" s="12"/>
      <c r="BH73" s="12"/>
      <c r="BI73" s="12"/>
      <c r="BJ73" s="12"/>
      <c r="BK73" s="12"/>
      <c r="BQ73" s="8"/>
      <c r="BR73" s="8"/>
      <c r="BT73" s="8"/>
      <c r="BV73" s="8"/>
      <c r="BX73" s="8"/>
    </row>
    <row r="74" spans="2:93">
      <c r="B74" s="8"/>
      <c r="C74" s="8"/>
      <c r="E74" s="8"/>
      <c r="F74" s="8"/>
      <c r="G74" s="8"/>
      <c r="H74" s="8"/>
      <c r="I74" s="8"/>
      <c r="J74" s="8"/>
      <c r="K74" s="34"/>
      <c r="L74" s="8"/>
      <c r="M74" s="8"/>
      <c r="N74" s="34"/>
      <c r="O74" s="34"/>
      <c r="P74" s="8"/>
      <c r="Q74" s="8"/>
      <c r="R74" s="8"/>
      <c r="S74" s="8"/>
      <c r="T74" s="8"/>
      <c r="U74" s="8"/>
      <c r="V74" s="8"/>
      <c r="W74" s="8"/>
      <c r="X74" s="8"/>
      <c r="Y74" s="34"/>
      <c r="Z74" s="8"/>
      <c r="AA74" s="8"/>
      <c r="AC74" s="8"/>
      <c r="AE74" s="8"/>
      <c r="AF74" s="8"/>
      <c r="AG74" s="8"/>
      <c r="AH74" s="8"/>
      <c r="AJ74" s="8"/>
      <c r="AK74" s="8" t="s">
        <v>807</v>
      </c>
      <c r="AL74" s="12" t="str">
        <v>Operational_Capacity_In_Model_Year</v>
      </c>
      <c r="AN74" s="8"/>
      <c r="AO74" s="8"/>
      <c r="AP74" s="8"/>
      <c r="AQ74" s="8"/>
      <c r="AR74" s="8"/>
      <c r="AS74" s="8"/>
      <c r="AT74" s="8"/>
      <c r="AU74" s="8"/>
      <c r="AV74" s="8"/>
      <c r="AW74" s="8"/>
      <c r="AX74" s="8"/>
      <c r="AY74" s="8"/>
      <c r="AZ74" s="8"/>
      <c r="BA74" s="8"/>
      <c r="BB74" s="8"/>
      <c r="BC74" s="8"/>
      <c r="BD74" s="8"/>
      <c r="BE74" s="8"/>
      <c r="BF74" s="12"/>
      <c r="BH74" s="12"/>
      <c r="BI74" s="12"/>
      <c r="BJ74" s="12"/>
      <c r="BK74" s="12"/>
      <c r="BQ74" s="8"/>
      <c r="BR74" s="8"/>
      <c r="BT74" s="8"/>
      <c r="BV74" s="8"/>
      <c r="BX74" s="8"/>
    </row>
    <row r="75" spans="2:93">
      <c r="B75" s="8"/>
      <c r="C75" s="8"/>
      <c r="E75" s="8"/>
      <c r="F75" s="8"/>
      <c r="G75" s="8"/>
      <c r="H75" s="8"/>
      <c r="I75" s="8"/>
      <c r="J75" s="8"/>
      <c r="K75" s="34"/>
      <c r="L75" s="8"/>
      <c r="M75" s="8"/>
      <c r="N75" s="34"/>
      <c r="O75" s="34"/>
      <c r="P75" s="8"/>
      <c r="Q75" s="8"/>
      <c r="R75" s="8"/>
      <c r="S75" s="8"/>
      <c r="T75" s="8"/>
      <c r="U75" s="8"/>
      <c r="V75" s="8"/>
      <c r="W75" s="8"/>
      <c r="X75" s="8"/>
      <c r="Y75" s="34"/>
      <c r="Z75" s="8"/>
      <c r="AA75" s="8"/>
      <c r="AC75" s="8"/>
      <c r="AE75" s="8"/>
      <c r="AF75" s="8"/>
      <c r="AG75" s="8"/>
      <c r="AH75" s="8"/>
      <c r="AJ75" s="8"/>
      <c r="AK75" s="8" t="s">
        <v>808</v>
      </c>
      <c r="AL75" s="12" t="str">
        <v>Operational_Fuel_Storage_Volume_In_Model_Year</v>
      </c>
      <c r="AN75" s="8"/>
      <c r="AO75" s="8"/>
      <c r="AP75" s="8"/>
      <c r="AQ75" s="8"/>
      <c r="AR75" s="8"/>
      <c r="AS75" s="8"/>
      <c r="AT75" s="8"/>
      <c r="AU75" s="8"/>
      <c r="AV75" s="8"/>
      <c r="AW75" s="8"/>
      <c r="AX75" s="8"/>
      <c r="AY75" s="8"/>
      <c r="AZ75" s="8"/>
      <c r="BA75" s="8"/>
      <c r="BB75" s="8"/>
      <c r="BC75" s="8"/>
      <c r="BD75" s="8"/>
      <c r="BE75" s="8"/>
      <c r="BF75" s="12"/>
      <c r="BH75" s="12"/>
      <c r="BI75" s="12"/>
      <c r="BJ75" s="12"/>
      <c r="BK75" s="12"/>
      <c r="BQ75" s="8"/>
      <c r="BR75" s="8"/>
      <c r="BT75" s="8"/>
      <c r="BV75" s="8"/>
      <c r="BX75" s="8"/>
    </row>
    <row r="76" spans="2:93">
      <c r="B76" s="8"/>
      <c r="C76" s="8"/>
      <c r="E76" s="8"/>
      <c r="F76" s="8"/>
      <c r="G76" s="8"/>
      <c r="H76" s="8"/>
      <c r="I76" s="8"/>
      <c r="J76" s="8"/>
      <c r="K76" s="34"/>
      <c r="L76" s="8"/>
      <c r="M76" s="8"/>
      <c r="N76" s="34"/>
      <c r="O76" s="34"/>
      <c r="P76" s="8"/>
      <c r="Q76" s="8"/>
      <c r="R76" s="8"/>
      <c r="S76" s="8"/>
      <c r="T76" s="8"/>
      <c r="U76" s="8"/>
      <c r="V76" s="8"/>
      <c r="W76" s="8"/>
      <c r="X76" s="8"/>
      <c r="Y76" s="34"/>
      <c r="Z76" s="8"/>
      <c r="AA76" s="8"/>
      <c r="AC76" s="8"/>
      <c r="AE76" s="8"/>
      <c r="AF76" s="8"/>
      <c r="AG76" s="8"/>
      <c r="AH76" s="8"/>
      <c r="AJ76" s="8"/>
      <c r="AK76" s="8" t="s">
        <v>809</v>
      </c>
      <c r="AL76" s="12" t="str">
        <v>Operational_New_Capacity_By_Vintage_In_Model_Year</v>
      </c>
      <c r="AN76" s="8"/>
      <c r="AO76" s="8"/>
      <c r="AP76" s="8"/>
      <c r="AQ76" s="8"/>
      <c r="AR76" s="8"/>
      <c r="AS76" s="8"/>
      <c r="AT76" s="8"/>
      <c r="AU76" s="8"/>
      <c r="AV76" s="8"/>
      <c r="AW76" s="8"/>
      <c r="AX76" s="8"/>
      <c r="AY76" s="8"/>
      <c r="AZ76" s="8"/>
      <c r="BA76" s="8"/>
      <c r="BB76" s="8"/>
      <c r="BC76" s="8"/>
      <c r="BD76" s="8"/>
      <c r="BE76" s="8"/>
      <c r="BF76" s="12"/>
      <c r="BH76" s="12"/>
      <c r="BI76" s="12"/>
      <c r="BJ76" s="12"/>
      <c r="BK76" s="12"/>
      <c r="BQ76" s="8"/>
      <c r="BR76" s="8"/>
      <c r="BT76" s="8"/>
      <c r="BV76" s="8"/>
      <c r="BX76" s="8"/>
    </row>
    <row r="77" spans="2:93">
      <c r="B77" s="8"/>
      <c r="C77" s="8"/>
      <c r="E77" s="8"/>
      <c r="F77" s="8"/>
      <c r="G77" s="8"/>
      <c r="H77" s="8"/>
      <c r="I77" s="8"/>
      <c r="J77" s="8"/>
      <c r="K77" s="34"/>
      <c r="L77" s="8"/>
      <c r="M77" s="8"/>
      <c r="N77" s="34"/>
      <c r="O77" s="34"/>
      <c r="P77" s="8"/>
      <c r="Q77" s="8"/>
      <c r="R77" s="8"/>
      <c r="S77" s="8"/>
      <c r="T77" s="8"/>
      <c r="U77" s="8"/>
      <c r="V77" s="8"/>
      <c r="W77" s="8"/>
      <c r="X77" s="8"/>
      <c r="Y77" s="34"/>
      <c r="Z77" s="8"/>
      <c r="AA77" s="8"/>
      <c r="AC77" s="8"/>
      <c r="AE77" s="8"/>
      <c r="AF77" s="8"/>
      <c r="AG77" s="8"/>
      <c r="AH77" s="8"/>
      <c r="AJ77" s="8"/>
      <c r="AK77" s="8" t="s">
        <v>810</v>
      </c>
      <c r="AL77" s="12" t="str">
        <v>Operational_New_Capacity_MW</v>
      </c>
      <c r="AN77" s="8"/>
      <c r="AO77" s="8"/>
      <c r="AP77" s="8"/>
      <c r="AQ77" s="8"/>
      <c r="AR77" s="8"/>
      <c r="AS77" s="8"/>
      <c r="AT77" s="8"/>
      <c r="AU77" s="8"/>
      <c r="AV77" s="8"/>
      <c r="AW77" s="8"/>
      <c r="AX77" s="8"/>
      <c r="AY77" s="8"/>
      <c r="AZ77" s="8"/>
      <c r="BA77" s="8"/>
      <c r="BB77" s="8"/>
      <c r="BC77" s="8"/>
      <c r="BD77" s="8"/>
      <c r="BE77" s="8"/>
      <c r="BF77" s="12"/>
      <c r="BH77" s="12"/>
      <c r="BI77" s="12"/>
      <c r="BJ77" s="12"/>
      <c r="BK77" s="12"/>
      <c r="BQ77" s="8"/>
      <c r="BR77" s="8"/>
      <c r="BT77" s="8"/>
      <c r="BV77" s="8"/>
      <c r="BX77" s="8"/>
    </row>
    <row r="78" spans="2:93">
      <c r="B78" s="8"/>
      <c r="C78" s="8"/>
      <c r="E78" s="8"/>
      <c r="F78" s="8"/>
      <c r="G78" s="8"/>
      <c r="H78" s="8"/>
      <c r="I78" s="8"/>
      <c r="J78" s="8"/>
      <c r="K78" s="34"/>
      <c r="L78" s="8"/>
      <c r="M78" s="8"/>
      <c r="N78" s="34"/>
      <c r="O78" s="34"/>
      <c r="P78" s="8"/>
      <c r="Q78" s="8"/>
      <c r="R78" s="8"/>
      <c r="S78" s="8"/>
      <c r="T78" s="8"/>
      <c r="U78" s="8"/>
      <c r="V78" s="8"/>
      <c r="W78" s="8"/>
      <c r="X78" s="8"/>
      <c r="Y78" s="34"/>
      <c r="Z78" s="8"/>
      <c r="AA78" s="8"/>
      <c r="AC78" s="8"/>
      <c r="AE78" s="8"/>
      <c r="AF78" s="8"/>
      <c r="AG78" s="8"/>
      <c r="AH78" s="8"/>
      <c r="AJ78" s="8"/>
      <c r="AK78" s="8" t="s">
        <v>811</v>
      </c>
      <c r="AL78" s="12" t="str">
        <v>Operational_New_Fuel_Storage_Capacity_By_Vintage_In_Model_Year</v>
      </c>
      <c r="AN78" s="8"/>
      <c r="AO78" s="8"/>
      <c r="AP78" s="8"/>
      <c r="AQ78" s="8"/>
      <c r="AR78" s="8"/>
      <c r="AS78" s="8"/>
      <c r="AT78" s="8"/>
      <c r="AU78" s="8"/>
      <c r="AV78" s="8"/>
      <c r="AW78" s="8"/>
      <c r="AX78" s="8"/>
      <c r="AY78" s="8"/>
      <c r="AZ78" s="8"/>
      <c r="BA78" s="8"/>
      <c r="BB78" s="8"/>
      <c r="BC78" s="8"/>
      <c r="BD78" s="8"/>
      <c r="BE78" s="8"/>
      <c r="BF78" s="12"/>
      <c r="BH78" s="12"/>
      <c r="BI78" s="12"/>
      <c r="BJ78" s="12"/>
      <c r="BK78" s="12"/>
      <c r="BQ78" s="8"/>
      <c r="BR78" s="8"/>
      <c r="BT78" s="8"/>
      <c r="BV78" s="8"/>
      <c r="BX78" s="8"/>
    </row>
    <row r="79" spans="2:93">
      <c r="B79" s="8"/>
      <c r="C79" s="8"/>
      <c r="E79" s="8"/>
      <c r="F79" s="8"/>
      <c r="G79" s="8"/>
      <c r="H79" s="8"/>
      <c r="I79" s="8"/>
      <c r="J79" s="8"/>
      <c r="K79" s="34"/>
      <c r="L79" s="8"/>
      <c r="M79" s="8"/>
      <c r="N79" s="34"/>
      <c r="O79" s="34"/>
      <c r="P79" s="8"/>
      <c r="Q79" s="8"/>
      <c r="R79" s="8"/>
      <c r="S79" s="8"/>
      <c r="T79" s="8"/>
      <c r="U79" s="8"/>
      <c r="V79" s="8"/>
      <c r="W79" s="8"/>
      <c r="X79" s="8"/>
      <c r="Y79" s="34"/>
      <c r="Z79" s="8"/>
      <c r="AA79" s="8"/>
      <c r="AC79" s="8"/>
      <c r="AE79" s="8"/>
      <c r="AF79" s="8"/>
      <c r="AG79" s="8"/>
      <c r="AH79" s="8"/>
      <c r="AJ79" s="8"/>
      <c r="AK79" s="8" t="s">
        <v>812</v>
      </c>
      <c r="AL79" s="12" t="str">
        <v>Operational_New_Fuel_Storage_Capacity_MMBTU_H</v>
      </c>
      <c r="AN79" s="8"/>
      <c r="AO79" s="8"/>
      <c r="AP79" s="8"/>
      <c r="AQ79" s="8"/>
      <c r="AR79" s="8"/>
      <c r="AS79" s="8"/>
      <c r="AT79" s="8"/>
      <c r="AU79" s="8"/>
      <c r="AV79" s="8"/>
      <c r="AW79" s="8"/>
      <c r="AX79" s="8"/>
      <c r="AY79" s="8"/>
      <c r="AZ79" s="8"/>
      <c r="BA79" s="8"/>
      <c r="BB79" s="8"/>
      <c r="BC79" s="8"/>
      <c r="BD79" s="8"/>
      <c r="BE79" s="8"/>
      <c r="BF79" s="12"/>
      <c r="BH79" s="12"/>
      <c r="BI79" s="12"/>
      <c r="BJ79" s="12"/>
      <c r="BK79" s="12"/>
      <c r="BQ79" s="8"/>
      <c r="BR79" s="8"/>
      <c r="BT79" s="8"/>
      <c r="BV79" s="8"/>
      <c r="BX79" s="8"/>
    </row>
    <row r="80" spans="2:93">
      <c r="B80" s="8"/>
      <c r="C80" s="8"/>
      <c r="E80" s="8"/>
      <c r="F80" s="8"/>
      <c r="G80" s="8"/>
      <c r="H80" s="8"/>
      <c r="I80" s="8"/>
      <c r="J80" s="8"/>
      <c r="K80" s="34"/>
      <c r="L80" s="8"/>
      <c r="M80" s="8"/>
      <c r="N80" s="34"/>
      <c r="O80" s="34"/>
      <c r="P80" s="8"/>
      <c r="Q80" s="8"/>
      <c r="R80" s="8"/>
      <c r="S80" s="8"/>
      <c r="T80" s="8"/>
      <c r="U80" s="8"/>
      <c r="V80" s="8"/>
      <c r="W80" s="8"/>
      <c r="X80" s="8"/>
      <c r="Y80" s="34"/>
      <c r="Z80" s="8"/>
      <c r="AA80" s="8"/>
      <c r="AC80" s="8"/>
      <c r="AE80" s="8"/>
      <c r="AF80" s="8"/>
      <c r="AG80" s="8"/>
      <c r="AH80" s="8"/>
      <c r="AJ80" s="8"/>
      <c r="AK80" s="8" t="s">
        <v>813</v>
      </c>
      <c r="AL80" s="12" t="str">
        <v>Operational_New_Fuel_Storage_Volume_By_Vintage_In_Model_Year</v>
      </c>
      <c r="AN80" s="8"/>
      <c r="AO80" s="8"/>
      <c r="AP80" s="8"/>
      <c r="AQ80" s="8"/>
      <c r="AR80" s="8"/>
      <c r="AS80" s="8"/>
      <c r="AT80" s="8"/>
      <c r="AU80" s="8"/>
      <c r="AV80" s="8"/>
      <c r="AW80" s="8"/>
      <c r="AX80" s="8"/>
      <c r="AY80" s="8"/>
      <c r="AZ80" s="8"/>
      <c r="BA80" s="8"/>
      <c r="BB80" s="8"/>
      <c r="BC80" s="8"/>
      <c r="BD80" s="8"/>
      <c r="BE80" s="8"/>
      <c r="BF80" s="12"/>
      <c r="BH80" s="12"/>
      <c r="BI80" s="12"/>
      <c r="BJ80" s="12"/>
      <c r="BK80" s="12"/>
      <c r="BQ80" s="8"/>
      <c r="BR80" s="8"/>
      <c r="BT80" s="8"/>
      <c r="BV80" s="8"/>
      <c r="BX80" s="8"/>
    </row>
    <row r="81" spans="2:76">
      <c r="B81" s="8"/>
      <c r="C81" s="8"/>
      <c r="E81" s="8"/>
      <c r="F81" s="8"/>
      <c r="G81" s="8"/>
      <c r="H81" s="8"/>
      <c r="I81" s="8"/>
      <c r="J81" s="8"/>
      <c r="K81" s="34"/>
      <c r="L81" s="8"/>
      <c r="M81" s="8"/>
      <c r="N81" s="34"/>
      <c r="O81" s="34"/>
      <c r="P81" s="8"/>
      <c r="Q81" s="8"/>
      <c r="R81" s="8"/>
      <c r="S81" s="8"/>
      <c r="T81" s="8"/>
      <c r="U81" s="8"/>
      <c r="V81" s="8"/>
      <c r="W81" s="8"/>
      <c r="X81" s="8"/>
      <c r="Y81" s="34"/>
      <c r="Z81" s="8"/>
      <c r="AA81" s="8"/>
      <c r="AC81" s="8"/>
      <c r="AE81" s="8"/>
      <c r="AF81" s="8"/>
      <c r="AG81" s="8"/>
      <c r="AH81" s="8"/>
      <c r="AJ81" s="8"/>
      <c r="AK81" s="8" t="s">
        <v>814</v>
      </c>
      <c r="AL81" s="12" t="str">
        <v>Operational_New_Fuel_Storage_Volume_In_Model_Year</v>
      </c>
      <c r="AN81" s="8"/>
      <c r="AO81" s="8"/>
      <c r="AP81" s="8"/>
      <c r="AQ81" s="8"/>
      <c r="AR81" s="8"/>
      <c r="AS81" s="8"/>
      <c r="AT81" s="8"/>
      <c r="AU81" s="8"/>
      <c r="AV81" s="8"/>
      <c r="AW81" s="8"/>
      <c r="AX81" s="8"/>
      <c r="AY81" s="8"/>
      <c r="AZ81" s="8"/>
      <c r="BA81" s="8"/>
      <c r="BB81" s="8"/>
      <c r="BC81" s="8"/>
      <c r="BD81" s="8"/>
      <c r="BE81" s="8"/>
      <c r="BF81" s="12"/>
      <c r="BH81" s="12"/>
      <c r="BI81" s="12"/>
      <c r="BJ81" s="12"/>
      <c r="BK81" s="12"/>
      <c r="BQ81" s="8"/>
      <c r="BR81" s="8"/>
      <c r="BT81" s="8"/>
      <c r="BV81" s="8"/>
      <c r="BX81" s="8"/>
    </row>
    <row r="82" spans="2:76">
      <c r="B82" s="8"/>
      <c r="C82" s="8"/>
      <c r="E82" s="8"/>
      <c r="F82" s="8"/>
      <c r="G82" s="8"/>
      <c r="H82" s="8"/>
      <c r="I82" s="8"/>
      <c r="J82" s="8"/>
      <c r="K82" s="34"/>
      <c r="L82" s="8"/>
      <c r="M82" s="8"/>
      <c r="N82" s="34"/>
      <c r="O82" s="34"/>
      <c r="P82" s="8"/>
      <c r="Q82" s="8"/>
      <c r="R82" s="8"/>
      <c r="S82" s="8"/>
      <c r="T82" s="8"/>
      <c r="U82" s="8"/>
      <c r="V82" s="8"/>
      <c r="W82" s="8"/>
      <c r="X82" s="8"/>
      <c r="Y82" s="34"/>
      <c r="Z82" s="8"/>
      <c r="AA82" s="8"/>
      <c r="AC82" s="8"/>
      <c r="AE82" s="8"/>
      <c r="AF82" s="8"/>
      <c r="AG82" s="8"/>
      <c r="AH82" s="8"/>
      <c r="AJ82" s="8"/>
      <c r="AK82" s="8" t="s">
        <v>815</v>
      </c>
      <c r="AL82" s="12" t="str">
        <v>Operational_New_Storage_By_Vintage_In_Model_Year</v>
      </c>
      <c r="AN82" s="8"/>
      <c r="AO82" s="8"/>
      <c r="AP82" s="8"/>
      <c r="AQ82" s="8"/>
      <c r="AR82" s="8"/>
      <c r="AS82" s="8"/>
      <c r="AT82" s="8"/>
      <c r="AU82" s="8"/>
      <c r="AV82" s="8"/>
      <c r="AW82" s="8"/>
      <c r="AX82" s="8"/>
      <c r="AY82" s="8"/>
      <c r="AZ82" s="8"/>
      <c r="BA82" s="8"/>
      <c r="BB82" s="8"/>
      <c r="BC82" s="8"/>
      <c r="BD82" s="8"/>
      <c r="BE82" s="8"/>
      <c r="BF82" s="12"/>
      <c r="BH82" s="12"/>
      <c r="BI82" s="12"/>
      <c r="BJ82" s="12"/>
      <c r="BK82" s="12"/>
      <c r="BQ82" s="8"/>
      <c r="BR82" s="8"/>
      <c r="BT82" s="8"/>
      <c r="BV82" s="8"/>
      <c r="BX82" s="8"/>
    </row>
    <row r="83" spans="2:76">
      <c r="B83" s="8"/>
      <c r="C83" s="8"/>
      <c r="E83" s="8"/>
      <c r="F83" s="8"/>
      <c r="G83" s="8"/>
      <c r="H83" s="8"/>
      <c r="I83" s="8"/>
      <c r="J83" s="8"/>
      <c r="K83" s="34"/>
      <c r="L83" s="8"/>
      <c r="M83" s="8"/>
      <c r="N83" s="34"/>
      <c r="O83" s="34"/>
      <c r="P83" s="8"/>
      <c r="Q83" s="8"/>
      <c r="R83" s="8"/>
      <c r="S83" s="8"/>
      <c r="T83" s="8"/>
      <c r="U83" s="8"/>
      <c r="V83" s="8"/>
      <c r="W83" s="8"/>
      <c r="X83" s="8"/>
      <c r="Y83" s="34"/>
      <c r="Z83" s="8"/>
      <c r="AA83" s="8"/>
      <c r="AC83" s="8"/>
      <c r="AE83" s="8"/>
      <c r="AF83" s="8"/>
      <c r="AG83" s="8"/>
      <c r="AH83" s="8"/>
      <c r="AJ83" s="8"/>
      <c r="AK83" s="8" t="s">
        <v>816</v>
      </c>
      <c r="AL83" s="12" t="str">
        <v>Operational_Planned_Capacity_In_Model_Year</v>
      </c>
      <c r="AN83" s="8"/>
      <c r="AO83" s="8"/>
      <c r="AP83" s="8"/>
      <c r="AQ83" s="8"/>
      <c r="AR83" s="8"/>
      <c r="AS83" s="8"/>
      <c r="AT83" s="8"/>
      <c r="AU83" s="8"/>
      <c r="AV83" s="8"/>
      <c r="AW83" s="8"/>
      <c r="AX83" s="8"/>
      <c r="AY83" s="8"/>
      <c r="AZ83" s="8"/>
      <c r="BA83" s="8"/>
      <c r="BB83" s="8"/>
      <c r="BC83" s="8"/>
      <c r="BD83" s="8"/>
      <c r="BE83" s="8"/>
      <c r="BF83" s="12"/>
      <c r="BH83" s="12"/>
      <c r="BI83" s="12"/>
      <c r="BJ83" s="12"/>
      <c r="BK83" s="12"/>
      <c r="BQ83" s="8"/>
      <c r="BR83" s="8"/>
      <c r="BT83" s="8"/>
      <c r="BV83" s="8"/>
      <c r="BX83" s="8"/>
    </row>
    <row r="84" spans="2:76">
      <c r="B84" s="8"/>
      <c r="C84" s="8"/>
      <c r="E84" s="8"/>
      <c r="F84" s="8"/>
      <c r="G84" s="8"/>
      <c r="H84" s="8"/>
      <c r="I84" s="8"/>
      <c r="J84" s="8"/>
      <c r="K84" s="34"/>
      <c r="L84" s="8"/>
      <c r="M84" s="8"/>
      <c r="N84" s="34"/>
      <c r="O84" s="34"/>
      <c r="P84" s="8"/>
      <c r="Q84" s="8"/>
      <c r="R84" s="8"/>
      <c r="S84" s="8"/>
      <c r="T84" s="8"/>
      <c r="U84" s="8"/>
      <c r="V84" s="8"/>
      <c r="W84" s="8"/>
      <c r="X84" s="8"/>
      <c r="Y84" s="34"/>
      <c r="Z84" s="8"/>
      <c r="AA84" s="8"/>
      <c r="AC84" s="8"/>
      <c r="AE84" s="8"/>
      <c r="AF84" s="8"/>
      <c r="AG84" s="8"/>
      <c r="AH84" s="8"/>
      <c r="AJ84" s="8"/>
      <c r="AK84" s="8" t="s">
        <v>817</v>
      </c>
      <c r="AL84" s="12" t="str">
        <v>Operational_Planned_Fuel_Storage_Capacity_In_Model_Year</v>
      </c>
      <c r="AN84" s="8"/>
      <c r="AO84" s="8"/>
      <c r="AP84" s="8"/>
      <c r="AQ84" s="8"/>
      <c r="AR84" s="8"/>
      <c r="AS84" s="8"/>
      <c r="AT84" s="8"/>
      <c r="AU84" s="8"/>
      <c r="AV84" s="8"/>
      <c r="AW84" s="8"/>
      <c r="AX84" s="8"/>
      <c r="AY84" s="8"/>
      <c r="AZ84" s="8"/>
      <c r="BA84" s="8"/>
      <c r="BB84" s="8"/>
      <c r="BC84" s="8"/>
      <c r="BD84" s="8"/>
      <c r="BE84" s="8"/>
      <c r="BF84" s="12"/>
      <c r="BH84" s="12"/>
      <c r="BI84" s="12"/>
      <c r="BJ84" s="12"/>
      <c r="BK84" s="12"/>
      <c r="BQ84" s="8"/>
      <c r="BR84" s="8"/>
      <c r="BT84" s="8"/>
      <c r="BV84" s="8"/>
      <c r="BX84" s="8"/>
    </row>
    <row r="85" spans="2:76">
      <c r="B85" s="8"/>
      <c r="C85" s="8"/>
      <c r="E85" s="8"/>
      <c r="F85" s="8"/>
      <c r="G85" s="8"/>
      <c r="H85" s="8"/>
      <c r="I85" s="8"/>
      <c r="J85" s="8"/>
      <c r="K85" s="34"/>
      <c r="L85" s="8"/>
      <c r="M85" s="8"/>
      <c r="N85" s="34"/>
      <c r="O85" s="34"/>
      <c r="P85" s="8"/>
      <c r="Q85" s="8"/>
      <c r="R85" s="8"/>
      <c r="S85" s="8"/>
      <c r="T85" s="8"/>
      <c r="U85" s="8"/>
      <c r="V85" s="8"/>
      <c r="W85" s="8"/>
      <c r="X85" s="8"/>
      <c r="Y85" s="34"/>
      <c r="Z85" s="8"/>
      <c r="AA85" s="8"/>
      <c r="AC85" s="8"/>
      <c r="AE85" s="8"/>
      <c r="AF85" s="8"/>
      <c r="AG85" s="8"/>
      <c r="AH85" s="8"/>
      <c r="AJ85" s="8"/>
      <c r="AK85" s="8" t="s">
        <v>818</v>
      </c>
      <c r="AL85" s="12" t="str">
        <v>Operational_Planned_Fuel_Storage_Volume_In_Model_Year</v>
      </c>
      <c r="AN85" s="8"/>
      <c r="AO85" s="8"/>
      <c r="AP85" s="8"/>
      <c r="AQ85" s="8"/>
      <c r="AR85" s="8"/>
      <c r="AS85" s="8"/>
      <c r="AT85" s="8"/>
      <c r="AU85" s="8"/>
      <c r="AV85" s="8"/>
      <c r="AW85" s="8"/>
      <c r="AX85" s="8"/>
      <c r="AY85" s="8"/>
      <c r="AZ85" s="8"/>
      <c r="BA85" s="8"/>
      <c r="BB85" s="8"/>
      <c r="BC85" s="8"/>
      <c r="BD85" s="8"/>
      <c r="BE85" s="8"/>
      <c r="BF85" s="12"/>
      <c r="BH85" s="12"/>
      <c r="BI85" s="12"/>
      <c r="BJ85" s="12"/>
      <c r="BK85" s="12"/>
      <c r="BQ85" s="8"/>
      <c r="BR85" s="8"/>
      <c r="BT85" s="8"/>
      <c r="BV85" s="8"/>
      <c r="BX85" s="8"/>
    </row>
    <row r="86" spans="2:76">
      <c r="B86" s="8"/>
      <c r="C86" s="8"/>
      <c r="E86" s="8"/>
      <c r="F86" s="8"/>
      <c r="G86" s="8"/>
      <c r="H86" s="8"/>
      <c r="I86" s="8"/>
      <c r="J86" s="8"/>
      <c r="K86" s="34"/>
      <c r="L86" s="8"/>
      <c r="M86" s="8"/>
      <c r="N86" s="34"/>
      <c r="O86" s="34"/>
      <c r="P86" s="8"/>
      <c r="Q86" s="8"/>
      <c r="R86" s="8"/>
      <c r="S86" s="8"/>
      <c r="T86" s="8"/>
      <c r="U86" s="8"/>
      <c r="V86" s="8"/>
      <c r="W86" s="8"/>
      <c r="X86" s="8"/>
      <c r="Y86" s="34"/>
      <c r="Z86" s="8"/>
      <c r="AA86" s="8"/>
      <c r="AC86" s="8"/>
      <c r="AE86" s="8"/>
      <c r="AF86" s="8"/>
      <c r="AG86" s="8"/>
      <c r="AH86" s="8"/>
      <c r="AJ86" s="8"/>
      <c r="AK86" s="8" t="s">
        <v>819</v>
      </c>
      <c r="AL86" s="12" t="str">
        <v>Operational_Planned_Storage_In_Model_Year</v>
      </c>
      <c r="AN86" s="8"/>
      <c r="AO86" s="8"/>
      <c r="AP86" s="8"/>
      <c r="AQ86" s="8"/>
      <c r="AR86" s="8"/>
      <c r="AS86" s="8"/>
      <c r="AT86" s="8"/>
      <c r="AU86" s="8"/>
      <c r="AV86" s="8"/>
      <c r="AW86" s="8"/>
      <c r="AX86" s="8"/>
      <c r="AY86" s="8"/>
      <c r="AZ86" s="8"/>
      <c r="BA86" s="8"/>
      <c r="BB86" s="8"/>
      <c r="BC86" s="8"/>
      <c r="BD86" s="8"/>
      <c r="BE86" s="8"/>
      <c r="BF86" s="12"/>
      <c r="BH86" s="12"/>
      <c r="BI86" s="12"/>
      <c r="BJ86" s="12"/>
      <c r="BK86" s="12"/>
      <c r="BQ86" s="8"/>
      <c r="BR86" s="8"/>
      <c r="BT86" s="8"/>
      <c r="BV86" s="8"/>
      <c r="BX86" s="8"/>
    </row>
    <row r="87" spans="2:76">
      <c r="B87" s="8"/>
      <c r="C87" s="8"/>
      <c r="E87" s="8"/>
      <c r="F87" s="8"/>
      <c r="G87" s="8"/>
      <c r="H87" s="8"/>
      <c r="I87" s="8"/>
      <c r="J87" s="8"/>
      <c r="K87" s="34"/>
      <c r="L87" s="8"/>
      <c r="M87" s="8"/>
      <c r="N87" s="34"/>
      <c r="O87" s="34"/>
      <c r="P87" s="8"/>
      <c r="Q87" s="8"/>
      <c r="R87" s="8"/>
      <c r="S87" s="8"/>
      <c r="T87" s="8"/>
      <c r="U87" s="8"/>
      <c r="V87" s="8"/>
      <c r="W87" s="8"/>
      <c r="X87" s="8"/>
      <c r="Y87" s="34"/>
      <c r="Z87" s="8"/>
      <c r="AA87" s="8"/>
      <c r="AC87" s="8"/>
      <c r="AE87" s="8"/>
      <c r="AF87" s="8"/>
      <c r="AG87" s="8"/>
      <c r="AH87" s="8"/>
      <c r="AJ87" s="8"/>
      <c r="AK87" s="8" t="s">
        <v>820</v>
      </c>
      <c r="AL87" s="12" t="str">
        <v>Operational_Storage_In_Model_Year</v>
      </c>
      <c r="AN87" s="8"/>
      <c r="AO87" s="8"/>
      <c r="AP87" s="8"/>
      <c r="AQ87" s="8"/>
      <c r="AR87" s="8"/>
      <c r="AS87" s="8"/>
      <c r="AT87" s="8"/>
      <c r="AU87" s="8"/>
      <c r="AV87" s="8"/>
      <c r="AW87" s="8"/>
      <c r="AX87" s="8"/>
      <c r="AY87" s="8"/>
      <c r="AZ87" s="8"/>
      <c r="BA87" s="8"/>
      <c r="BB87" s="8"/>
      <c r="BC87" s="8"/>
      <c r="BD87" s="8"/>
      <c r="BE87" s="8"/>
      <c r="BF87" s="12"/>
      <c r="BH87" s="12"/>
      <c r="BI87" s="12"/>
      <c r="BJ87" s="12"/>
      <c r="BK87" s="12"/>
      <c r="BQ87" s="8"/>
      <c r="BR87" s="8"/>
      <c r="BT87" s="8"/>
      <c r="BV87" s="8"/>
      <c r="BX87" s="8"/>
    </row>
    <row r="88" spans="2:76">
      <c r="B88" s="8"/>
      <c r="C88" s="8"/>
      <c r="E88" s="8"/>
      <c r="F88" s="8"/>
      <c r="G88" s="8"/>
      <c r="H88" s="8"/>
      <c r="I88" s="8"/>
      <c r="J88" s="8"/>
      <c r="K88" s="34"/>
      <c r="L88" s="8"/>
      <c r="M88" s="8"/>
      <c r="N88" s="34"/>
      <c r="O88" s="34"/>
      <c r="P88" s="8"/>
      <c r="Q88" s="8"/>
      <c r="R88" s="8"/>
      <c r="S88" s="8"/>
      <c r="T88" s="8"/>
      <c r="U88" s="8"/>
      <c r="V88" s="8"/>
      <c r="W88" s="8"/>
      <c r="X88" s="8"/>
      <c r="Y88" s="34"/>
      <c r="Z88" s="8"/>
      <c r="AA88" s="8"/>
      <c r="AC88" s="8"/>
      <c r="AE88" s="8"/>
      <c r="AF88" s="8"/>
      <c r="AG88" s="8"/>
      <c r="AH88" s="8"/>
      <c r="AJ88" s="8"/>
      <c r="AK88" s="8" t="s">
        <v>821</v>
      </c>
      <c r="AL88" s="12" t="str">
        <v>Operational_Units_In_Timepoint</v>
      </c>
      <c r="AN88" s="8"/>
      <c r="AO88" s="8"/>
      <c r="AP88" s="8"/>
      <c r="AQ88" s="8"/>
      <c r="AR88" s="8"/>
      <c r="AS88" s="8"/>
      <c r="AT88" s="8"/>
      <c r="AU88" s="8"/>
      <c r="AV88" s="8"/>
      <c r="AW88" s="8"/>
      <c r="AX88" s="8"/>
      <c r="AY88" s="8"/>
      <c r="AZ88" s="8"/>
      <c r="BA88" s="8"/>
      <c r="BB88" s="8"/>
      <c r="BC88" s="8"/>
      <c r="BD88" s="8"/>
      <c r="BE88" s="8"/>
      <c r="BF88" s="12"/>
      <c r="BH88" s="12"/>
      <c r="BI88" s="12"/>
      <c r="BJ88" s="12"/>
      <c r="BK88" s="12"/>
      <c r="BQ88" s="8"/>
      <c r="BR88" s="8"/>
      <c r="BT88" s="8"/>
      <c r="BV88" s="8"/>
      <c r="BX88" s="8"/>
    </row>
    <row r="89" spans="2:76">
      <c r="B89" s="8"/>
      <c r="C89" s="8"/>
      <c r="E89" s="8"/>
      <c r="F89" s="8"/>
      <c r="G89" s="8"/>
      <c r="H89" s="8"/>
      <c r="I89" s="8"/>
      <c r="J89" s="8"/>
      <c r="K89" s="34"/>
      <c r="L89" s="8"/>
      <c r="M89" s="8"/>
      <c r="N89" s="34"/>
      <c r="O89" s="34"/>
      <c r="P89" s="8"/>
      <c r="Q89" s="8"/>
      <c r="R89" s="8"/>
      <c r="S89" s="8"/>
      <c r="T89" s="8"/>
      <c r="U89" s="8"/>
      <c r="V89" s="8"/>
      <c r="W89" s="8"/>
      <c r="X89" s="8"/>
      <c r="Y89" s="34"/>
      <c r="Z89" s="8"/>
      <c r="AA89" s="8"/>
      <c r="AC89" s="8"/>
      <c r="AE89" s="8"/>
      <c r="AF89" s="8"/>
      <c r="AG89" s="8"/>
      <c r="AH89" s="8"/>
      <c r="AJ89" s="8"/>
      <c r="AK89" s="8" t="s">
        <v>822</v>
      </c>
      <c r="AL89" s="12" t="str">
        <v>Overgen_MW</v>
      </c>
      <c r="AN89" s="8"/>
      <c r="AO89" s="8"/>
      <c r="AP89" s="8"/>
      <c r="AQ89" s="8"/>
      <c r="AR89" s="8"/>
      <c r="AS89" s="8"/>
      <c r="AT89" s="8"/>
      <c r="AU89" s="8"/>
      <c r="AV89" s="8"/>
      <c r="AW89" s="8"/>
      <c r="AX89" s="8"/>
      <c r="AY89" s="8"/>
      <c r="AZ89" s="8"/>
      <c r="BA89" s="8"/>
      <c r="BB89" s="8"/>
      <c r="BC89" s="8"/>
      <c r="BD89" s="8"/>
      <c r="BE89" s="8"/>
      <c r="BF89" s="12"/>
      <c r="BH89" s="12"/>
      <c r="BI89" s="12"/>
      <c r="BJ89" s="12"/>
      <c r="BK89" s="12"/>
      <c r="BQ89" s="8"/>
      <c r="BR89" s="8"/>
      <c r="BT89" s="8"/>
      <c r="BV89" s="8"/>
      <c r="BX89" s="8"/>
    </row>
    <row r="90" spans="2:76">
      <c r="B90" s="8"/>
      <c r="C90" s="8"/>
      <c r="E90" s="8"/>
      <c r="F90" s="8"/>
      <c r="G90" s="8"/>
      <c r="H90" s="8"/>
      <c r="I90" s="8"/>
      <c r="J90" s="8"/>
      <c r="K90" s="34"/>
      <c r="L90" s="8"/>
      <c r="M90" s="8"/>
      <c r="N90" s="34"/>
      <c r="O90" s="34"/>
      <c r="P90" s="8"/>
      <c r="Q90" s="8"/>
      <c r="R90" s="8"/>
      <c r="S90" s="8"/>
      <c r="T90" s="8"/>
      <c r="U90" s="8"/>
      <c r="V90" s="8"/>
      <c r="W90" s="8"/>
      <c r="X90" s="8"/>
      <c r="Y90" s="34"/>
      <c r="Z90" s="8"/>
      <c r="AA90" s="8"/>
      <c r="AC90" s="8"/>
      <c r="AE90" s="8"/>
      <c r="AF90" s="8"/>
      <c r="AG90" s="8"/>
      <c r="AH90" s="8"/>
      <c r="AJ90" s="8"/>
      <c r="AK90" s="8" t="s">
        <v>823</v>
      </c>
      <c r="AL90" s="12" t="str">
        <v>Overproduction_MMBTU_H</v>
      </c>
      <c r="AN90" s="8"/>
      <c r="AO90" s="8"/>
      <c r="AP90" s="8"/>
      <c r="AQ90" s="8"/>
      <c r="AR90" s="8"/>
      <c r="AS90" s="8"/>
      <c r="AT90" s="8"/>
      <c r="AU90" s="8"/>
      <c r="AV90" s="8"/>
      <c r="AW90" s="8"/>
      <c r="AX90" s="8"/>
      <c r="AY90" s="8"/>
      <c r="AZ90" s="8"/>
      <c r="BA90" s="8"/>
      <c r="BB90" s="8"/>
      <c r="BC90" s="8"/>
      <c r="BD90" s="8"/>
      <c r="BE90" s="8"/>
      <c r="BF90" s="12"/>
      <c r="BH90" s="12"/>
      <c r="BI90" s="12"/>
      <c r="BJ90" s="12"/>
      <c r="BK90" s="12"/>
      <c r="BQ90" s="8"/>
      <c r="BR90" s="8"/>
      <c r="BT90" s="8"/>
      <c r="BV90" s="8"/>
      <c r="BX90" s="8"/>
    </row>
    <row r="91" spans="2:76">
      <c r="B91" s="8"/>
      <c r="C91" s="8"/>
      <c r="E91" s="8"/>
      <c r="F91" s="8"/>
      <c r="G91" s="8"/>
      <c r="H91" s="8"/>
      <c r="I91" s="8"/>
      <c r="J91" s="8"/>
      <c r="K91" s="34"/>
      <c r="L91" s="8"/>
      <c r="M91" s="8"/>
      <c r="N91" s="34"/>
      <c r="O91" s="34"/>
      <c r="P91" s="8"/>
      <c r="Q91" s="8"/>
      <c r="R91" s="8"/>
      <c r="S91" s="8"/>
      <c r="T91" s="8"/>
      <c r="U91" s="8"/>
      <c r="V91" s="8"/>
      <c r="W91" s="8"/>
      <c r="X91" s="8"/>
      <c r="Y91" s="34"/>
      <c r="Z91" s="8"/>
      <c r="AA91" s="8"/>
      <c r="AC91" s="8"/>
      <c r="AE91" s="8"/>
      <c r="AF91" s="8"/>
      <c r="AG91" s="8"/>
      <c r="AH91" s="8"/>
      <c r="AJ91" s="8"/>
      <c r="AK91" s="8" t="s">
        <v>824</v>
      </c>
      <c r="AL91" s="12" t="str">
        <v>Plant_Increase_Load_Capacity_In_Timepoint_MW</v>
      </c>
      <c r="AN91" s="8"/>
      <c r="AO91" s="8"/>
      <c r="AP91" s="8"/>
      <c r="AQ91" s="8"/>
      <c r="AR91" s="8"/>
      <c r="AS91" s="8"/>
      <c r="AT91" s="8"/>
      <c r="AU91" s="8"/>
      <c r="AV91" s="8"/>
      <c r="AW91" s="8"/>
      <c r="AX91" s="8"/>
      <c r="AY91" s="8"/>
      <c r="AZ91" s="8"/>
      <c r="BA91" s="8"/>
      <c r="BB91" s="8"/>
      <c r="BC91" s="8"/>
      <c r="BD91" s="8"/>
      <c r="BE91" s="8"/>
      <c r="BF91" s="12"/>
      <c r="BH91" s="12"/>
      <c r="BI91" s="12"/>
      <c r="BJ91" s="12"/>
      <c r="BK91" s="12"/>
      <c r="BQ91" s="8"/>
      <c r="BR91" s="8"/>
      <c r="BT91" s="8"/>
      <c r="BV91" s="8"/>
      <c r="BX91" s="8"/>
    </row>
    <row r="92" spans="2:76">
      <c r="B92" s="8"/>
      <c r="C92" s="8"/>
      <c r="E92" s="8"/>
      <c r="F92" s="8"/>
      <c r="G92" s="8"/>
      <c r="H92" s="8"/>
      <c r="I92" s="8"/>
      <c r="J92" s="8"/>
      <c r="K92" s="34"/>
      <c r="L92" s="8"/>
      <c r="M92" s="8"/>
      <c r="N92" s="34"/>
      <c r="O92" s="34"/>
      <c r="P92" s="8"/>
      <c r="Q92" s="8"/>
      <c r="R92" s="8"/>
      <c r="S92" s="8"/>
      <c r="T92" s="8"/>
      <c r="U92" s="8"/>
      <c r="V92" s="8"/>
      <c r="W92" s="8"/>
      <c r="X92" s="8"/>
      <c r="Y92" s="34"/>
      <c r="Z92" s="8"/>
      <c r="AA92" s="8"/>
      <c r="AC92" s="8"/>
      <c r="AE92" s="8"/>
      <c r="AF92" s="8"/>
      <c r="AG92" s="8"/>
      <c r="AH92" s="8"/>
      <c r="AJ92" s="8"/>
      <c r="AK92" s="8" t="s">
        <v>825</v>
      </c>
      <c r="AL92" s="12" t="str">
        <v>Plant_Power_Min_Capacity_In_Timepoint_MW</v>
      </c>
      <c r="AN92" s="8"/>
      <c r="AO92" s="8"/>
      <c r="AP92" s="8"/>
      <c r="AQ92" s="8"/>
      <c r="AR92" s="8"/>
      <c r="AS92" s="8"/>
      <c r="AT92" s="8"/>
      <c r="AU92" s="8"/>
      <c r="AV92" s="8"/>
      <c r="AW92" s="8"/>
      <c r="AX92" s="8"/>
      <c r="AY92" s="8"/>
      <c r="AZ92" s="8"/>
      <c r="BA92" s="8"/>
      <c r="BB92" s="8"/>
      <c r="BC92" s="8"/>
      <c r="BD92" s="8"/>
      <c r="BE92" s="8"/>
      <c r="BF92" s="12"/>
      <c r="BH92" s="12"/>
      <c r="BI92" s="12"/>
      <c r="BJ92" s="12"/>
      <c r="BK92" s="12"/>
      <c r="BQ92" s="8"/>
      <c r="BR92" s="8"/>
      <c r="BT92" s="8"/>
      <c r="BV92" s="8"/>
      <c r="BX92" s="8"/>
    </row>
    <row r="93" spans="2:76">
      <c r="B93" s="8"/>
      <c r="C93" s="8"/>
      <c r="E93" s="8"/>
      <c r="F93" s="8"/>
      <c r="G93" s="8"/>
      <c r="H93" s="8"/>
      <c r="I93" s="8"/>
      <c r="J93" s="8"/>
      <c r="K93" s="34"/>
      <c r="L93" s="8"/>
      <c r="M93" s="8"/>
      <c r="N93" s="34"/>
      <c r="O93" s="34"/>
      <c r="P93" s="8"/>
      <c r="Q93" s="8"/>
      <c r="R93" s="8"/>
      <c r="S93" s="8"/>
      <c r="T93" s="8"/>
      <c r="U93" s="8"/>
      <c r="V93" s="8"/>
      <c r="W93" s="8"/>
      <c r="X93" s="8"/>
      <c r="Y93" s="34"/>
      <c r="Z93" s="8"/>
      <c r="AA93" s="8"/>
      <c r="AC93" s="8"/>
      <c r="AE93" s="8"/>
      <c r="AF93" s="8"/>
      <c r="AG93" s="8"/>
      <c r="AH93" s="8"/>
      <c r="AJ93" s="8"/>
      <c r="AK93" s="8" t="s">
        <v>826</v>
      </c>
      <c r="AL93" s="12" t="str">
        <v>Plant_Provide_Power_Capacity_In_Timepoint_MW</v>
      </c>
      <c r="AN93" s="8"/>
      <c r="AO93" s="8"/>
      <c r="AP93" s="8"/>
      <c r="AQ93" s="8"/>
      <c r="AR93" s="8"/>
      <c r="AS93" s="8"/>
      <c r="AT93" s="8"/>
      <c r="AU93" s="8"/>
      <c r="AV93" s="8"/>
      <c r="AW93" s="8"/>
      <c r="AX93" s="8"/>
      <c r="AY93" s="8"/>
      <c r="AZ93" s="8"/>
      <c r="BA93" s="8"/>
      <c r="BB93" s="8"/>
      <c r="BC93" s="8"/>
      <c r="BD93" s="8"/>
      <c r="BE93" s="8"/>
      <c r="BF93" s="12"/>
      <c r="BH93" s="12"/>
      <c r="BI93" s="12"/>
      <c r="BJ93" s="12"/>
      <c r="BK93" s="12"/>
      <c r="BQ93" s="8"/>
      <c r="BR93" s="8"/>
      <c r="BT93" s="8"/>
      <c r="BV93" s="8"/>
      <c r="BX93" s="8"/>
    </row>
    <row r="94" spans="2:76">
      <c r="B94" s="8"/>
      <c r="C94" s="8"/>
      <c r="E94" s="8"/>
      <c r="F94" s="8"/>
      <c r="G94" s="8"/>
      <c r="H94" s="8"/>
      <c r="I94" s="8"/>
      <c r="J94" s="8"/>
      <c r="K94" s="34"/>
      <c r="L94" s="8"/>
      <c r="M94" s="8"/>
      <c r="N94" s="34"/>
      <c r="O94" s="34"/>
      <c r="P94" s="8"/>
      <c r="Q94" s="8"/>
      <c r="R94" s="8"/>
      <c r="S94" s="8"/>
      <c r="T94" s="8"/>
      <c r="U94" s="8"/>
      <c r="V94" s="8"/>
      <c r="W94" s="8"/>
      <c r="X94" s="8"/>
      <c r="Y94" s="34"/>
      <c r="Z94" s="8"/>
      <c r="AA94" s="8"/>
      <c r="AC94" s="8"/>
      <c r="AE94" s="8"/>
      <c r="AF94" s="8"/>
      <c r="AG94" s="8"/>
      <c r="AH94" s="8"/>
      <c r="AJ94" s="8"/>
      <c r="AK94" s="8" t="s">
        <v>827</v>
      </c>
      <c r="AL94" s="12" t="str">
        <v>Plant_Variable_Cost_In_Timepoint</v>
      </c>
      <c r="AN94" s="8"/>
      <c r="AO94" s="8"/>
      <c r="AP94" s="8"/>
      <c r="AQ94" s="8"/>
      <c r="AR94" s="8"/>
      <c r="AS94" s="8"/>
      <c r="AT94" s="8"/>
      <c r="AU94" s="8"/>
      <c r="AV94" s="8"/>
      <c r="AW94" s="8"/>
      <c r="AX94" s="8"/>
      <c r="AY94" s="8"/>
      <c r="AZ94" s="8"/>
      <c r="BA94" s="8"/>
      <c r="BB94" s="8"/>
      <c r="BC94" s="8"/>
      <c r="BD94" s="8"/>
      <c r="BE94" s="8"/>
      <c r="BF94" s="12"/>
      <c r="BH94" s="12"/>
      <c r="BI94" s="12"/>
      <c r="BJ94" s="12"/>
      <c r="BK94" s="12"/>
      <c r="BQ94" s="8"/>
      <c r="BR94" s="8"/>
      <c r="BT94" s="8"/>
      <c r="BV94" s="8"/>
      <c r="BX94" s="8"/>
    </row>
    <row r="95" spans="2:76">
      <c r="B95" s="8"/>
      <c r="C95" s="8"/>
      <c r="E95" s="8"/>
      <c r="F95" s="8"/>
      <c r="G95" s="8"/>
      <c r="H95" s="8"/>
      <c r="I95" s="8"/>
      <c r="J95" s="8"/>
      <c r="K95" s="34"/>
      <c r="L95" s="8"/>
      <c r="M95" s="8"/>
      <c r="N95" s="34"/>
      <c r="O95" s="34"/>
      <c r="P95" s="8"/>
      <c r="Q95" s="8"/>
      <c r="R95" s="8"/>
      <c r="S95" s="8"/>
      <c r="T95" s="8"/>
      <c r="U95" s="8"/>
      <c r="V95" s="8"/>
      <c r="W95" s="8"/>
      <c r="X95" s="8"/>
      <c r="Y95" s="34"/>
      <c r="Z95" s="8"/>
      <c r="AA95" s="8"/>
      <c r="AC95" s="8"/>
      <c r="AE95" s="8"/>
      <c r="AF95" s="8"/>
      <c r="AG95" s="8"/>
      <c r="AH95" s="8"/>
      <c r="AJ95" s="8"/>
      <c r="AK95" s="8" t="s">
        <v>828</v>
      </c>
      <c r="AL95" s="12" t="str">
        <v>Policy_LHS</v>
      </c>
      <c r="AN95" s="8"/>
      <c r="AO95" s="8"/>
      <c r="AP95" s="8"/>
      <c r="AQ95" s="8"/>
      <c r="AR95" s="8"/>
      <c r="AS95" s="8"/>
      <c r="AT95" s="8"/>
      <c r="AU95" s="8"/>
      <c r="AV95" s="8"/>
      <c r="AW95" s="8"/>
      <c r="AX95" s="8"/>
      <c r="AY95" s="8"/>
      <c r="AZ95" s="8"/>
      <c r="BA95" s="8"/>
      <c r="BB95" s="8"/>
      <c r="BC95" s="8"/>
      <c r="BD95" s="8"/>
      <c r="BE95" s="8"/>
      <c r="BF95" s="12"/>
      <c r="BH95" s="12"/>
      <c r="BI95" s="12"/>
      <c r="BJ95" s="12"/>
      <c r="BK95" s="12"/>
      <c r="BQ95" s="8"/>
      <c r="BR95" s="8"/>
      <c r="BT95" s="8"/>
      <c r="BV95" s="8"/>
      <c r="BX95" s="8"/>
    </row>
    <row r="96" spans="2:76">
      <c r="B96" s="8"/>
      <c r="C96" s="8"/>
      <c r="E96" s="8"/>
      <c r="F96" s="8"/>
      <c r="G96" s="8"/>
      <c r="H96" s="8"/>
      <c r="I96" s="8"/>
      <c r="J96" s="8"/>
      <c r="K96" s="34"/>
      <c r="L96" s="8"/>
      <c r="M96" s="8"/>
      <c r="N96" s="34"/>
      <c r="O96" s="34"/>
      <c r="P96" s="8"/>
      <c r="Q96" s="8"/>
      <c r="R96" s="8"/>
      <c r="S96" s="8"/>
      <c r="T96" s="8"/>
      <c r="U96" s="8"/>
      <c r="V96" s="8"/>
      <c r="W96" s="8"/>
      <c r="X96" s="8"/>
      <c r="Y96" s="34"/>
      <c r="Z96" s="8"/>
      <c r="AA96" s="8"/>
      <c r="AC96" s="8"/>
      <c r="AE96" s="8"/>
      <c r="AF96" s="8"/>
      <c r="AG96" s="8"/>
      <c r="AH96" s="8"/>
      <c r="AJ96" s="8"/>
      <c r="AK96" s="8" t="s">
        <v>829</v>
      </c>
      <c r="AL96" s="12" t="str">
        <v>Provide_Power_MW</v>
      </c>
      <c r="AN96" s="8"/>
      <c r="AO96" s="8"/>
      <c r="AP96" s="8"/>
      <c r="AQ96" s="8"/>
      <c r="AR96" s="8"/>
      <c r="AS96" s="8"/>
      <c r="AT96" s="8"/>
      <c r="AU96" s="8"/>
      <c r="AV96" s="8"/>
      <c r="AW96" s="8"/>
      <c r="AX96" s="8"/>
      <c r="AY96" s="8"/>
      <c r="AZ96" s="8"/>
      <c r="BA96" s="8"/>
      <c r="BB96" s="8"/>
      <c r="BC96" s="8"/>
      <c r="BD96" s="8"/>
      <c r="BE96" s="8"/>
      <c r="BF96" s="12"/>
      <c r="BH96" s="12"/>
      <c r="BI96" s="12"/>
      <c r="BJ96" s="12"/>
      <c r="BK96" s="12"/>
      <c r="BQ96" s="8"/>
      <c r="BR96" s="8"/>
      <c r="BT96" s="8"/>
      <c r="BV96" s="8"/>
      <c r="BX96" s="8"/>
    </row>
    <row r="97" spans="2:76">
      <c r="B97" s="8"/>
      <c r="C97" s="8"/>
      <c r="E97" s="8"/>
      <c r="F97" s="8"/>
      <c r="G97" s="8"/>
      <c r="H97" s="8"/>
      <c r="I97" s="8"/>
      <c r="J97" s="8"/>
      <c r="K97" s="34"/>
      <c r="L97" s="8"/>
      <c r="M97" s="8"/>
      <c r="N97" s="34"/>
      <c r="O97" s="34"/>
      <c r="P97" s="8"/>
      <c r="Q97" s="8"/>
      <c r="R97" s="8"/>
      <c r="S97" s="8"/>
      <c r="T97" s="8"/>
      <c r="U97" s="8"/>
      <c r="V97" s="8"/>
      <c r="W97" s="8"/>
      <c r="X97" s="8"/>
      <c r="Y97" s="34"/>
      <c r="Z97" s="8"/>
      <c r="AA97" s="8"/>
      <c r="AC97" s="8"/>
      <c r="AE97" s="8"/>
      <c r="AF97" s="8"/>
      <c r="AG97" s="8"/>
      <c r="AH97" s="8"/>
      <c r="AJ97" s="8"/>
      <c r="AK97" s="8" t="s">
        <v>830</v>
      </c>
      <c r="AL97" s="12" t="str">
        <v>Provide_Reserve_MW</v>
      </c>
      <c r="AN97" s="8"/>
      <c r="AO97" s="8"/>
      <c r="AP97" s="8"/>
      <c r="AQ97" s="8"/>
      <c r="AR97" s="8"/>
      <c r="AS97" s="8"/>
      <c r="AT97" s="8"/>
      <c r="AU97" s="8"/>
      <c r="AV97" s="8"/>
      <c r="AW97" s="8"/>
      <c r="AX97" s="8"/>
      <c r="AY97" s="8"/>
      <c r="AZ97" s="8"/>
      <c r="BA97" s="8"/>
      <c r="BB97" s="8"/>
      <c r="BC97" s="8"/>
      <c r="BD97" s="8"/>
      <c r="BE97" s="8"/>
      <c r="BF97" s="12"/>
      <c r="BH97" s="12"/>
      <c r="BI97" s="12"/>
      <c r="BJ97" s="12"/>
      <c r="BK97" s="12"/>
      <c r="BQ97" s="8"/>
      <c r="BR97" s="8"/>
      <c r="BT97" s="8"/>
      <c r="BV97" s="8"/>
      <c r="BX97" s="8"/>
    </row>
    <row r="98" spans="2:76">
      <c r="B98" s="8"/>
      <c r="C98" s="8"/>
      <c r="E98" s="8"/>
      <c r="F98" s="8"/>
      <c r="G98" s="8"/>
      <c r="H98" s="8"/>
      <c r="I98" s="8"/>
      <c r="J98" s="8"/>
      <c r="K98" s="34"/>
      <c r="L98" s="8"/>
      <c r="M98" s="8"/>
      <c r="N98" s="34"/>
      <c r="O98" s="34"/>
      <c r="P98" s="8"/>
      <c r="Q98" s="8"/>
      <c r="R98" s="8"/>
      <c r="S98" s="8"/>
      <c r="T98" s="8"/>
      <c r="U98" s="8"/>
      <c r="V98" s="8"/>
      <c r="W98" s="8"/>
      <c r="X98" s="8"/>
      <c r="Y98" s="34"/>
      <c r="Z98" s="8"/>
      <c r="AA98" s="8"/>
      <c r="AC98" s="8"/>
      <c r="AE98" s="8"/>
      <c r="AF98" s="8"/>
      <c r="AG98" s="8"/>
      <c r="AH98" s="8"/>
      <c r="AJ98" s="8"/>
      <c r="AK98" s="8" t="s">
        <v>831</v>
      </c>
      <c r="AL98" s="12" t="str">
        <v>Reliability_Capacity_In_Model_Year</v>
      </c>
      <c r="AN98" s="8"/>
      <c r="AO98" s="8"/>
      <c r="AP98" s="8"/>
      <c r="AQ98" s="8"/>
      <c r="AR98" s="8"/>
      <c r="AS98" s="8"/>
      <c r="AT98" s="8"/>
      <c r="AU98" s="8"/>
      <c r="AV98" s="8"/>
      <c r="AW98" s="8"/>
      <c r="AX98" s="8"/>
      <c r="AY98" s="8"/>
      <c r="AZ98" s="8"/>
      <c r="BA98" s="8"/>
      <c r="BB98" s="8"/>
      <c r="BC98" s="8"/>
      <c r="BD98" s="8"/>
      <c r="BE98" s="8"/>
      <c r="BF98" s="12"/>
      <c r="BH98" s="12"/>
      <c r="BI98" s="12"/>
      <c r="BJ98" s="12"/>
      <c r="BK98" s="12"/>
      <c r="BQ98" s="8"/>
      <c r="BR98" s="8"/>
      <c r="BT98" s="8"/>
      <c r="BV98" s="8"/>
      <c r="BX98" s="8"/>
    </row>
    <row r="99" spans="2:76">
      <c r="B99" s="8"/>
      <c r="C99" s="8"/>
      <c r="E99" s="8"/>
      <c r="F99" s="8"/>
      <c r="G99" s="8"/>
      <c r="H99" s="8"/>
      <c r="I99" s="8"/>
      <c r="J99" s="8"/>
      <c r="K99" s="34"/>
      <c r="L99" s="8"/>
      <c r="M99" s="8"/>
      <c r="N99" s="34"/>
      <c r="O99" s="34"/>
      <c r="P99" s="8"/>
      <c r="Q99" s="8"/>
      <c r="R99" s="8"/>
      <c r="S99" s="8"/>
      <c r="T99" s="8"/>
      <c r="U99" s="8"/>
      <c r="V99" s="8"/>
      <c r="W99" s="8"/>
      <c r="X99" s="8"/>
      <c r="Y99" s="34"/>
      <c r="Z99" s="8"/>
      <c r="AA99" s="8"/>
      <c r="AC99" s="8"/>
      <c r="AE99" s="8"/>
      <c r="AF99" s="8"/>
      <c r="AG99" s="8"/>
      <c r="AH99" s="8"/>
      <c r="AJ99" s="8"/>
      <c r="AK99" s="8" t="s">
        <v>832</v>
      </c>
      <c r="AL99" s="12" t="str">
        <v>Resource_Curtailment_Cost_In_Timepoint</v>
      </c>
      <c r="AN99" s="8"/>
      <c r="AO99" s="8"/>
      <c r="AP99" s="8"/>
      <c r="AQ99" s="8"/>
      <c r="AR99" s="8"/>
      <c r="AS99" s="8"/>
      <c r="AT99" s="8"/>
      <c r="AU99" s="8"/>
      <c r="AV99" s="8"/>
      <c r="AW99" s="8"/>
      <c r="AX99" s="8"/>
      <c r="AY99" s="8"/>
      <c r="AZ99" s="8"/>
      <c r="BA99" s="8"/>
      <c r="BB99" s="8"/>
      <c r="BC99" s="8"/>
      <c r="BD99" s="8"/>
      <c r="BE99" s="8"/>
      <c r="BF99" s="12"/>
      <c r="BH99" s="12"/>
      <c r="BI99" s="12"/>
      <c r="BJ99" s="12"/>
      <c r="BK99" s="12"/>
      <c r="BQ99" s="8"/>
      <c r="BR99" s="8"/>
      <c r="BT99" s="8"/>
      <c r="BV99" s="8"/>
      <c r="BX99" s="8"/>
    </row>
    <row r="100" spans="2:76">
      <c r="B100" s="8"/>
      <c r="C100" s="8"/>
      <c r="E100" s="8"/>
      <c r="F100" s="8"/>
      <c r="G100" s="8"/>
      <c r="H100" s="8"/>
      <c r="I100" s="8"/>
      <c r="J100" s="8"/>
      <c r="K100" s="34"/>
      <c r="L100" s="8"/>
      <c r="M100" s="8"/>
      <c r="N100" s="34"/>
      <c r="O100" s="34"/>
      <c r="P100" s="8"/>
      <c r="Q100" s="8"/>
      <c r="R100" s="8"/>
      <c r="S100" s="8"/>
      <c r="T100" s="8"/>
      <c r="U100" s="8"/>
      <c r="V100" s="8"/>
      <c r="W100" s="8"/>
      <c r="X100" s="8"/>
      <c r="Y100" s="34"/>
      <c r="Z100" s="8"/>
      <c r="AA100" s="8"/>
      <c r="AC100" s="8"/>
      <c r="AE100" s="8"/>
      <c r="AF100" s="8"/>
      <c r="AG100" s="8"/>
      <c r="AH100" s="8"/>
      <c r="AJ100" s="8"/>
      <c r="AK100" s="8"/>
      <c r="AL100" s="12" t="str">
        <v>Resource_Fuel_Consumption_In_Timepoint_MMBTU</v>
      </c>
      <c r="AN100" s="8"/>
      <c r="AO100" s="8"/>
      <c r="AP100" s="8"/>
      <c r="AQ100" s="8"/>
      <c r="AR100" s="8"/>
      <c r="AS100" s="8"/>
      <c r="AT100" s="8"/>
      <c r="AU100" s="8"/>
      <c r="AV100" s="8"/>
      <c r="AW100" s="8"/>
      <c r="AX100" s="8"/>
      <c r="AY100" s="8"/>
      <c r="AZ100" s="8"/>
      <c r="BA100" s="8"/>
      <c r="BB100" s="8"/>
      <c r="BC100" s="8"/>
      <c r="BD100" s="8"/>
      <c r="BE100" s="8"/>
      <c r="BF100" s="12"/>
      <c r="BH100" s="12"/>
      <c r="BI100" s="12"/>
      <c r="BJ100" s="12"/>
      <c r="BK100" s="12"/>
      <c r="BQ100" s="8"/>
      <c r="BR100" s="8"/>
      <c r="BT100" s="8"/>
      <c r="BV100" s="8"/>
      <c r="BX100" s="8"/>
    </row>
    <row r="101" spans="2:76">
      <c r="B101" s="8"/>
      <c r="C101" s="8"/>
      <c r="E101" s="8"/>
      <c r="F101" s="8"/>
      <c r="G101" s="8"/>
      <c r="H101" s="8"/>
      <c r="I101" s="8"/>
      <c r="J101" s="8"/>
      <c r="K101" s="34"/>
      <c r="L101" s="8"/>
      <c r="M101" s="8"/>
      <c r="N101" s="34"/>
      <c r="O101" s="34"/>
      <c r="P101" s="8"/>
      <c r="Q101" s="8"/>
      <c r="R101" s="8"/>
      <c r="S101" s="8"/>
      <c r="T101" s="8"/>
      <c r="U101" s="8"/>
      <c r="V101" s="8"/>
      <c r="W101" s="8"/>
      <c r="X101" s="8"/>
      <c r="Y101" s="34"/>
      <c r="Z101" s="8"/>
      <c r="AA101" s="8"/>
      <c r="AC101" s="8"/>
      <c r="AE101" s="8"/>
      <c r="AF101" s="8"/>
      <c r="AG101" s="8"/>
      <c r="AH101" s="8"/>
      <c r="AJ101" s="8"/>
      <c r="AK101" s="8"/>
      <c r="AL101" s="12" t="str">
        <v>Resource_Fuel_Cost</v>
      </c>
      <c r="AN101" s="8"/>
      <c r="AO101" s="8"/>
      <c r="AP101" s="8"/>
      <c r="AQ101" s="8"/>
      <c r="AR101" s="8"/>
      <c r="AS101" s="8"/>
      <c r="AT101" s="8"/>
      <c r="AU101" s="8"/>
      <c r="AV101" s="8"/>
      <c r="AW101" s="8"/>
      <c r="AX101" s="8"/>
      <c r="AY101" s="8"/>
      <c r="AZ101" s="8"/>
      <c r="BA101" s="8"/>
      <c r="BB101" s="8"/>
      <c r="BC101" s="8"/>
      <c r="BD101" s="8"/>
      <c r="BE101" s="8"/>
      <c r="BF101" s="12"/>
      <c r="BH101" s="12"/>
      <c r="BI101" s="12"/>
      <c r="BJ101" s="12"/>
      <c r="BK101" s="12"/>
      <c r="BQ101" s="8"/>
      <c r="BR101" s="8"/>
      <c r="BT101" s="8"/>
      <c r="BV101" s="8"/>
      <c r="BX101" s="8"/>
    </row>
    <row r="102" spans="2:76">
      <c r="B102" s="8"/>
      <c r="C102" s="8"/>
      <c r="E102" s="8"/>
      <c r="F102" s="8"/>
      <c r="G102" s="8"/>
      <c r="H102" s="8"/>
      <c r="I102" s="8"/>
      <c r="J102" s="8"/>
      <c r="K102" s="34"/>
      <c r="L102" s="8"/>
      <c r="M102" s="8"/>
      <c r="N102" s="34"/>
      <c r="O102" s="34"/>
      <c r="P102" s="8"/>
      <c r="Q102" s="8"/>
      <c r="R102" s="8"/>
      <c r="S102" s="8"/>
      <c r="T102" s="8"/>
      <c r="U102" s="8"/>
      <c r="V102" s="8"/>
      <c r="W102" s="8"/>
      <c r="X102" s="8"/>
      <c r="Y102" s="34"/>
      <c r="Z102" s="8"/>
      <c r="AA102" s="8"/>
      <c r="AC102" s="8"/>
      <c r="AE102" s="8"/>
      <c r="AF102" s="8"/>
      <c r="AG102" s="8"/>
      <c r="AH102" s="8"/>
      <c r="AJ102" s="8"/>
      <c r="AK102" s="8"/>
      <c r="AL102" s="12" t="str">
        <v>Scheduled_Curtailment_MW</v>
      </c>
      <c r="AN102" s="8"/>
      <c r="AO102" s="8"/>
      <c r="AP102" s="8"/>
      <c r="AQ102" s="8"/>
      <c r="AR102" s="8"/>
      <c r="AS102" s="8"/>
      <c r="AT102" s="8"/>
      <c r="AU102" s="8"/>
      <c r="AV102" s="8"/>
      <c r="AW102" s="8"/>
      <c r="AX102" s="8"/>
      <c r="AY102" s="8"/>
      <c r="AZ102" s="8"/>
      <c r="BA102" s="8"/>
      <c r="BB102" s="8"/>
      <c r="BC102" s="8"/>
      <c r="BD102" s="8"/>
      <c r="BE102" s="8"/>
      <c r="BF102" s="12"/>
      <c r="BH102" s="12"/>
      <c r="BI102" s="12"/>
      <c r="BJ102" s="12"/>
      <c r="BK102" s="12"/>
      <c r="BQ102" s="8"/>
      <c r="BR102" s="8"/>
      <c r="BT102" s="8"/>
      <c r="BV102" s="8"/>
      <c r="BX102" s="8"/>
    </row>
    <row r="103" spans="2:76">
      <c r="B103" s="8"/>
      <c r="C103" s="8"/>
      <c r="E103" s="8"/>
      <c r="F103" s="8"/>
      <c r="G103" s="8"/>
      <c r="H103" s="8"/>
      <c r="I103" s="8"/>
      <c r="J103" s="8"/>
      <c r="K103" s="34"/>
      <c r="L103" s="8"/>
      <c r="M103" s="8"/>
      <c r="N103" s="34"/>
      <c r="O103" s="34"/>
      <c r="P103" s="8"/>
      <c r="Q103" s="8"/>
      <c r="R103" s="8"/>
      <c r="S103" s="8"/>
      <c r="T103" s="8"/>
      <c r="U103" s="8"/>
      <c r="V103" s="8"/>
      <c r="W103" s="8"/>
      <c r="X103" s="8"/>
      <c r="Y103" s="34"/>
      <c r="Z103" s="8"/>
      <c r="AA103" s="8"/>
      <c r="AC103" s="8"/>
      <c r="AE103" s="8"/>
      <c r="AF103" s="8"/>
      <c r="AG103" s="8"/>
      <c r="AH103" s="8"/>
      <c r="AJ103" s="8"/>
      <c r="AK103" s="8"/>
      <c r="AL103" s="12" t="str">
        <v>Shutdown_Cost_In_Timepoint</v>
      </c>
      <c r="AN103" s="8"/>
      <c r="AO103" s="8"/>
      <c r="AP103" s="8"/>
      <c r="AQ103" s="8"/>
      <c r="AR103" s="8"/>
      <c r="AS103" s="8"/>
      <c r="AT103" s="8"/>
      <c r="AU103" s="8"/>
      <c r="AV103" s="8"/>
      <c r="AW103" s="8"/>
      <c r="AX103" s="8"/>
      <c r="AY103" s="8"/>
      <c r="AZ103" s="8"/>
      <c r="BA103" s="8"/>
      <c r="BB103" s="8"/>
      <c r="BC103" s="8"/>
      <c r="BD103" s="8"/>
      <c r="BE103" s="8"/>
      <c r="BF103" s="12"/>
      <c r="BH103" s="12"/>
      <c r="BI103" s="12"/>
      <c r="BJ103" s="12"/>
      <c r="BK103" s="12"/>
      <c r="BQ103" s="8"/>
      <c r="BR103" s="8"/>
      <c r="BT103" s="8"/>
      <c r="BV103" s="8"/>
      <c r="BX103" s="8"/>
    </row>
    <row r="104" spans="2:76">
      <c r="B104" s="8"/>
      <c r="C104" s="8"/>
      <c r="E104" s="8"/>
      <c r="F104" s="8"/>
      <c r="G104" s="8"/>
      <c r="H104" s="8"/>
      <c r="I104" s="8"/>
      <c r="J104" s="8"/>
      <c r="K104" s="34"/>
      <c r="L104" s="8"/>
      <c r="M104" s="8"/>
      <c r="N104" s="34"/>
      <c r="O104" s="34"/>
      <c r="P104" s="8"/>
      <c r="Q104" s="8"/>
      <c r="R104" s="8"/>
      <c r="S104" s="8"/>
      <c r="T104" s="8"/>
      <c r="U104" s="8"/>
      <c r="V104" s="8"/>
      <c r="W104" s="8"/>
      <c r="X104" s="8"/>
      <c r="Y104" s="34"/>
      <c r="Z104" s="8"/>
      <c r="AA104" s="8"/>
      <c r="AC104" s="8"/>
      <c r="AE104" s="8"/>
      <c r="AF104" s="8"/>
      <c r="AG104" s="8"/>
      <c r="AH104" s="8"/>
      <c r="AJ104" s="8"/>
      <c r="AK104" s="8"/>
      <c r="AL104" s="12" t="str">
        <v>Shutdown_Units</v>
      </c>
      <c r="AN104" s="8"/>
      <c r="AO104" s="8"/>
      <c r="AP104" s="8"/>
      <c r="AQ104" s="8"/>
      <c r="AR104" s="8"/>
      <c r="AS104" s="8"/>
      <c r="AT104" s="8"/>
      <c r="AU104" s="8"/>
      <c r="AV104" s="8"/>
      <c r="AW104" s="8"/>
      <c r="AX104" s="8"/>
      <c r="AY104" s="8"/>
      <c r="AZ104" s="8"/>
      <c r="BA104" s="8"/>
      <c r="BB104" s="8"/>
      <c r="BC104" s="8"/>
      <c r="BD104" s="8"/>
      <c r="BE104" s="8"/>
      <c r="BF104" s="12"/>
      <c r="BH104" s="12"/>
      <c r="BI104" s="12"/>
      <c r="BJ104" s="12"/>
      <c r="BK104" s="12"/>
      <c r="BQ104" s="8"/>
      <c r="BR104" s="8"/>
      <c r="BT104" s="8"/>
      <c r="BV104" s="8"/>
      <c r="BX104" s="8"/>
    </row>
    <row r="105" spans="2:76">
      <c r="B105" s="8"/>
      <c r="C105" s="8"/>
      <c r="E105" s="8"/>
      <c r="F105" s="8"/>
      <c r="G105" s="8"/>
      <c r="H105" s="8"/>
      <c r="I105" s="8"/>
      <c r="J105" s="8"/>
      <c r="K105" s="34"/>
      <c r="L105" s="8"/>
      <c r="M105" s="8"/>
      <c r="N105" s="34"/>
      <c r="O105" s="34"/>
      <c r="P105" s="8"/>
      <c r="Q105" s="8"/>
      <c r="R105" s="8"/>
      <c r="S105" s="8"/>
      <c r="T105" s="8"/>
      <c r="U105" s="8"/>
      <c r="V105" s="8"/>
      <c r="W105" s="8"/>
      <c r="X105" s="8"/>
      <c r="Y105" s="34"/>
      <c r="Z105" s="8"/>
      <c r="AA105" s="8"/>
      <c r="AC105" s="8"/>
      <c r="AE105" s="8"/>
      <c r="AF105" s="8"/>
      <c r="AG105" s="8"/>
      <c r="AH105" s="8"/>
      <c r="AJ105" s="8"/>
      <c r="AK105" s="8"/>
      <c r="AL105" s="12" t="str">
        <v>SOC_Inter_Intra_Joint</v>
      </c>
      <c r="AN105" s="8"/>
      <c r="AO105" s="8"/>
      <c r="AP105" s="8"/>
      <c r="AQ105" s="8"/>
      <c r="AR105" s="8"/>
      <c r="AS105" s="8"/>
      <c r="AT105" s="8"/>
      <c r="AU105" s="8"/>
      <c r="AV105" s="8"/>
      <c r="AW105" s="8"/>
      <c r="AX105" s="8"/>
      <c r="AY105" s="8"/>
      <c r="AZ105" s="8"/>
      <c r="BA105" s="8"/>
      <c r="BB105" s="8"/>
      <c r="BC105" s="8"/>
      <c r="BD105" s="8"/>
      <c r="BE105" s="8"/>
      <c r="BF105" s="12"/>
      <c r="BH105" s="12"/>
      <c r="BI105" s="12"/>
      <c r="BJ105" s="12"/>
      <c r="BK105" s="12"/>
      <c r="BQ105" s="8"/>
      <c r="BR105" s="8"/>
      <c r="BT105" s="8"/>
      <c r="BV105" s="8"/>
      <c r="BX105" s="8"/>
    </row>
    <row r="106" spans="2:76">
      <c r="B106" s="8"/>
      <c r="C106" s="8"/>
      <c r="E106" s="8"/>
      <c r="F106" s="8"/>
      <c r="G106" s="8"/>
      <c r="H106" s="8"/>
      <c r="I106" s="8"/>
      <c r="J106" s="8"/>
      <c r="K106" s="34"/>
      <c r="L106" s="8"/>
      <c r="M106" s="8"/>
      <c r="N106" s="34"/>
      <c r="O106" s="34"/>
      <c r="P106" s="8"/>
      <c r="Q106" s="8"/>
      <c r="R106" s="8"/>
      <c r="S106" s="8"/>
      <c r="T106" s="8"/>
      <c r="U106" s="8"/>
      <c r="V106" s="8"/>
      <c r="W106" s="8"/>
      <c r="X106" s="8"/>
      <c r="Y106" s="34"/>
      <c r="Z106" s="8"/>
      <c r="AA106" s="8"/>
      <c r="AC106" s="8"/>
      <c r="AE106" s="8"/>
      <c r="AF106" s="8"/>
      <c r="AG106" s="8"/>
      <c r="AH106" s="8"/>
      <c r="AJ106" s="8"/>
      <c r="AK106" s="8"/>
      <c r="AL106" s="12" t="str">
        <v>SOC_Inter_Period</v>
      </c>
      <c r="AN106" s="8"/>
      <c r="AO106" s="8"/>
      <c r="AP106" s="8"/>
      <c r="AQ106" s="8"/>
      <c r="AR106" s="8"/>
      <c r="AS106" s="8"/>
      <c r="AT106" s="8"/>
      <c r="AU106" s="8"/>
      <c r="AV106" s="8"/>
      <c r="AW106" s="8"/>
      <c r="AX106" s="8"/>
      <c r="AY106" s="8"/>
      <c r="AZ106" s="8"/>
      <c r="BA106" s="8"/>
      <c r="BB106" s="8"/>
      <c r="BC106" s="8"/>
      <c r="BD106" s="8"/>
      <c r="BE106" s="8"/>
      <c r="BF106" s="12"/>
      <c r="BH106" s="12"/>
      <c r="BI106" s="12"/>
      <c r="BJ106" s="12"/>
      <c r="BK106" s="12"/>
      <c r="BQ106" s="8"/>
      <c r="BR106" s="8"/>
      <c r="BT106" s="8"/>
      <c r="BV106" s="8"/>
      <c r="BX106" s="8"/>
    </row>
    <row r="107" spans="2:76">
      <c r="B107" s="8"/>
      <c r="C107" s="8"/>
      <c r="E107" s="8"/>
      <c r="F107" s="8"/>
      <c r="G107" s="8"/>
      <c r="H107" s="8"/>
      <c r="I107" s="8"/>
      <c r="J107" s="8"/>
      <c r="K107" s="34"/>
      <c r="L107" s="8"/>
      <c r="M107" s="8"/>
      <c r="N107" s="34"/>
      <c r="O107" s="34"/>
      <c r="P107" s="8"/>
      <c r="Q107" s="8"/>
      <c r="R107" s="8"/>
      <c r="S107" s="8"/>
      <c r="T107" s="8"/>
      <c r="U107" s="8"/>
      <c r="V107" s="8"/>
      <c r="W107" s="8"/>
      <c r="X107" s="8"/>
      <c r="Y107" s="34"/>
      <c r="Z107" s="8"/>
      <c r="AA107" s="8"/>
      <c r="AC107" s="8"/>
      <c r="AE107" s="8"/>
      <c r="AF107" s="8"/>
      <c r="AG107" s="8"/>
      <c r="AH107" s="8"/>
      <c r="AJ107" s="8"/>
      <c r="AK107" s="8"/>
      <c r="AL107" s="12" t="str">
        <v>SOC_Intra_Period</v>
      </c>
      <c r="AN107" s="8"/>
      <c r="AO107" s="8"/>
      <c r="AP107" s="8"/>
      <c r="AQ107" s="8"/>
      <c r="AR107" s="8"/>
      <c r="AS107" s="8"/>
      <c r="AT107" s="8"/>
      <c r="AU107" s="8"/>
      <c r="AV107" s="8"/>
      <c r="AW107" s="8"/>
      <c r="AX107" s="8"/>
      <c r="AY107" s="8"/>
      <c r="AZ107" s="8"/>
      <c r="BA107" s="8"/>
      <c r="BB107" s="8"/>
      <c r="BC107" s="8"/>
      <c r="BD107" s="8"/>
      <c r="BE107" s="8"/>
      <c r="BF107" s="12"/>
      <c r="BH107" s="12"/>
      <c r="BI107" s="12"/>
      <c r="BJ107" s="12"/>
      <c r="BK107" s="12"/>
      <c r="BQ107" s="8"/>
      <c r="BR107" s="8"/>
      <c r="BT107" s="8"/>
      <c r="BV107" s="8"/>
      <c r="BX107" s="8"/>
    </row>
    <row r="108" spans="2:76">
      <c r="B108" s="8"/>
      <c r="C108" s="8"/>
      <c r="E108" s="8"/>
      <c r="F108" s="8"/>
      <c r="G108" s="8"/>
      <c r="H108" s="8"/>
      <c r="I108" s="8"/>
      <c r="J108" s="8"/>
      <c r="K108" s="34"/>
      <c r="L108" s="8"/>
      <c r="M108" s="8"/>
      <c r="N108" s="34"/>
      <c r="O108" s="34"/>
      <c r="P108" s="8"/>
      <c r="Q108" s="8"/>
      <c r="R108" s="8"/>
      <c r="S108" s="8"/>
      <c r="T108" s="8"/>
      <c r="U108" s="8"/>
      <c r="V108" s="8"/>
      <c r="W108" s="8"/>
      <c r="X108" s="8"/>
      <c r="Y108" s="34"/>
      <c r="Z108" s="8"/>
      <c r="AA108" s="8"/>
      <c r="AC108" s="8"/>
      <c r="AE108" s="8"/>
      <c r="AF108" s="8"/>
      <c r="AG108" s="8"/>
      <c r="AH108" s="8"/>
      <c r="AJ108" s="8"/>
      <c r="AK108" s="8"/>
      <c r="AL108" s="12" t="str">
        <v>Start_Cost_In_Timepoint</v>
      </c>
      <c r="AN108" s="8"/>
      <c r="AO108" s="8"/>
      <c r="AP108" s="8"/>
      <c r="AQ108" s="8"/>
      <c r="AR108" s="8"/>
      <c r="AS108" s="8"/>
      <c r="AT108" s="8"/>
      <c r="AU108" s="8"/>
      <c r="AV108" s="8"/>
      <c r="AW108" s="8"/>
      <c r="AX108" s="8"/>
      <c r="AY108" s="8"/>
      <c r="AZ108" s="8"/>
      <c r="BA108" s="8"/>
      <c r="BB108" s="8"/>
      <c r="BC108" s="8"/>
      <c r="BD108" s="8"/>
      <c r="BE108" s="8"/>
      <c r="BF108" s="12"/>
      <c r="BH108" s="12"/>
      <c r="BI108" s="12"/>
      <c r="BJ108" s="12"/>
      <c r="BK108" s="12"/>
      <c r="BQ108" s="8"/>
      <c r="BR108" s="8"/>
      <c r="BT108" s="8"/>
      <c r="BV108" s="8"/>
      <c r="BX108" s="8"/>
    </row>
    <row r="109" spans="2:76">
      <c r="B109" s="8"/>
      <c r="C109" s="8"/>
      <c r="E109" s="8"/>
      <c r="F109" s="8"/>
      <c r="G109" s="8"/>
      <c r="H109" s="8"/>
      <c r="I109" s="8"/>
      <c r="J109" s="8"/>
      <c r="K109" s="34"/>
      <c r="L109" s="8"/>
      <c r="M109" s="8"/>
      <c r="N109" s="34"/>
      <c r="O109" s="34"/>
      <c r="P109" s="8"/>
      <c r="Q109" s="8"/>
      <c r="R109" s="8"/>
      <c r="S109" s="8"/>
      <c r="T109" s="8"/>
      <c r="U109" s="8"/>
      <c r="V109" s="8"/>
      <c r="W109" s="8"/>
      <c r="X109" s="8"/>
      <c r="Y109" s="34"/>
      <c r="Z109" s="8"/>
      <c r="AA109" s="8"/>
      <c r="AC109" s="8"/>
      <c r="AE109" s="8"/>
      <c r="AF109" s="8"/>
      <c r="AG109" s="8"/>
      <c r="AH109" s="8"/>
      <c r="AJ109" s="8"/>
      <c r="AK109" s="8"/>
      <c r="AL109" s="12" t="str">
        <v>Start_Units</v>
      </c>
      <c r="AN109" s="8"/>
      <c r="AO109" s="8"/>
      <c r="AP109" s="8"/>
      <c r="AQ109" s="8"/>
      <c r="AR109" s="8"/>
      <c r="AS109" s="8"/>
      <c r="AT109" s="8"/>
      <c r="AU109" s="8"/>
      <c r="AV109" s="8"/>
      <c r="AW109" s="8"/>
      <c r="AX109" s="8"/>
      <c r="AY109" s="8"/>
      <c r="AZ109" s="8"/>
      <c r="BA109" s="8"/>
      <c r="BB109" s="8"/>
      <c r="BC109" s="8"/>
      <c r="BD109" s="8"/>
      <c r="BE109" s="8"/>
      <c r="BF109" s="12"/>
      <c r="BH109" s="12"/>
      <c r="BI109" s="12"/>
      <c r="BJ109" s="12"/>
      <c r="BK109" s="12"/>
      <c r="BQ109" s="8"/>
      <c r="BR109" s="8"/>
      <c r="BT109" s="8"/>
      <c r="BV109" s="8"/>
      <c r="BX109" s="8"/>
    </row>
    <row r="110" spans="2:76">
      <c r="B110" s="8"/>
      <c r="C110" s="8"/>
      <c r="E110" s="8"/>
      <c r="F110" s="8"/>
      <c r="G110" s="8"/>
      <c r="H110" s="8"/>
      <c r="I110" s="8"/>
      <c r="J110" s="8"/>
      <c r="K110" s="34"/>
      <c r="L110" s="8"/>
      <c r="M110" s="8"/>
      <c r="N110" s="34"/>
      <c r="O110" s="34"/>
      <c r="P110" s="8"/>
      <c r="Q110" s="8"/>
      <c r="R110" s="8"/>
      <c r="S110" s="8"/>
      <c r="T110" s="8"/>
      <c r="U110" s="8"/>
      <c r="V110" s="8"/>
      <c r="W110" s="8"/>
      <c r="X110" s="8"/>
      <c r="Y110" s="34"/>
      <c r="Z110" s="8"/>
      <c r="AA110" s="8"/>
      <c r="AC110" s="8"/>
      <c r="AE110" s="8"/>
      <c r="AF110" s="8"/>
      <c r="AG110" s="8"/>
      <c r="AH110" s="8"/>
      <c r="AJ110" s="8"/>
      <c r="AK110" s="8"/>
      <c r="AL110" s="12" t="str">
        <v>Total_Annual_Candidate_Fuel_Consumption</v>
      </c>
      <c r="AN110" s="8"/>
      <c r="AO110" s="8"/>
      <c r="AP110" s="8"/>
      <c r="AQ110" s="8"/>
      <c r="AR110" s="8"/>
      <c r="AS110" s="8"/>
      <c r="AT110" s="8"/>
      <c r="AU110" s="8"/>
      <c r="AV110" s="8"/>
      <c r="AW110" s="8"/>
      <c r="AX110" s="8"/>
      <c r="AY110" s="8"/>
      <c r="AZ110" s="8"/>
      <c r="BA110" s="8"/>
      <c r="BB110" s="8"/>
      <c r="BC110" s="8"/>
      <c r="BD110" s="8"/>
      <c r="BE110" s="8"/>
      <c r="BF110" s="12"/>
      <c r="BH110" s="12"/>
      <c r="BI110" s="12"/>
      <c r="BJ110" s="12"/>
      <c r="BK110" s="12"/>
      <c r="BQ110" s="8"/>
      <c r="BR110" s="8"/>
      <c r="BT110" s="8"/>
      <c r="BV110" s="8"/>
      <c r="BX110" s="8"/>
    </row>
    <row r="111" spans="2:76">
      <c r="B111" s="8"/>
      <c r="C111" s="8"/>
      <c r="E111" s="8"/>
      <c r="F111" s="8"/>
      <c r="G111" s="8"/>
      <c r="H111" s="8"/>
      <c r="I111" s="8"/>
      <c r="J111" s="8"/>
      <c r="K111" s="34"/>
      <c r="L111" s="8"/>
      <c r="M111" s="8"/>
      <c r="N111" s="34"/>
      <c r="O111" s="34"/>
      <c r="P111" s="8"/>
      <c r="Q111" s="8"/>
      <c r="R111" s="8"/>
      <c r="S111" s="8"/>
      <c r="T111" s="8"/>
      <c r="U111" s="8"/>
      <c r="V111" s="8"/>
      <c r="W111" s="8"/>
      <c r="X111" s="8"/>
      <c r="Y111" s="34"/>
      <c r="Z111" s="8"/>
      <c r="AA111" s="8"/>
      <c r="AC111" s="8"/>
      <c r="AE111" s="8"/>
      <c r="AF111" s="8"/>
      <c r="AG111" s="8"/>
      <c r="AH111" s="8"/>
      <c r="AJ111" s="8"/>
      <c r="AK111" s="8"/>
      <c r="AL111" s="12" t="str">
        <v>Total_Annual_Candidate_Fuel_Consumption_All_Final_Fuel_Demands</v>
      </c>
      <c r="AN111" s="8"/>
      <c r="AO111" s="8"/>
      <c r="AP111" s="8"/>
      <c r="AQ111" s="8"/>
      <c r="AR111" s="8"/>
      <c r="AS111" s="8"/>
      <c r="AT111" s="8"/>
      <c r="AU111" s="8"/>
      <c r="AV111" s="8"/>
      <c r="AW111" s="8"/>
      <c r="AX111" s="8"/>
      <c r="AY111" s="8"/>
      <c r="AZ111" s="8"/>
      <c r="BA111" s="8"/>
      <c r="BB111" s="8"/>
      <c r="BC111" s="8"/>
      <c r="BD111" s="8"/>
      <c r="BE111" s="8"/>
      <c r="BF111" s="12"/>
      <c r="BH111" s="12"/>
      <c r="BI111" s="12"/>
      <c r="BJ111" s="12"/>
      <c r="BK111" s="12"/>
      <c r="BQ111" s="8"/>
      <c r="BR111" s="8"/>
      <c r="BT111" s="8"/>
      <c r="BV111" s="8"/>
      <c r="BX111" s="8"/>
    </row>
    <row r="112" spans="2:76">
      <c r="B112" s="8"/>
      <c r="C112" s="8"/>
      <c r="E112" s="8"/>
      <c r="F112" s="8"/>
      <c r="G112" s="8"/>
      <c r="H112" s="8"/>
      <c r="I112" s="8"/>
      <c r="J112" s="8"/>
      <c r="K112" s="34"/>
      <c r="L112" s="8"/>
      <c r="M112" s="8"/>
      <c r="N112" s="34"/>
      <c r="O112" s="34"/>
      <c r="P112" s="8"/>
      <c r="Q112" s="8"/>
      <c r="R112" s="8"/>
      <c r="S112" s="8"/>
      <c r="T112" s="8"/>
      <c r="U112" s="8"/>
      <c r="V112" s="8"/>
      <c r="W112" s="8"/>
      <c r="X112" s="8"/>
      <c r="Y112" s="34"/>
      <c r="Z112" s="8"/>
      <c r="AA112" s="8"/>
      <c r="AC112" s="8"/>
      <c r="AE112" s="8"/>
      <c r="AF112" s="8"/>
      <c r="AG112" s="8"/>
      <c r="AH112" s="8"/>
      <c r="AJ112" s="8"/>
      <c r="AK112" s="8"/>
      <c r="AL112" s="12" t="str">
        <v>Total_Annual_Candidate_Fuel_Consumption_All_Resources</v>
      </c>
      <c r="AN112" s="8"/>
      <c r="AO112" s="8"/>
      <c r="AP112" s="8"/>
      <c r="AQ112" s="8"/>
      <c r="AR112" s="8"/>
      <c r="AS112" s="8"/>
      <c r="AT112" s="8"/>
      <c r="AU112" s="8"/>
      <c r="AV112" s="8"/>
      <c r="AW112" s="8"/>
      <c r="AX112" s="8"/>
      <c r="AY112" s="8"/>
      <c r="AZ112" s="8"/>
      <c r="BA112" s="8"/>
      <c r="BB112" s="8"/>
      <c r="BC112" s="8"/>
      <c r="BD112" s="8"/>
      <c r="BE112" s="8"/>
      <c r="BF112" s="12"/>
      <c r="BH112" s="12"/>
      <c r="BI112" s="12"/>
      <c r="BJ112" s="12"/>
      <c r="BK112" s="12"/>
      <c r="BQ112" s="8"/>
      <c r="BR112" s="8"/>
      <c r="BT112" s="8"/>
      <c r="BV112" s="8"/>
      <c r="BX112" s="8"/>
    </row>
    <row r="113" spans="2:76">
      <c r="B113" s="8"/>
      <c r="C113" s="8"/>
      <c r="E113" s="8"/>
      <c r="F113" s="8"/>
      <c r="G113" s="8"/>
      <c r="H113" s="8"/>
      <c r="I113" s="8"/>
      <c r="J113" s="8"/>
      <c r="K113" s="34"/>
      <c r="L113" s="8"/>
      <c r="M113" s="8"/>
      <c r="N113" s="34"/>
      <c r="O113" s="34"/>
      <c r="P113" s="8"/>
      <c r="Q113" s="8"/>
      <c r="R113" s="8"/>
      <c r="S113" s="8"/>
      <c r="T113" s="8"/>
      <c r="U113" s="8"/>
      <c r="V113" s="8"/>
      <c r="W113" s="8"/>
      <c r="X113" s="8"/>
      <c r="Y113" s="34"/>
      <c r="Z113" s="8"/>
      <c r="AA113" s="8"/>
      <c r="AC113" s="8"/>
      <c r="AE113" s="8"/>
      <c r="AF113" s="8"/>
      <c r="AG113" s="8"/>
      <c r="AH113" s="8"/>
      <c r="AJ113" s="8"/>
      <c r="AK113" s="8"/>
      <c r="AL113" s="12" t="str">
        <v>Total_Biomass_Fuel_Production_Cost_In_Model_Year</v>
      </c>
      <c r="AN113" s="8"/>
      <c r="AO113" s="8"/>
      <c r="AP113" s="8"/>
      <c r="AQ113" s="8"/>
      <c r="AR113" s="8"/>
      <c r="AS113" s="8"/>
      <c r="AT113" s="8"/>
      <c r="AU113" s="8"/>
      <c r="AV113" s="8"/>
      <c r="AW113" s="8"/>
      <c r="AX113" s="8"/>
      <c r="AY113" s="8"/>
      <c r="AZ113" s="8"/>
      <c r="BA113" s="8"/>
      <c r="BB113" s="8"/>
      <c r="BC113" s="8"/>
      <c r="BD113" s="8"/>
      <c r="BE113" s="8"/>
      <c r="BF113" s="12"/>
      <c r="BH113" s="12"/>
      <c r="BI113" s="12"/>
      <c r="BJ113" s="12"/>
      <c r="BK113" s="12"/>
      <c r="BQ113" s="8"/>
      <c r="BR113" s="8"/>
      <c r="BT113" s="8"/>
      <c r="BV113" s="8"/>
      <c r="BX113" s="8"/>
    </row>
    <row r="114" spans="2:76">
      <c r="B114" s="8"/>
      <c r="C114" s="8"/>
      <c r="E114" s="8"/>
      <c r="F114" s="8"/>
      <c r="G114" s="8"/>
      <c r="H114" s="8"/>
      <c r="I114" s="8"/>
      <c r="J114" s="8"/>
      <c r="K114" s="34"/>
      <c r="L114" s="8"/>
      <c r="M114" s="8"/>
      <c r="N114" s="34"/>
      <c r="O114" s="34"/>
      <c r="P114" s="8"/>
      <c r="Q114" s="8"/>
      <c r="R114" s="8"/>
      <c r="S114" s="8"/>
      <c r="T114" s="8"/>
      <c r="U114" s="8"/>
      <c r="V114" s="8"/>
      <c r="W114" s="8"/>
      <c r="X114" s="8"/>
      <c r="Y114" s="34"/>
      <c r="Z114" s="8"/>
      <c r="AA114" s="8"/>
      <c r="AC114" s="8"/>
      <c r="AE114" s="8"/>
      <c r="AF114" s="8"/>
      <c r="AG114" s="8"/>
      <c r="AH114" s="8"/>
      <c r="AJ114" s="8"/>
      <c r="AK114" s="8"/>
      <c r="AL114" s="12" t="str">
        <v>Total_Candidate_Fuel_Consumption_In_Timepoint_All_Resources</v>
      </c>
      <c r="AN114" s="8"/>
      <c r="AO114" s="8"/>
      <c r="AP114" s="8"/>
      <c r="AQ114" s="8"/>
      <c r="AR114" s="8"/>
      <c r="AS114" s="8"/>
      <c r="AT114" s="8"/>
      <c r="AU114" s="8"/>
      <c r="AV114" s="8"/>
      <c r="AW114" s="8"/>
      <c r="AX114" s="8"/>
      <c r="AY114" s="8"/>
      <c r="AZ114" s="8"/>
      <c r="BA114" s="8"/>
      <c r="BB114" s="8"/>
      <c r="BC114" s="8"/>
      <c r="BD114" s="8"/>
      <c r="BE114" s="8"/>
      <c r="BF114" s="12"/>
      <c r="BH114" s="12"/>
      <c r="BI114" s="12"/>
      <c r="BJ114" s="12"/>
      <c r="BK114" s="12"/>
      <c r="BQ114" s="8"/>
      <c r="BR114" s="8"/>
      <c r="BT114" s="8"/>
      <c r="BV114" s="8"/>
      <c r="BX114" s="8"/>
    </row>
    <row r="115" spans="2:76">
      <c r="B115" s="8"/>
      <c r="C115" s="8"/>
      <c r="E115" s="8"/>
      <c r="F115" s="8"/>
      <c r="G115" s="8"/>
      <c r="H115" s="8"/>
      <c r="I115" s="8"/>
      <c r="J115" s="8"/>
      <c r="K115" s="34"/>
      <c r="L115" s="8"/>
      <c r="M115" s="8"/>
      <c r="N115" s="34"/>
      <c r="O115" s="34"/>
      <c r="P115" s="8"/>
      <c r="Q115" s="8"/>
      <c r="R115" s="8"/>
      <c r="S115" s="8"/>
      <c r="T115" s="8"/>
      <c r="U115" s="8"/>
      <c r="V115" s="8"/>
      <c r="W115" s="8"/>
      <c r="X115" s="8"/>
      <c r="Y115" s="34"/>
      <c r="Z115" s="8"/>
      <c r="AA115" s="8"/>
      <c r="AC115" s="8"/>
      <c r="AE115" s="8"/>
      <c r="AF115" s="8"/>
      <c r="AG115" s="8"/>
      <c r="AH115" s="8"/>
      <c r="AJ115" s="8"/>
      <c r="AK115" s="8"/>
      <c r="AL115" s="12" t="str">
        <v>Total_Commodity_Fuel_Cost_In_Model_Year</v>
      </c>
      <c r="AN115" s="8"/>
      <c r="AO115" s="8"/>
      <c r="AP115" s="8"/>
      <c r="AQ115" s="8"/>
      <c r="AR115" s="8"/>
      <c r="AS115" s="8"/>
      <c r="AT115" s="8"/>
      <c r="AU115" s="8"/>
      <c r="AV115" s="8"/>
      <c r="AW115" s="8"/>
      <c r="AX115" s="8"/>
      <c r="AY115" s="8"/>
      <c r="AZ115" s="8"/>
      <c r="BA115" s="8"/>
      <c r="BB115" s="8"/>
      <c r="BC115" s="8"/>
      <c r="BD115" s="8"/>
      <c r="BE115" s="8"/>
      <c r="BF115" s="12"/>
      <c r="BH115" s="12"/>
      <c r="BI115" s="12"/>
      <c r="BJ115" s="12"/>
      <c r="BK115" s="12"/>
      <c r="BQ115" s="8"/>
      <c r="BR115" s="8"/>
      <c r="BT115" s="8"/>
      <c r="BV115" s="8"/>
      <c r="BX115" s="8"/>
    </row>
    <row r="116" spans="2:76">
      <c r="B116" s="8"/>
      <c r="C116" s="8"/>
      <c r="E116" s="8"/>
      <c r="F116" s="8"/>
      <c r="G116" s="8"/>
      <c r="H116" s="8"/>
      <c r="I116" s="8"/>
      <c r="J116" s="8"/>
      <c r="K116" s="34"/>
      <c r="L116" s="8"/>
      <c r="M116" s="8"/>
      <c r="N116" s="34"/>
      <c r="O116" s="34"/>
      <c r="P116" s="8"/>
      <c r="Q116" s="8"/>
      <c r="R116" s="8"/>
      <c r="S116" s="8"/>
      <c r="T116" s="8"/>
      <c r="U116" s="8"/>
      <c r="V116" s="8"/>
      <c r="W116" s="8"/>
      <c r="X116" s="8"/>
      <c r="Y116" s="34"/>
      <c r="Z116" s="8"/>
      <c r="AA116" s="8"/>
      <c r="AC116" s="8"/>
      <c r="AE116" s="8"/>
      <c r="AF116" s="8"/>
      <c r="AG116" s="8"/>
      <c r="AH116" s="8"/>
      <c r="AJ116" s="8"/>
      <c r="AK116" s="8"/>
      <c r="AL116" s="12" t="str">
        <v>Total_Cost_In_Model_Year</v>
      </c>
      <c r="AN116" s="8"/>
      <c r="AO116" s="8"/>
      <c r="AP116" s="8"/>
      <c r="AQ116" s="8"/>
      <c r="AR116" s="8"/>
      <c r="AS116" s="8"/>
      <c r="AT116" s="8"/>
      <c r="AU116" s="8"/>
      <c r="AV116" s="8"/>
      <c r="AW116" s="8"/>
      <c r="AX116" s="8"/>
      <c r="AY116" s="8"/>
      <c r="AZ116" s="8"/>
      <c r="BA116" s="8"/>
      <c r="BB116" s="8"/>
      <c r="BC116" s="8"/>
      <c r="BD116" s="8"/>
      <c r="BE116" s="8"/>
      <c r="BF116" s="12"/>
      <c r="BH116" s="12"/>
      <c r="BI116" s="12"/>
      <c r="BJ116" s="12"/>
      <c r="BK116" s="12"/>
      <c r="BQ116" s="8"/>
      <c r="BR116" s="8"/>
      <c r="BT116" s="8"/>
      <c r="BV116" s="8"/>
      <c r="BX116" s="8"/>
    </row>
    <row r="117" spans="2:76">
      <c r="B117" s="8"/>
      <c r="C117" s="8"/>
      <c r="E117" s="8"/>
      <c r="F117" s="8"/>
      <c r="G117" s="8"/>
      <c r="H117" s="8"/>
      <c r="I117" s="8"/>
      <c r="J117" s="8"/>
      <c r="K117" s="34"/>
      <c r="L117" s="8"/>
      <c r="M117" s="8"/>
      <c r="N117" s="34"/>
      <c r="O117" s="34"/>
      <c r="P117" s="8"/>
      <c r="Q117" s="8"/>
      <c r="R117" s="8"/>
      <c r="S117" s="8"/>
      <c r="T117" s="8"/>
      <c r="U117" s="8"/>
      <c r="V117" s="8"/>
      <c r="W117" s="8"/>
      <c r="X117" s="8"/>
      <c r="Y117" s="34"/>
      <c r="Z117" s="8"/>
      <c r="AA117" s="8"/>
      <c r="AC117" s="8"/>
      <c r="AE117" s="8"/>
      <c r="AF117" s="8"/>
      <c r="AG117" s="8"/>
      <c r="AH117" s="8"/>
      <c r="AJ117" s="8"/>
      <c r="AK117" s="8"/>
      <c r="AL117" s="12" t="str">
        <v>Total_Curtailment_Cost_In_Model_Year</v>
      </c>
      <c r="AN117" s="8"/>
      <c r="AO117" s="8"/>
      <c r="AP117" s="8"/>
      <c r="AQ117" s="8"/>
      <c r="AR117" s="8"/>
      <c r="AS117" s="8"/>
      <c r="AT117" s="8"/>
      <c r="AU117" s="8"/>
      <c r="AV117" s="8"/>
      <c r="AW117" s="8"/>
      <c r="AX117" s="8"/>
      <c r="AY117" s="8"/>
      <c r="AZ117" s="8"/>
      <c r="BA117" s="8"/>
      <c r="BB117" s="8"/>
      <c r="BC117" s="8"/>
      <c r="BD117" s="8"/>
      <c r="BE117" s="8"/>
      <c r="BF117" s="12"/>
      <c r="BH117" s="12"/>
      <c r="BI117" s="12"/>
      <c r="BJ117" s="12"/>
      <c r="BK117" s="12"/>
      <c r="BQ117" s="8"/>
      <c r="BR117" s="8"/>
      <c r="BT117" s="8"/>
      <c r="BV117" s="8"/>
      <c r="BX117" s="8"/>
    </row>
    <row r="118" spans="2:76">
      <c r="B118" s="8"/>
      <c r="C118" s="8"/>
      <c r="E118" s="8"/>
      <c r="F118" s="8"/>
      <c r="G118" s="8"/>
      <c r="H118" s="8"/>
      <c r="I118" s="8"/>
      <c r="J118" s="8"/>
      <c r="K118" s="34"/>
      <c r="L118" s="8"/>
      <c r="M118" s="8"/>
      <c r="N118" s="34"/>
      <c r="O118" s="34"/>
      <c r="P118" s="8"/>
      <c r="Q118" s="8"/>
      <c r="R118" s="8"/>
      <c r="S118" s="8"/>
      <c r="T118" s="8"/>
      <c r="U118" s="8"/>
      <c r="V118" s="8"/>
      <c r="W118" s="8"/>
      <c r="X118" s="8"/>
      <c r="Y118" s="34"/>
      <c r="Z118" s="8"/>
      <c r="AA118" s="8"/>
      <c r="AC118" s="8"/>
      <c r="AE118" s="8"/>
      <c r="AF118" s="8"/>
      <c r="AG118" s="8"/>
      <c r="AH118" s="8"/>
      <c r="AJ118" s="8"/>
      <c r="AK118" s="8"/>
      <c r="AL118" s="12" t="str">
        <v>Total_Down_Reserves_By_Resource_By_Timepoint</v>
      </c>
      <c r="AN118" s="8"/>
      <c r="AO118" s="8"/>
      <c r="AP118" s="8"/>
      <c r="AQ118" s="8"/>
      <c r="AR118" s="8"/>
      <c r="AS118" s="8"/>
      <c r="AT118" s="8"/>
      <c r="AU118" s="8"/>
      <c r="AV118" s="8"/>
      <c r="AW118" s="8"/>
      <c r="AX118" s="8"/>
      <c r="AY118" s="8"/>
      <c r="AZ118" s="8"/>
      <c r="BA118" s="8"/>
      <c r="BB118" s="8"/>
      <c r="BC118" s="8"/>
      <c r="BD118" s="8"/>
      <c r="BE118" s="8"/>
      <c r="BF118" s="12"/>
      <c r="BH118" s="12"/>
      <c r="BI118" s="12"/>
      <c r="BJ118" s="12"/>
      <c r="BK118" s="12"/>
      <c r="BQ118" s="8"/>
      <c r="BR118" s="8"/>
      <c r="BT118" s="8"/>
      <c r="BV118" s="8"/>
      <c r="BX118" s="8"/>
    </row>
    <row r="119" spans="2:76">
      <c r="B119" s="8"/>
      <c r="C119" s="8"/>
      <c r="E119" s="8"/>
      <c r="F119" s="8"/>
      <c r="G119" s="8"/>
      <c r="H119" s="8"/>
      <c r="I119" s="8"/>
      <c r="J119" s="8"/>
      <c r="K119" s="34"/>
      <c r="L119" s="8"/>
      <c r="M119" s="8"/>
      <c r="N119" s="34"/>
      <c r="O119" s="34"/>
      <c r="P119" s="8"/>
      <c r="Q119" s="8"/>
      <c r="R119" s="8"/>
      <c r="S119" s="8"/>
      <c r="T119" s="8"/>
      <c r="U119" s="8"/>
      <c r="V119" s="8"/>
      <c r="W119" s="8"/>
      <c r="X119" s="8"/>
      <c r="Y119" s="34"/>
      <c r="Z119" s="8"/>
      <c r="AA119" s="8"/>
      <c r="AC119" s="8"/>
      <c r="AE119" s="8"/>
      <c r="AF119" s="8"/>
      <c r="AG119" s="8"/>
      <c r="AH119" s="8"/>
      <c r="AJ119" s="8"/>
      <c r="AK119" s="8"/>
      <c r="AL119" s="12" t="str">
        <v>Total_Fixed_Cost_In_Model_Year</v>
      </c>
    </row>
    <row r="120" spans="2:76">
      <c r="B120" s="8"/>
      <c r="C120" s="8"/>
      <c r="E120" s="8"/>
      <c r="F120" s="8"/>
      <c r="G120" s="8"/>
      <c r="H120" s="8"/>
      <c r="I120" s="8"/>
      <c r="J120" s="8"/>
      <c r="K120" s="34"/>
      <c r="L120" s="8"/>
      <c r="M120" s="8"/>
      <c r="N120" s="34"/>
      <c r="O120" s="34"/>
      <c r="P120" s="8"/>
      <c r="Q120" s="8"/>
      <c r="R120" s="8"/>
      <c r="S120" s="8"/>
      <c r="T120" s="8"/>
      <c r="U120" s="8"/>
      <c r="V120" s="8"/>
      <c r="W120" s="8"/>
      <c r="X120" s="8"/>
      <c r="Y120" s="34"/>
      <c r="Z120" s="8"/>
      <c r="AA120" s="8"/>
      <c r="AC120" s="8"/>
      <c r="AE120" s="8"/>
      <c r="AF120" s="8"/>
      <c r="AG120" s="8"/>
      <c r="AH120" s="8"/>
      <c r="AJ120" s="8"/>
      <c r="AK120" s="8"/>
      <c r="AL120" s="12" t="str">
        <v>Total_Fuel_Transportation_Hurdle_Cost_In_Model_Year</v>
      </c>
    </row>
    <row r="121" spans="2:76">
      <c r="B121" s="8"/>
      <c r="C121" s="8"/>
      <c r="E121" s="8"/>
      <c r="F121" s="8"/>
      <c r="G121" s="8"/>
      <c r="H121" s="8"/>
      <c r="I121" s="8"/>
      <c r="J121" s="8"/>
      <c r="K121" s="34"/>
      <c r="L121" s="8"/>
      <c r="M121" s="8"/>
      <c r="N121" s="34"/>
      <c r="O121" s="34"/>
      <c r="P121" s="8"/>
      <c r="Q121" s="8"/>
      <c r="R121" s="8"/>
      <c r="S121" s="8"/>
      <c r="T121" s="8"/>
      <c r="U121" s="8"/>
      <c r="V121" s="8"/>
      <c r="W121" s="8"/>
      <c r="X121" s="8"/>
      <c r="Y121" s="34"/>
      <c r="Z121" s="8"/>
      <c r="AA121" s="8"/>
      <c r="AC121" s="8"/>
      <c r="AE121" s="8"/>
      <c r="AF121" s="8"/>
      <c r="AG121" s="8"/>
      <c r="AH121" s="8"/>
      <c r="AJ121" s="8"/>
      <c r="AK121" s="8"/>
      <c r="AL121" s="12" t="str">
        <v>Total_Fuel_Zone_Unserved_And_Overproduction_Cost_In_Model_Year</v>
      </c>
    </row>
    <row r="122" spans="2:76">
      <c r="B122" s="8"/>
      <c r="C122" s="8"/>
      <c r="E122" s="8"/>
      <c r="F122" s="8"/>
      <c r="G122" s="8"/>
      <c r="H122" s="8"/>
      <c r="I122" s="8"/>
      <c r="J122" s="8"/>
      <c r="K122" s="34"/>
      <c r="L122" s="8"/>
      <c r="M122" s="8"/>
      <c r="N122" s="34"/>
      <c r="O122" s="34"/>
      <c r="P122" s="8"/>
      <c r="Q122" s="8"/>
      <c r="R122" s="8"/>
      <c r="S122" s="8"/>
      <c r="T122" s="8"/>
      <c r="U122" s="8"/>
      <c r="V122" s="8"/>
      <c r="W122" s="8"/>
      <c r="X122" s="8"/>
      <c r="Y122" s="34"/>
      <c r="Z122" s="8"/>
      <c r="AA122" s="8"/>
      <c r="AC122" s="8"/>
      <c r="AE122" s="8"/>
      <c r="AF122" s="8"/>
      <c r="AG122" s="8"/>
      <c r="AH122" s="8"/>
      <c r="AJ122" s="8"/>
      <c r="AK122" s="8"/>
      <c r="AL122" s="12" t="str">
        <v>Total_Policy_Cost_In_Model_Year</v>
      </c>
    </row>
    <row r="123" spans="2:76">
      <c r="B123" s="8"/>
      <c r="C123" s="8"/>
      <c r="E123" s="8"/>
      <c r="F123" s="8"/>
      <c r="G123" s="8"/>
      <c r="H123" s="8"/>
      <c r="I123" s="8"/>
      <c r="J123" s="8"/>
      <c r="K123" s="34"/>
      <c r="L123" s="8"/>
      <c r="M123" s="8"/>
      <c r="N123" s="34"/>
      <c r="O123" s="34"/>
      <c r="P123" s="8"/>
      <c r="Q123" s="8"/>
      <c r="R123" s="8"/>
      <c r="S123" s="8"/>
      <c r="T123" s="8"/>
      <c r="U123" s="8"/>
      <c r="V123" s="8"/>
      <c r="W123" s="8"/>
      <c r="X123" s="8"/>
      <c r="Y123" s="34"/>
      <c r="Z123" s="8"/>
      <c r="AA123" s="8"/>
      <c r="AC123" s="8"/>
      <c r="AE123" s="8"/>
      <c r="AF123" s="8"/>
      <c r="AG123" s="8"/>
      <c r="AH123" s="8"/>
      <c r="AJ123" s="8"/>
      <c r="AK123" s="8"/>
      <c r="AL123" s="12" t="str">
        <v>Total_Start_And_Shutdown_Cost_In_Model_Year</v>
      </c>
    </row>
    <row r="124" spans="2:76">
      <c r="B124" s="8"/>
      <c r="C124" s="8"/>
      <c r="E124" s="8"/>
      <c r="F124" s="8"/>
      <c r="G124" s="8"/>
      <c r="H124" s="8"/>
      <c r="I124" s="8"/>
      <c r="J124" s="8"/>
      <c r="K124" s="34"/>
      <c r="L124" s="8"/>
      <c r="M124" s="8"/>
      <c r="N124" s="34"/>
      <c r="O124" s="34"/>
      <c r="P124" s="8"/>
      <c r="Q124" s="8"/>
      <c r="R124" s="8"/>
      <c r="S124" s="8"/>
      <c r="T124" s="8"/>
      <c r="U124" s="8"/>
      <c r="V124" s="8"/>
      <c r="W124" s="8"/>
      <c r="X124" s="8"/>
      <c r="Y124" s="34"/>
      <c r="Z124" s="8"/>
      <c r="AA124" s="8"/>
      <c r="AC124" s="8"/>
      <c r="AE124" s="8"/>
      <c r="AF124" s="8"/>
      <c r="AG124" s="8"/>
      <c r="AH124" s="8"/>
      <c r="AJ124" s="8"/>
      <c r="AK124" s="8"/>
      <c r="AL124" s="12" t="str">
        <v>Total_Tx_Hurdle_Cost_In_Model_Year</v>
      </c>
    </row>
    <row r="125" spans="2:76">
      <c r="B125" s="8"/>
      <c r="C125" s="8"/>
      <c r="E125" s="8"/>
      <c r="F125" s="8"/>
      <c r="G125" s="8"/>
      <c r="H125" s="8"/>
      <c r="I125" s="8"/>
      <c r="J125" s="8"/>
      <c r="K125" s="34"/>
      <c r="L125" s="8"/>
      <c r="M125" s="8"/>
      <c r="N125" s="34"/>
      <c r="O125" s="34"/>
      <c r="P125" s="8"/>
      <c r="Q125" s="8"/>
      <c r="R125" s="8"/>
      <c r="S125" s="8"/>
      <c r="T125" s="8"/>
      <c r="U125" s="8"/>
      <c r="V125" s="8"/>
      <c r="W125" s="8"/>
      <c r="X125" s="8"/>
      <c r="Y125" s="34"/>
      <c r="Z125" s="8"/>
      <c r="AA125" s="8"/>
      <c r="AC125" s="8"/>
      <c r="AE125" s="8"/>
      <c r="AF125" s="8"/>
      <c r="AG125" s="8"/>
      <c r="AH125" s="8"/>
      <c r="AJ125" s="8"/>
      <c r="AK125" s="8"/>
      <c r="AL125" s="12" t="str">
        <v>Total_Unserved_Reserves_Cost_In_Model_Year</v>
      </c>
    </row>
    <row r="126" spans="2:76">
      <c r="B126" s="8"/>
      <c r="C126" s="8"/>
      <c r="E126" s="8"/>
      <c r="F126" s="8"/>
      <c r="G126" s="8"/>
      <c r="H126" s="8"/>
      <c r="I126" s="8"/>
      <c r="J126" s="8"/>
      <c r="K126" s="34"/>
      <c r="L126" s="8"/>
      <c r="M126" s="8"/>
      <c r="N126" s="34"/>
      <c r="O126" s="34"/>
      <c r="P126" s="8"/>
      <c r="Q126" s="8"/>
      <c r="R126" s="8"/>
      <c r="S126" s="8"/>
      <c r="T126" s="8"/>
      <c r="U126" s="8"/>
      <c r="V126" s="8"/>
      <c r="W126" s="8"/>
      <c r="X126" s="8"/>
      <c r="Y126" s="34"/>
      <c r="Z126" s="8"/>
      <c r="AA126" s="8"/>
      <c r="AC126" s="8"/>
      <c r="AE126" s="8"/>
      <c r="AF126" s="8"/>
      <c r="AG126" s="8"/>
      <c r="AH126" s="8"/>
      <c r="AJ126" s="8"/>
      <c r="AK126" s="8"/>
      <c r="AL126" s="12" t="str">
        <v>Total_Up_Reserves_By_Resource_By_Timepoint</v>
      </c>
    </row>
    <row r="127" spans="2:76">
      <c r="B127" s="8"/>
      <c r="C127" s="8"/>
      <c r="E127" s="8"/>
      <c r="F127" s="8"/>
      <c r="G127" s="8"/>
      <c r="H127" s="8"/>
      <c r="I127" s="8"/>
      <c r="J127" s="8"/>
      <c r="K127" s="34"/>
      <c r="L127" s="8"/>
      <c r="M127" s="8"/>
      <c r="N127" s="34"/>
      <c r="O127" s="34"/>
      <c r="P127" s="8"/>
      <c r="Q127" s="8"/>
      <c r="R127" s="8"/>
      <c r="S127" s="8"/>
      <c r="T127" s="8"/>
      <c r="U127" s="8"/>
      <c r="V127" s="8"/>
      <c r="W127" s="8"/>
      <c r="X127" s="8"/>
      <c r="Y127" s="34"/>
      <c r="Z127" s="8"/>
      <c r="AA127" s="8"/>
      <c r="AC127" s="8"/>
      <c r="AE127" s="8"/>
      <c r="AF127" s="8"/>
      <c r="AG127" s="8"/>
      <c r="AH127" s="8"/>
      <c r="AJ127" s="8"/>
      <c r="AK127" s="8"/>
      <c r="AL127" s="12" t="str">
        <v>Total_Variable_Cost_In_Model_Year</v>
      </c>
    </row>
    <row r="128" spans="2:76">
      <c r="B128" s="8"/>
      <c r="C128" s="8"/>
      <c r="E128" s="8"/>
      <c r="F128" s="8"/>
      <c r="G128" s="8"/>
      <c r="H128" s="8"/>
      <c r="I128" s="8"/>
      <c r="J128" s="8"/>
      <c r="K128" s="34"/>
      <c r="L128" s="8"/>
      <c r="M128" s="8"/>
      <c r="N128" s="34"/>
      <c r="O128" s="34"/>
      <c r="P128" s="8"/>
      <c r="Q128" s="8"/>
      <c r="R128" s="8"/>
      <c r="S128" s="8"/>
      <c r="T128" s="8"/>
      <c r="U128" s="8"/>
      <c r="V128" s="8"/>
      <c r="W128" s="8"/>
      <c r="X128" s="8"/>
      <c r="Y128" s="34"/>
      <c r="Z128" s="8"/>
      <c r="AA128" s="8"/>
      <c r="AC128" s="8"/>
      <c r="AE128" s="8"/>
      <c r="AF128" s="8"/>
      <c r="AG128" s="8"/>
      <c r="AH128" s="8"/>
      <c r="AJ128" s="8"/>
      <c r="AK128" s="8"/>
      <c r="AL128" s="12" t="str">
        <v>Total_Zonal_Unserved_Energy_And_Overgen_Cost_In_Model_Year</v>
      </c>
    </row>
    <row r="129" spans="2:38">
      <c r="B129" s="8"/>
      <c r="C129" s="8"/>
      <c r="E129" s="8"/>
      <c r="F129" s="8"/>
      <c r="G129" s="8"/>
      <c r="H129" s="8"/>
      <c r="I129" s="8"/>
      <c r="J129" s="8"/>
      <c r="K129" s="34"/>
      <c r="L129" s="8"/>
      <c r="M129" s="8"/>
      <c r="N129" s="34"/>
      <c r="O129" s="34"/>
      <c r="P129" s="8"/>
      <c r="Q129" s="8"/>
      <c r="R129" s="8"/>
      <c r="S129" s="8"/>
      <c r="T129" s="8"/>
      <c r="U129" s="8"/>
      <c r="V129" s="8"/>
      <c r="W129" s="8"/>
      <c r="X129" s="8"/>
      <c r="Y129" s="34"/>
      <c r="Z129" s="8"/>
      <c r="AA129" s="8"/>
      <c r="AC129" s="8"/>
      <c r="AE129" s="8"/>
      <c r="AF129" s="8"/>
      <c r="AG129" s="8"/>
      <c r="AH129" s="8"/>
      <c r="AJ129" s="8"/>
      <c r="AK129" s="8"/>
      <c r="AL129" s="12" t="str">
        <v>Transmit_Candidate_Fuel_Forward_MMBTU_H</v>
      </c>
    </row>
    <row r="130" spans="2:38">
      <c r="B130" s="8"/>
      <c r="C130" s="8"/>
      <c r="E130" s="8"/>
      <c r="F130" s="8"/>
      <c r="G130" s="8"/>
      <c r="H130" s="8"/>
      <c r="I130" s="8"/>
      <c r="J130" s="8"/>
      <c r="K130" s="34"/>
      <c r="L130" s="8"/>
      <c r="M130" s="8"/>
      <c r="N130" s="34"/>
      <c r="O130" s="34"/>
      <c r="P130" s="8"/>
      <c r="Q130" s="8"/>
      <c r="R130" s="8"/>
      <c r="S130" s="8"/>
      <c r="T130" s="8"/>
      <c r="U130" s="8"/>
      <c r="V130" s="8"/>
      <c r="W130" s="8"/>
      <c r="X130" s="8"/>
      <c r="Y130" s="34"/>
      <c r="Z130" s="8"/>
      <c r="AA130" s="8"/>
      <c r="AC130" s="8"/>
      <c r="AE130" s="8"/>
      <c r="AF130" s="8"/>
      <c r="AG130" s="8"/>
      <c r="AH130" s="8"/>
      <c r="AJ130" s="8"/>
      <c r="AK130" s="8"/>
      <c r="AL130" s="12" t="str">
        <v>Transmit_Candidate_Fuel_MMBTU_H</v>
      </c>
    </row>
    <row r="131" spans="2:38">
      <c r="B131" s="8"/>
      <c r="C131" s="8"/>
      <c r="E131" s="8"/>
      <c r="F131" s="8"/>
      <c r="G131" s="8"/>
      <c r="H131" s="8"/>
      <c r="I131" s="8"/>
      <c r="J131" s="8"/>
      <c r="K131" s="34"/>
      <c r="L131" s="8"/>
      <c r="M131" s="8"/>
      <c r="N131" s="34"/>
      <c r="O131" s="34"/>
      <c r="P131" s="8"/>
      <c r="Q131" s="8"/>
      <c r="R131" s="8"/>
      <c r="S131" s="8"/>
      <c r="T131" s="8"/>
      <c r="U131" s="8"/>
      <c r="V131" s="8"/>
      <c r="W131" s="8"/>
      <c r="X131" s="8"/>
      <c r="Y131" s="34"/>
      <c r="Z131" s="8"/>
      <c r="AA131" s="8"/>
      <c r="AC131" s="8"/>
      <c r="AE131" s="8"/>
      <c r="AF131" s="8"/>
      <c r="AG131" s="8"/>
      <c r="AH131" s="8"/>
      <c r="AJ131" s="8"/>
      <c r="AK131" s="8"/>
      <c r="AL131" s="12" t="str">
        <v>Transmit_Candidate_Fuel_Reverse_MMBTU_H</v>
      </c>
    </row>
    <row r="132" spans="2:38">
      <c r="B132" s="8"/>
      <c r="C132" s="8"/>
      <c r="E132" s="8"/>
      <c r="F132" s="8"/>
      <c r="G132" s="8"/>
      <c r="H132" s="8"/>
      <c r="I132" s="8"/>
      <c r="J132" s="8"/>
      <c r="K132" s="34"/>
      <c r="L132" s="8"/>
      <c r="M132" s="8"/>
      <c r="N132" s="34"/>
      <c r="O132" s="34"/>
      <c r="P132" s="8"/>
      <c r="Q132" s="8"/>
      <c r="R132" s="8"/>
      <c r="S132" s="8"/>
      <c r="T132" s="8"/>
      <c r="U132" s="8"/>
      <c r="V132" s="8"/>
      <c r="W132" s="8"/>
      <c r="X132" s="8"/>
      <c r="Y132" s="34"/>
      <c r="Z132" s="8"/>
      <c r="AA132" s="8"/>
      <c r="AC132" s="8"/>
      <c r="AE132" s="8"/>
      <c r="AF132" s="8"/>
      <c r="AG132" s="8"/>
      <c r="AH132" s="8"/>
      <c r="AJ132" s="8"/>
      <c r="AK132" s="8"/>
      <c r="AL132" s="12" t="str">
        <v>Transmit_Power_Forward_MW</v>
      </c>
    </row>
    <row r="133" spans="2:38">
      <c r="B133" s="8"/>
      <c r="C133" s="8"/>
      <c r="E133" s="8"/>
      <c r="F133" s="8"/>
      <c r="G133" s="8"/>
      <c r="H133" s="8"/>
      <c r="I133" s="8"/>
      <c r="J133" s="8"/>
      <c r="K133" s="34"/>
      <c r="L133" s="8"/>
      <c r="M133" s="8"/>
      <c r="N133" s="34"/>
      <c r="O133" s="34"/>
      <c r="P133" s="8"/>
      <c r="Q133" s="8"/>
      <c r="R133" s="8"/>
      <c r="S133" s="8"/>
      <c r="T133" s="8"/>
      <c r="U133" s="8"/>
      <c r="V133" s="8"/>
      <c r="W133" s="8"/>
      <c r="X133" s="8"/>
      <c r="Y133" s="34"/>
      <c r="Z133" s="8"/>
      <c r="AA133" s="8"/>
      <c r="AC133" s="8"/>
      <c r="AE133" s="8"/>
      <c r="AF133" s="8"/>
      <c r="AG133" s="8"/>
      <c r="AH133" s="8"/>
      <c r="AJ133" s="8"/>
      <c r="AK133" s="8"/>
      <c r="AL133" s="12" t="str">
        <v>Transmit_Power_MW</v>
      </c>
    </row>
    <row r="134" spans="2:38">
      <c r="B134" s="8"/>
      <c r="C134" s="8"/>
      <c r="E134" s="8"/>
      <c r="F134" s="8"/>
      <c r="G134" s="8"/>
      <c r="H134" s="8"/>
      <c r="I134" s="8"/>
      <c r="J134" s="8"/>
      <c r="K134" s="34"/>
      <c r="L134" s="8"/>
      <c r="M134" s="8"/>
      <c r="N134" s="34"/>
      <c r="O134" s="34"/>
      <c r="P134" s="8"/>
      <c r="Q134" s="8"/>
      <c r="R134" s="8"/>
      <c r="S134" s="8"/>
      <c r="T134" s="8"/>
      <c r="U134" s="8"/>
      <c r="V134" s="8"/>
      <c r="W134" s="8"/>
      <c r="X134" s="8"/>
      <c r="Y134" s="34"/>
      <c r="Z134" s="8"/>
      <c r="AA134" s="8"/>
      <c r="AC134" s="8"/>
      <c r="AE134" s="8"/>
      <c r="AF134" s="8"/>
      <c r="AG134" s="8"/>
      <c r="AH134" s="8"/>
      <c r="AJ134" s="8"/>
      <c r="AK134" s="8"/>
      <c r="AL134" s="12" t="str">
        <v>Transmit_Power_Reverse_MW</v>
      </c>
    </row>
    <row r="135" spans="2:38">
      <c r="B135" s="8"/>
      <c r="C135" s="8"/>
      <c r="E135" s="8"/>
      <c r="F135" s="8"/>
      <c r="G135" s="8"/>
      <c r="H135" s="8"/>
      <c r="I135" s="8"/>
      <c r="J135" s="8"/>
      <c r="K135" s="34"/>
      <c r="L135" s="8"/>
      <c r="M135" s="8"/>
      <c r="N135" s="34"/>
      <c r="O135" s="34"/>
      <c r="P135" s="8"/>
      <c r="Q135" s="8"/>
      <c r="R135" s="8"/>
      <c r="S135" s="8"/>
      <c r="T135" s="8"/>
      <c r="U135" s="8"/>
      <c r="V135" s="8"/>
      <c r="W135" s="8"/>
      <c r="X135" s="8"/>
      <c r="Y135" s="34"/>
      <c r="Z135" s="8"/>
      <c r="AA135" s="8"/>
      <c r="AC135" s="8"/>
      <c r="AE135" s="8"/>
      <c r="AF135" s="8"/>
      <c r="AG135" s="8"/>
      <c r="AH135" s="8"/>
      <c r="AJ135" s="8"/>
      <c r="AK135" s="8"/>
      <c r="AL135" s="12" t="str">
        <v>Tx_Hurdle_Cost_In_Timepoint_Forward</v>
      </c>
    </row>
    <row r="136" spans="2:38">
      <c r="B136" s="8"/>
      <c r="C136" s="8"/>
      <c r="E136" s="8"/>
      <c r="F136" s="8"/>
      <c r="G136" s="8"/>
      <c r="H136" s="8"/>
      <c r="I136" s="8"/>
      <c r="J136" s="8"/>
      <c r="K136" s="34"/>
      <c r="L136" s="8"/>
      <c r="M136" s="8"/>
      <c r="N136" s="34"/>
      <c r="O136" s="34"/>
      <c r="P136" s="8"/>
      <c r="Q136" s="8"/>
      <c r="R136" s="8"/>
      <c r="S136" s="8"/>
      <c r="T136" s="8"/>
      <c r="U136" s="8"/>
      <c r="V136" s="8"/>
      <c r="W136" s="8"/>
      <c r="X136" s="8"/>
      <c r="Y136" s="34"/>
      <c r="Z136" s="8"/>
      <c r="AA136" s="8"/>
      <c r="AC136" s="8"/>
      <c r="AE136" s="8"/>
      <c r="AF136" s="8"/>
      <c r="AG136" s="8"/>
      <c r="AH136" s="8"/>
      <c r="AJ136" s="8"/>
      <c r="AK136" s="8"/>
      <c r="AL136" s="12" t="str">
        <v>Tx_Hurdle_Cost_In_Timepoint_Reverse</v>
      </c>
    </row>
    <row r="137" spans="2:38">
      <c r="B137" s="8"/>
      <c r="C137" s="8"/>
      <c r="E137" s="8"/>
      <c r="F137" s="8"/>
      <c r="G137" s="8"/>
      <c r="H137" s="8"/>
      <c r="I137" s="8"/>
      <c r="J137" s="8"/>
      <c r="K137" s="34"/>
      <c r="L137" s="8"/>
      <c r="M137" s="8"/>
      <c r="N137" s="34"/>
      <c r="O137" s="34"/>
      <c r="P137" s="8"/>
      <c r="Q137" s="8"/>
      <c r="R137" s="8"/>
      <c r="S137" s="8"/>
      <c r="T137" s="8"/>
      <c r="U137" s="8"/>
      <c r="V137" s="8"/>
      <c r="W137" s="8"/>
      <c r="X137" s="8"/>
      <c r="Y137" s="34"/>
      <c r="Z137" s="8"/>
      <c r="AA137" s="8"/>
      <c r="AC137" s="8"/>
      <c r="AE137" s="8"/>
      <c r="AF137" s="8"/>
      <c r="AG137" s="8"/>
      <c r="AH137" s="8"/>
      <c r="AJ137" s="8"/>
      <c r="AK137" s="8"/>
      <c r="AL137" s="12" t="str">
        <v>Unit_Commitment_Pmin</v>
      </c>
    </row>
    <row r="138" spans="2:38">
      <c r="B138" s="8"/>
      <c r="C138" s="8"/>
      <c r="E138" s="8"/>
      <c r="F138" s="8"/>
      <c r="G138" s="8"/>
      <c r="H138" s="8"/>
      <c r="I138" s="8"/>
      <c r="J138" s="8"/>
      <c r="K138" s="34"/>
      <c r="L138" s="8"/>
      <c r="M138" s="8"/>
      <c r="N138" s="34"/>
      <c r="O138" s="34"/>
      <c r="P138" s="8"/>
      <c r="Q138" s="8"/>
      <c r="R138" s="8"/>
      <c r="S138" s="8"/>
      <c r="T138" s="8"/>
      <c r="U138" s="8"/>
      <c r="V138" s="8"/>
      <c r="W138" s="8"/>
      <c r="X138" s="8"/>
      <c r="Y138" s="34"/>
      <c r="Z138" s="8"/>
      <c r="AA138" s="8"/>
      <c r="AC138" s="8"/>
      <c r="AE138" s="8"/>
      <c r="AF138" s="8"/>
      <c r="AG138" s="8"/>
      <c r="AH138" s="8"/>
      <c r="AJ138" s="8"/>
      <c r="AK138" s="8"/>
      <c r="AL138" s="12" t="str">
        <v>Unserved_Energy_MMBTU_H</v>
      </c>
    </row>
    <row r="139" spans="2:38">
      <c r="B139" s="8"/>
      <c r="C139" s="8"/>
      <c r="E139" s="8"/>
      <c r="F139" s="8"/>
      <c r="G139" s="8"/>
      <c r="H139" s="8"/>
      <c r="I139" s="8"/>
      <c r="J139" s="8"/>
      <c r="K139" s="34"/>
      <c r="L139" s="8"/>
      <c r="M139" s="8"/>
      <c r="N139" s="34"/>
      <c r="O139" s="34"/>
      <c r="P139" s="8"/>
      <c r="Q139" s="8"/>
      <c r="R139" s="8"/>
      <c r="S139" s="8"/>
      <c r="T139" s="8"/>
      <c r="U139" s="8"/>
      <c r="V139" s="8"/>
      <c r="W139" s="8"/>
      <c r="X139" s="8"/>
      <c r="Y139" s="34"/>
      <c r="Z139" s="8"/>
      <c r="AA139" s="8"/>
      <c r="AC139" s="8"/>
      <c r="AE139" s="8"/>
      <c r="AF139" s="8"/>
      <c r="AG139" s="8"/>
      <c r="AH139" s="8"/>
      <c r="AJ139" s="8"/>
      <c r="AK139" s="8"/>
      <c r="AL139" s="12" t="str">
        <v>Unserved_Energy_MW</v>
      </c>
    </row>
    <row r="140" spans="2:38">
      <c r="B140" s="8"/>
      <c r="C140" s="8"/>
      <c r="E140" s="8"/>
      <c r="F140" s="8"/>
      <c r="G140" s="8"/>
      <c r="H140" s="8"/>
      <c r="I140" s="8"/>
      <c r="J140" s="8"/>
      <c r="K140" s="34"/>
      <c r="L140" s="8"/>
      <c r="M140" s="8"/>
      <c r="N140" s="34"/>
      <c r="O140" s="34"/>
      <c r="P140" s="8"/>
      <c r="Q140" s="8"/>
      <c r="R140" s="8"/>
      <c r="S140" s="8"/>
      <c r="T140" s="8"/>
      <c r="U140" s="8"/>
      <c r="V140" s="8"/>
      <c r="W140" s="8"/>
      <c r="X140" s="8"/>
      <c r="Y140" s="34"/>
      <c r="Z140" s="8"/>
      <c r="AA140" s="8"/>
      <c r="AC140" s="8"/>
      <c r="AE140" s="8"/>
      <c r="AF140" s="8"/>
      <c r="AG140" s="8"/>
      <c r="AH140" s="8"/>
      <c r="AJ140" s="8"/>
      <c r="AK140" s="8"/>
      <c r="AL140" s="12" t="str">
        <v>Unserved_Reserve_MW</v>
      </c>
    </row>
    <row r="141" spans="2:38">
      <c r="B141" s="8"/>
      <c r="C141" s="8"/>
      <c r="E141" s="8"/>
      <c r="F141" s="8"/>
      <c r="G141" s="8"/>
      <c r="H141" s="8"/>
      <c r="I141" s="8"/>
      <c r="J141" s="8"/>
      <c r="K141" s="34"/>
      <c r="L141" s="8"/>
      <c r="M141" s="8"/>
      <c r="N141" s="34"/>
      <c r="O141" s="34"/>
      <c r="P141" s="8"/>
      <c r="Q141" s="8"/>
      <c r="R141" s="8"/>
      <c r="S141" s="8"/>
      <c r="T141" s="8"/>
      <c r="U141" s="8"/>
      <c r="V141" s="8"/>
      <c r="W141" s="8"/>
      <c r="X141" s="8"/>
      <c r="Y141" s="34"/>
      <c r="Z141" s="8"/>
      <c r="AA141" s="8"/>
      <c r="AC141" s="8"/>
      <c r="AE141" s="8"/>
      <c r="AF141" s="8"/>
      <c r="AG141" s="8"/>
      <c r="AH141" s="8"/>
      <c r="AJ141" s="8"/>
      <c r="AK141" s="8"/>
      <c r="AL141" s="12" t="str">
        <v>Zonal_Increase_Load_MW</v>
      </c>
    </row>
    <row r="142" spans="2:38">
      <c r="B142" s="8"/>
      <c r="C142" s="8"/>
      <c r="E142" s="8"/>
      <c r="F142" s="8"/>
      <c r="G142" s="8"/>
      <c r="H142" s="8"/>
      <c r="I142" s="8"/>
      <c r="J142" s="8"/>
      <c r="K142" s="34"/>
      <c r="L142" s="8"/>
      <c r="M142" s="8"/>
      <c r="N142" s="34"/>
      <c r="O142" s="34"/>
      <c r="P142" s="8"/>
      <c r="Q142" s="8"/>
      <c r="R142" s="8"/>
      <c r="S142" s="8"/>
      <c r="T142" s="8"/>
      <c r="U142" s="8"/>
      <c r="V142" s="8"/>
      <c r="W142" s="8"/>
      <c r="X142" s="8"/>
      <c r="Y142" s="34"/>
      <c r="Z142" s="8"/>
      <c r="AA142" s="8"/>
      <c r="AC142" s="8"/>
      <c r="AE142" s="8"/>
      <c r="AF142" s="8"/>
      <c r="AG142" s="8"/>
      <c r="AH142" s="8"/>
      <c r="AJ142" s="8"/>
      <c r="AK142" s="8"/>
      <c r="AL142" s="12" t="str">
        <v>Zonal_Provide_Power_MW</v>
      </c>
    </row>
    <row r="143" spans="2:38">
      <c r="B143" s="8"/>
      <c r="C143" s="8"/>
      <c r="E143" s="8"/>
      <c r="F143" s="8"/>
      <c r="G143" s="8"/>
      <c r="H143" s="8"/>
      <c r="I143" s="8"/>
      <c r="J143" s="8"/>
      <c r="K143" s="34"/>
      <c r="L143" s="8"/>
      <c r="M143" s="8"/>
      <c r="N143" s="34"/>
      <c r="O143" s="34"/>
      <c r="P143" s="8"/>
      <c r="Q143" s="8"/>
      <c r="R143" s="8"/>
      <c r="S143" s="8"/>
      <c r="T143" s="8"/>
      <c r="U143" s="8"/>
      <c r="V143" s="8"/>
      <c r="W143" s="8"/>
      <c r="X143" s="8"/>
      <c r="Y143" s="34"/>
      <c r="Z143" s="8"/>
      <c r="AA143" s="8"/>
      <c r="AC143" s="8"/>
      <c r="AE143" s="8"/>
      <c r="AF143" s="8"/>
      <c r="AG143" s="8"/>
      <c r="AH143" s="8"/>
      <c r="AJ143" s="8"/>
      <c r="AK143" s="8"/>
      <c r="AL143" s="12"/>
    </row>
    <row r="144" spans="2:38">
      <c r="B144" s="8"/>
      <c r="C144" s="8"/>
      <c r="E144" s="8"/>
      <c r="F144" s="8"/>
      <c r="G144" s="8"/>
      <c r="H144" s="8"/>
      <c r="I144" s="8"/>
      <c r="J144" s="8"/>
      <c r="K144" s="34"/>
      <c r="L144" s="8"/>
      <c r="M144" s="8"/>
      <c r="N144" s="34"/>
      <c r="O144" s="34"/>
      <c r="P144" s="8"/>
      <c r="Q144" s="8"/>
      <c r="R144" s="8"/>
      <c r="S144" s="8"/>
      <c r="T144" s="8"/>
      <c r="U144" s="8"/>
      <c r="V144" s="8"/>
      <c r="W144" s="8"/>
      <c r="X144" s="8"/>
      <c r="Y144" s="34"/>
      <c r="Z144" s="8"/>
      <c r="AA144" s="8"/>
      <c r="AC144" s="8"/>
      <c r="AE144" s="8"/>
      <c r="AF144" s="8"/>
      <c r="AG144" s="8"/>
      <c r="AH144" s="8"/>
      <c r="AJ144" s="8"/>
      <c r="AK144" s="8"/>
      <c r="AL144" s="12"/>
    </row>
    <row r="145" spans="2:38">
      <c r="B145" s="8"/>
      <c r="C145" s="8"/>
      <c r="E145" s="8"/>
      <c r="F145" s="8"/>
      <c r="G145" s="8"/>
      <c r="H145" s="8"/>
      <c r="I145" s="8"/>
      <c r="J145" s="8"/>
      <c r="K145" s="34"/>
      <c r="L145" s="8"/>
      <c r="M145" s="8"/>
      <c r="N145" s="34"/>
      <c r="O145" s="34"/>
      <c r="P145" s="8"/>
      <c r="Q145" s="8"/>
      <c r="R145" s="8"/>
      <c r="S145" s="8"/>
      <c r="T145" s="8"/>
      <c r="U145" s="8"/>
      <c r="V145" s="8"/>
      <c r="W145" s="8"/>
      <c r="X145" s="8"/>
      <c r="Y145" s="34"/>
      <c r="Z145" s="8"/>
      <c r="AA145" s="8"/>
      <c r="AC145" s="8"/>
      <c r="AE145" s="8"/>
      <c r="AF145" s="8"/>
      <c r="AG145" s="8"/>
      <c r="AH145" s="8"/>
      <c r="AJ145" s="8"/>
      <c r="AK145" s="8"/>
      <c r="AL145" s="12"/>
    </row>
    <row r="146" spans="2:38">
      <c r="B146" s="8"/>
      <c r="C146" s="8"/>
      <c r="E146" s="8"/>
      <c r="F146" s="8"/>
      <c r="G146" s="8"/>
      <c r="H146" s="8"/>
      <c r="I146" s="8"/>
      <c r="J146" s="8"/>
      <c r="K146" s="34"/>
      <c r="L146" s="8"/>
      <c r="M146" s="8"/>
      <c r="N146" s="34"/>
      <c r="O146" s="34"/>
      <c r="P146" s="8"/>
      <c r="Q146" s="8"/>
      <c r="R146" s="8"/>
      <c r="S146" s="8"/>
      <c r="T146" s="8"/>
      <c r="U146" s="8"/>
      <c r="V146" s="8"/>
      <c r="W146" s="8"/>
      <c r="X146" s="8"/>
      <c r="Y146" s="34"/>
      <c r="Z146" s="8"/>
      <c r="AA146" s="8"/>
      <c r="AC146" s="8"/>
      <c r="AE146" s="8"/>
      <c r="AF146" s="8"/>
      <c r="AG146" s="8"/>
      <c r="AH146" s="8"/>
      <c r="AJ146" s="8"/>
      <c r="AK146" s="8"/>
      <c r="AL146" s="12"/>
    </row>
    <row r="147" spans="2:38">
      <c r="B147" s="8"/>
      <c r="C147" s="8"/>
      <c r="E147" s="8"/>
      <c r="F147" s="8"/>
      <c r="G147" s="8"/>
      <c r="H147" s="8"/>
      <c r="I147" s="8"/>
      <c r="J147" s="8"/>
      <c r="K147" s="34"/>
      <c r="L147" s="8"/>
      <c r="M147" s="8"/>
      <c r="N147" s="34"/>
      <c r="O147" s="34"/>
      <c r="P147" s="8"/>
      <c r="Q147" s="8"/>
      <c r="R147" s="8"/>
      <c r="S147" s="8"/>
      <c r="T147" s="8"/>
      <c r="U147" s="8"/>
      <c r="V147" s="8"/>
      <c r="W147" s="8"/>
      <c r="X147" s="8"/>
      <c r="Y147" s="34"/>
      <c r="Z147" s="8"/>
      <c r="AA147" s="8"/>
      <c r="AC147" s="8"/>
      <c r="AE147" s="8"/>
      <c r="AF147" s="8"/>
      <c r="AG147" s="8"/>
      <c r="AH147" s="8"/>
      <c r="AJ147" s="8"/>
      <c r="AK147" s="8"/>
      <c r="AL147" s="12"/>
    </row>
    <row r="148" spans="2:38">
      <c r="B148" s="8"/>
      <c r="C148" s="8"/>
      <c r="E148" s="8"/>
      <c r="F148" s="8"/>
      <c r="G148" s="8"/>
      <c r="H148" s="8"/>
      <c r="I148" s="8"/>
      <c r="J148" s="8"/>
      <c r="K148" s="34"/>
      <c r="L148" s="8"/>
      <c r="M148" s="8"/>
      <c r="N148" s="34"/>
      <c r="O148" s="34"/>
      <c r="P148" s="8"/>
      <c r="Q148" s="8"/>
      <c r="R148" s="8"/>
      <c r="S148" s="8"/>
      <c r="T148" s="8"/>
      <c r="U148" s="8"/>
      <c r="V148" s="8"/>
      <c r="W148" s="8"/>
      <c r="X148" s="8"/>
      <c r="Y148" s="34"/>
      <c r="Z148" s="8"/>
      <c r="AA148" s="8"/>
      <c r="AC148" s="8"/>
      <c r="AE148" s="8"/>
      <c r="AF148" s="8"/>
      <c r="AG148" s="8"/>
      <c r="AH148" s="8"/>
      <c r="AJ148" s="8"/>
      <c r="AK148" s="8"/>
      <c r="AL148" s="12"/>
    </row>
    <row r="149" spans="2:38">
      <c r="B149" s="8"/>
      <c r="C149" s="8"/>
      <c r="E149" s="8"/>
      <c r="F149" s="8"/>
      <c r="G149" s="8"/>
      <c r="H149" s="8"/>
      <c r="I149" s="8"/>
      <c r="J149" s="8"/>
      <c r="K149" s="34"/>
      <c r="L149" s="8"/>
      <c r="M149" s="8"/>
      <c r="N149" s="34"/>
      <c r="O149" s="34"/>
      <c r="P149" s="8"/>
      <c r="Q149" s="8"/>
      <c r="R149" s="8"/>
      <c r="S149" s="8"/>
      <c r="T149" s="8"/>
      <c r="U149" s="8"/>
      <c r="V149" s="8"/>
      <c r="W149" s="8"/>
      <c r="X149" s="8"/>
      <c r="Y149" s="34"/>
      <c r="Z149" s="8"/>
      <c r="AA149" s="8"/>
      <c r="AC149" s="8"/>
      <c r="AE149" s="8"/>
      <c r="AF149" s="8"/>
      <c r="AG149" s="8"/>
      <c r="AH149" s="8"/>
      <c r="AJ149" s="8"/>
      <c r="AK149" s="8"/>
      <c r="AL149" s="12"/>
    </row>
    <row r="150" spans="2:38">
      <c r="B150" s="8"/>
      <c r="C150" s="8"/>
      <c r="E150" s="8"/>
      <c r="F150" s="8"/>
      <c r="G150" s="8"/>
      <c r="H150" s="8"/>
      <c r="I150" s="8"/>
      <c r="J150" s="8"/>
      <c r="K150" s="34"/>
      <c r="L150" s="8"/>
      <c r="M150" s="8"/>
      <c r="N150" s="34"/>
      <c r="O150" s="34"/>
      <c r="P150" s="8"/>
      <c r="Q150" s="8"/>
      <c r="R150" s="8"/>
      <c r="S150" s="8"/>
      <c r="T150" s="8"/>
      <c r="U150" s="8"/>
      <c r="V150" s="8"/>
      <c r="W150" s="8"/>
      <c r="X150" s="8"/>
      <c r="Y150" s="34"/>
      <c r="Z150" s="8"/>
      <c r="AA150" s="8"/>
      <c r="AC150" s="8"/>
      <c r="AE150" s="8"/>
      <c r="AF150" s="8"/>
      <c r="AG150" s="8"/>
      <c r="AH150" s="8"/>
      <c r="AJ150" s="8"/>
      <c r="AK150" s="8"/>
      <c r="AL150" s="12"/>
    </row>
    <row r="151" spans="2:38">
      <c r="B151" s="8"/>
      <c r="C151" s="8"/>
      <c r="E151" s="8"/>
      <c r="F151" s="8"/>
      <c r="G151" s="8"/>
      <c r="H151" s="8"/>
      <c r="I151" s="8"/>
      <c r="J151" s="8"/>
      <c r="K151" s="34"/>
      <c r="L151" s="8"/>
      <c r="M151" s="8"/>
      <c r="N151" s="34"/>
      <c r="O151" s="34"/>
      <c r="P151" s="8"/>
      <c r="Q151" s="8"/>
      <c r="R151" s="8"/>
      <c r="S151" s="8"/>
      <c r="T151" s="8"/>
      <c r="U151" s="8"/>
      <c r="V151" s="8"/>
      <c r="W151" s="8"/>
      <c r="X151" s="8"/>
      <c r="Y151" s="34"/>
      <c r="Z151" s="8"/>
      <c r="AA151" s="8"/>
      <c r="AC151" s="8"/>
      <c r="AE151" s="8"/>
      <c r="AF151" s="8"/>
      <c r="AG151" s="8"/>
      <c r="AH151" s="8"/>
      <c r="AJ151" s="8"/>
      <c r="AK151" s="8"/>
      <c r="AL151" s="12"/>
    </row>
    <row r="152" spans="2:38">
      <c r="B152" s="8"/>
      <c r="C152" s="8"/>
      <c r="E152" s="8"/>
      <c r="F152" s="8"/>
      <c r="G152" s="8"/>
      <c r="H152" s="8"/>
      <c r="I152" s="8"/>
      <c r="J152" s="8"/>
      <c r="K152" s="34"/>
      <c r="L152" s="8"/>
      <c r="M152" s="8"/>
      <c r="N152" s="34"/>
      <c r="O152" s="34"/>
      <c r="P152" s="8"/>
      <c r="Q152" s="8"/>
      <c r="R152" s="8"/>
      <c r="S152" s="8"/>
      <c r="T152" s="8"/>
      <c r="U152" s="8"/>
      <c r="V152" s="8"/>
      <c r="W152" s="8"/>
      <c r="X152" s="8"/>
      <c r="Y152" s="34"/>
      <c r="Z152" s="8"/>
      <c r="AA152" s="8"/>
      <c r="AC152" s="8"/>
      <c r="AE152" s="8"/>
      <c r="AF152" s="8"/>
      <c r="AG152" s="8"/>
      <c r="AH152" s="8"/>
      <c r="AJ152" s="8"/>
      <c r="AK152" s="8"/>
      <c r="AL152" s="12"/>
    </row>
    <row r="153" spans="2:38">
      <c r="B153" s="8"/>
      <c r="C153" s="8"/>
      <c r="E153" s="8"/>
      <c r="F153" s="8"/>
      <c r="G153" s="8"/>
      <c r="H153" s="8"/>
      <c r="I153" s="8"/>
      <c r="J153" s="8"/>
      <c r="K153" s="34"/>
      <c r="L153" s="8"/>
      <c r="M153" s="8"/>
      <c r="N153" s="34"/>
      <c r="O153" s="34"/>
      <c r="P153" s="8"/>
      <c r="Q153" s="8"/>
      <c r="R153" s="8"/>
      <c r="S153" s="8"/>
      <c r="T153" s="8"/>
      <c r="U153" s="8"/>
      <c r="V153" s="8"/>
      <c r="W153" s="8"/>
      <c r="X153" s="8"/>
      <c r="Y153" s="34"/>
      <c r="Z153" s="8"/>
      <c r="AA153" s="8"/>
      <c r="AC153" s="8"/>
      <c r="AE153" s="8"/>
      <c r="AF153" s="8"/>
      <c r="AG153" s="8"/>
      <c r="AH153" s="8"/>
      <c r="AJ153" s="8"/>
      <c r="AK153" s="8"/>
      <c r="AL153" s="12"/>
    </row>
    <row r="154" spans="2:38">
      <c r="B154" s="8"/>
      <c r="C154" s="8"/>
      <c r="E154" s="8"/>
      <c r="F154" s="8"/>
      <c r="G154" s="8"/>
      <c r="H154" s="8"/>
      <c r="I154" s="8"/>
      <c r="J154" s="8"/>
      <c r="K154" s="34"/>
      <c r="L154" s="8"/>
      <c r="M154" s="8"/>
      <c r="N154" s="34"/>
      <c r="O154" s="34"/>
      <c r="P154" s="8"/>
      <c r="Q154" s="8"/>
      <c r="R154" s="8"/>
      <c r="S154" s="8"/>
      <c r="T154" s="8"/>
      <c r="U154" s="8"/>
      <c r="V154" s="8"/>
      <c r="W154" s="8"/>
      <c r="X154" s="8"/>
      <c r="Y154" s="34"/>
      <c r="Z154" s="8"/>
      <c r="AA154" s="8"/>
      <c r="AC154" s="8"/>
      <c r="AE154" s="8"/>
      <c r="AF154" s="8"/>
      <c r="AG154" s="8"/>
      <c r="AH154" s="8"/>
      <c r="AJ154" s="8"/>
      <c r="AK154" s="8"/>
      <c r="AL154" s="12"/>
    </row>
    <row r="155" spans="2:38">
      <c r="B155" s="8"/>
      <c r="C155" s="8"/>
      <c r="E155" s="8"/>
      <c r="F155" s="8"/>
      <c r="G155" s="8"/>
      <c r="H155" s="8"/>
      <c r="I155" s="8"/>
      <c r="J155" s="8"/>
      <c r="K155" s="34"/>
      <c r="L155" s="8"/>
      <c r="M155" s="8"/>
      <c r="N155" s="34"/>
      <c r="O155" s="34"/>
      <c r="P155" s="8"/>
      <c r="Q155" s="8"/>
      <c r="R155" s="8"/>
      <c r="S155" s="8"/>
      <c r="T155" s="8"/>
      <c r="U155" s="8"/>
      <c r="V155" s="8"/>
      <c r="W155" s="8"/>
      <c r="X155" s="8"/>
      <c r="Y155" s="34"/>
      <c r="Z155" s="8"/>
      <c r="AA155" s="8"/>
      <c r="AC155" s="8"/>
      <c r="AE155" s="8"/>
      <c r="AF155" s="8"/>
      <c r="AG155" s="8"/>
      <c r="AH155" s="8"/>
      <c r="AJ155" s="8"/>
      <c r="AK155" s="8"/>
      <c r="AL155" s="12"/>
    </row>
    <row r="156" spans="2:38">
      <c r="B156" s="8"/>
      <c r="C156" s="8"/>
      <c r="E156" s="8"/>
      <c r="F156" s="8"/>
      <c r="G156" s="8"/>
      <c r="H156" s="8"/>
      <c r="I156" s="8"/>
      <c r="J156" s="8"/>
      <c r="K156" s="34"/>
      <c r="L156" s="8"/>
      <c r="M156" s="8"/>
      <c r="N156" s="34"/>
      <c r="O156" s="34"/>
      <c r="P156" s="8"/>
      <c r="Q156" s="8"/>
      <c r="R156" s="8"/>
      <c r="S156" s="8"/>
      <c r="T156" s="8"/>
      <c r="U156" s="8"/>
      <c r="V156" s="8"/>
      <c r="W156" s="8"/>
      <c r="X156" s="8"/>
      <c r="Y156" s="34"/>
      <c r="Z156" s="8"/>
      <c r="AA156" s="8"/>
      <c r="AC156" s="8"/>
      <c r="AE156" s="8"/>
      <c r="AF156" s="8"/>
      <c r="AG156" s="8"/>
      <c r="AH156" s="8"/>
      <c r="AJ156" s="8"/>
      <c r="AK156" s="8"/>
      <c r="AL156" s="12"/>
    </row>
    <row r="157" spans="2:38">
      <c r="B157" s="8"/>
      <c r="C157" s="8"/>
      <c r="E157" s="8"/>
      <c r="F157" s="8"/>
      <c r="G157" s="8"/>
      <c r="H157" s="8"/>
      <c r="I157" s="8"/>
      <c r="J157" s="8"/>
      <c r="K157" s="34"/>
      <c r="L157" s="8"/>
      <c r="M157" s="8"/>
      <c r="N157" s="34"/>
      <c r="O157" s="34"/>
      <c r="P157" s="8"/>
      <c r="Q157" s="8"/>
      <c r="R157" s="8"/>
      <c r="S157" s="8"/>
      <c r="T157" s="8"/>
      <c r="U157" s="8"/>
      <c r="V157" s="8"/>
      <c r="W157" s="8"/>
      <c r="X157" s="8"/>
      <c r="Y157" s="34"/>
      <c r="Z157" s="8"/>
      <c r="AA157" s="8"/>
      <c r="AC157" s="8"/>
      <c r="AE157" s="8"/>
      <c r="AF157" s="8"/>
      <c r="AG157" s="8"/>
      <c r="AH157" s="8"/>
      <c r="AJ157" s="8"/>
      <c r="AK157" s="8"/>
      <c r="AL157" s="12"/>
    </row>
    <row r="158" spans="2:38">
      <c r="B158" s="8"/>
      <c r="C158" s="8"/>
      <c r="E158" s="8"/>
      <c r="F158" s="8"/>
      <c r="G158" s="8"/>
      <c r="H158" s="8"/>
      <c r="I158" s="8"/>
      <c r="J158" s="8"/>
      <c r="K158" s="34"/>
      <c r="L158" s="8"/>
      <c r="M158" s="8"/>
      <c r="N158" s="34"/>
      <c r="O158" s="34"/>
      <c r="P158" s="8"/>
      <c r="Q158" s="8"/>
      <c r="R158" s="8"/>
      <c r="S158" s="8"/>
      <c r="T158" s="8"/>
      <c r="U158" s="8"/>
      <c r="V158" s="8"/>
      <c r="W158" s="8"/>
      <c r="X158" s="8"/>
      <c r="Y158" s="34"/>
      <c r="Z158" s="8"/>
      <c r="AA158" s="8"/>
      <c r="AC158" s="8"/>
      <c r="AE158" s="8"/>
      <c r="AF158" s="8"/>
      <c r="AG158" s="8"/>
      <c r="AH158" s="8"/>
      <c r="AJ158" s="8"/>
      <c r="AK158" s="8"/>
      <c r="AL158" s="12"/>
    </row>
    <row r="159" spans="2:38">
      <c r="B159" s="8"/>
      <c r="C159" s="8"/>
      <c r="E159" s="8"/>
      <c r="F159" s="8"/>
      <c r="G159" s="8"/>
      <c r="H159" s="8"/>
      <c r="I159" s="8"/>
      <c r="J159" s="8"/>
      <c r="K159" s="34"/>
      <c r="L159" s="8"/>
      <c r="M159" s="8"/>
      <c r="N159" s="34"/>
      <c r="O159" s="34"/>
      <c r="P159" s="8"/>
      <c r="Q159" s="8"/>
      <c r="R159" s="8"/>
      <c r="S159" s="8"/>
      <c r="T159" s="8"/>
      <c r="U159" s="8"/>
      <c r="V159" s="8"/>
      <c r="W159" s="8"/>
      <c r="X159" s="8"/>
      <c r="Y159" s="34"/>
      <c r="Z159" s="8"/>
      <c r="AA159" s="8"/>
      <c r="AC159" s="8"/>
      <c r="AE159" s="8"/>
      <c r="AF159" s="8"/>
      <c r="AG159" s="8"/>
      <c r="AH159" s="8"/>
      <c r="AJ159" s="8"/>
      <c r="AK159" s="8"/>
      <c r="AL159" s="12"/>
    </row>
    <row r="160" spans="2:38">
      <c r="B160" s="8"/>
      <c r="C160" s="8"/>
      <c r="E160" s="8"/>
      <c r="F160" s="8"/>
      <c r="G160" s="8"/>
      <c r="H160" s="8"/>
      <c r="I160" s="8"/>
      <c r="J160" s="8"/>
      <c r="K160" s="34"/>
      <c r="L160" s="8"/>
      <c r="M160" s="8"/>
      <c r="N160" s="34"/>
      <c r="O160" s="34"/>
      <c r="P160" s="8"/>
      <c r="Q160" s="8"/>
      <c r="R160" s="8"/>
      <c r="S160" s="8"/>
      <c r="T160" s="8"/>
      <c r="U160" s="8"/>
      <c r="V160" s="8"/>
      <c r="W160" s="8"/>
      <c r="X160" s="8"/>
      <c r="Y160" s="34"/>
      <c r="Z160" s="8"/>
      <c r="AA160" s="8"/>
      <c r="AC160" s="8"/>
      <c r="AE160" s="8"/>
      <c r="AF160" s="8"/>
      <c r="AG160" s="8"/>
      <c r="AH160" s="8"/>
      <c r="AJ160" s="8"/>
      <c r="AK160" s="8"/>
      <c r="AL160" s="12"/>
    </row>
    <row r="161" spans="2:38">
      <c r="B161" s="8"/>
      <c r="C161" s="8"/>
      <c r="E161" s="8"/>
      <c r="F161" s="8"/>
      <c r="G161" s="8"/>
      <c r="H161" s="8"/>
      <c r="I161" s="8"/>
      <c r="J161" s="8"/>
      <c r="K161" s="34"/>
      <c r="L161" s="8"/>
      <c r="M161" s="8"/>
      <c r="N161" s="34"/>
      <c r="O161" s="34"/>
      <c r="P161" s="8"/>
      <c r="Q161" s="8"/>
      <c r="R161" s="8"/>
      <c r="S161" s="8"/>
      <c r="T161" s="8"/>
      <c r="U161" s="8"/>
      <c r="V161" s="8"/>
      <c r="W161" s="8"/>
      <c r="X161" s="8"/>
      <c r="Y161" s="34"/>
      <c r="Z161" s="8"/>
      <c r="AA161" s="8"/>
      <c r="AC161" s="8"/>
      <c r="AE161" s="8"/>
      <c r="AF161" s="8"/>
      <c r="AG161" s="8"/>
      <c r="AH161" s="8"/>
      <c r="AJ161" s="8"/>
      <c r="AK161" s="8"/>
      <c r="AL161" s="12"/>
    </row>
    <row r="162" spans="2:38">
      <c r="B162" s="8"/>
      <c r="C162" s="8"/>
      <c r="E162" s="8"/>
      <c r="F162" s="8"/>
      <c r="G162" s="8"/>
      <c r="H162" s="8"/>
      <c r="I162" s="8"/>
      <c r="J162" s="8"/>
      <c r="K162" s="34"/>
      <c r="L162" s="8"/>
      <c r="M162" s="8"/>
      <c r="N162" s="34"/>
      <c r="O162" s="34"/>
      <c r="P162" s="8"/>
      <c r="Q162" s="8"/>
      <c r="R162" s="8"/>
      <c r="S162" s="8"/>
      <c r="T162" s="8"/>
      <c r="U162" s="8"/>
      <c r="V162" s="8"/>
      <c r="W162" s="8"/>
      <c r="X162" s="8"/>
      <c r="Y162" s="34"/>
      <c r="Z162" s="8"/>
      <c r="AA162" s="8"/>
      <c r="AC162" s="8"/>
      <c r="AE162" s="8"/>
      <c r="AF162" s="8"/>
      <c r="AG162" s="8"/>
      <c r="AH162" s="8"/>
      <c r="AJ162" s="8"/>
      <c r="AK162" s="8"/>
      <c r="AL162" s="12"/>
    </row>
    <row r="163" spans="2:38">
      <c r="B163" s="8"/>
      <c r="C163" s="8"/>
      <c r="E163" s="8"/>
      <c r="F163" s="8"/>
      <c r="G163" s="8"/>
      <c r="H163" s="8"/>
      <c r="I163" s="8"/>
      <c r="J163" s="8"/>
      <c r="K163" s="34"/>
      <c r="L163" s="8"/>
      <c r="M163" s="8"/>
      <c r="N163" s="34"/>
      <c r="O163" s="34"/>
      <c r="P163" s="8"/>
      <c r="Q163" s="8"/>
      <c r="R163" s="8"/>
      <c r="S163" s="8"/>
      <c r="T163" s="8"/>
      <c r="U163" s="8"/>
      <c r="V163" s="8"/>
      <c r="W163" s="8"/>
      <c r="X163" s="8"/>
      <c r="Y163" s="34"/>
      <c r="Z163" s="8"/>
      <c r="AA163" s="8"/>
      <c r="AC163" s="8"/>
      <c r="AE163" s="8"/>
      <c r="AF163" s="8"/>
      <c r="AG163" s="8"/>
      <c r="AH163" s="8"/>
      <c r="AJ163" s="8"/>
      <c r="AK163" s="8"/>
      <c r="AL163" s="12"/>
    </row>
    <row r="164" spans="2:38">
      <c r="B164" s="8"/>
      <c r="C164" s="8"/>
      <c r="E164" s="8"/>
      <c r="F164" s="8"/>
      <c r="G164" s="8"/>
      <c r="H164" s="8"/>
      <c r="I164" s="8"/>
      <c r="J164" s="8"/>
      <c r="K164" s="34"/>
      <c r="L164" s="8"/>
      <c r="M164" s="8"/>
      <c r="N164" s="34"/>
      <c r="O164" s="34"/>
      <c r="P164" s="8"/>
      <c r="Q164" s="8"/>
      <c r="R164" s="8"/>
      <c r="S164" s="8"/>
      <c r="T164" s="8"/>
      <c r="U164" s="8"/>
      <c r="V164" s="8"/>
      <c r="W164" s="8"/>
      <c r="X164" s="8"/>
      <c r="Y164" s="34"/>
      <c r="Z164" s="8"/>
      <c r="AA164" s="8"/>
      <c r="AC164" s="8"/>
      <c r="AE164" s="8"/>
      <c r="AF164" s="8"/>
      <c r="AG164" s="8"/>
      <c r="AH164" s="8"/>
      <c r="AJ164" s="8"/>
      <c r="AK164" s="8"/>
      <c r="AL164" s="12"/>
    </row>
    <row r="165" spans="2:38">
      <c r="B165" s="8"/>
      <c r="C165" s="8"/>
      <c r="E165" s="8"/>
      <c r="F165" s="8"/>
      <c r="G165" s="8"/>
      <c r="H165" s="8"/>
      <c r="I165" s="8"/>
      <c r="J165" s="8"/>
      <c r="K165" s="34"/>
      <c r="L165" s="8"/>
      <c r="M165" s="8"/>
      <c r="N165" s="34"/>
      <c r="O165" s="34"/>
      <c r="P165" s="8"/>
      <c r="Q165" s="8"/>
      <c r="R165" s="8"/>
      <c r="S165" s="8"/>
      <c r="T165" s="8"/>
      <c r="U165" s="8"/>
      <c r="V165" s="8"/>
      <c r="W165" s="8"/>
      <c r="X165" s="8"/>
      <c r="Y165" s="34"/>
      <c r="Z165" s="8"/>
      <c r="AA165" s="8"/>
      <c r="AC165" s="8"/>
      <c r="AE165" s="8"/>
      <c r="AF165" s="8"/>
      <c r="AG165" s="8"/>
      <c r="AH165" s="8"/>
      <c r="AJ165" s="8"/>
      <c r="AK165" s="8"/>
      <c r="AL165" s="12"/>
    </row>
    <row r="166" spans="2:38">
      <c r="B166" s="8"/>
      <c r="C166" s="8"/>
      <c r="E166" s="8"/>
      <c r="F166" s="8"/>
      <c r="G166" s="8"/>
      <c r="H166" s="8"/>
      <c r="I166" s="8"/>
      <c r="J166" s="8"/>
      <c r="K166" s="34"/>
      <c r="L166" s="8"/>
      <c r="M166" s="8"/>
      <c r="N166" s="34"/>
      <c r="O166" s="34"/>
      <c r="P166" s="8"/>
      <c r="Q166" s="8"/>
      <c r="R166" s="8"/>
      <c r="S166" s="8"/>
      <c r="T166" s="8"/>
      <c r="U166" s="8"/>
      <c r="V166" s="8"/>
      <c r="W166" s="8"/>
      <c r="X166" s="8"/>
      <c r="Y166" s="34"/>
      <c r="Z166" s="8"/>
      <c r="AA166" s="8"/>
      <c r="AC166" s="8"/>
      <c r="AE166" s="8"/>
      <c r="AF166" s="8"/>
      <c r="AG166" s="8"/>
      <c r="AH166" s="8"/>
      <c r="AJ166" s="8"/>
      <c r="AK166" s="8"/>
      <c r="AL166" s="12"/>
    </row>
    <row r="167" spans="2:38">
      <c r="B167" s="8"/>
      <c r="C167" s="8"/>
      <c r="E167" s="8"/>
      <c r="F167" s="8"/>
      <c r="G167" s="8"/>
      <c r="H167" s="8"/>
      <c r="I167" s="8"/>
      <c r="J167" s="8"/>
      <c r="K167" s="34"/>
      <c r="L167" s="8"/>
      <c r="M167" s="8"/>
      <c r="N167" s="34"/>
      <c r="O167" s="34"/>
      <c r="P167" s="8"/>
      <c r="Q167" s="8"/>
      <c r="R167" s="8"/>
      <c r="S167" s="8"/>
      <c r="T167" s="8"/>
      <c r="U167" s="8"/>
      <c r="V167" s="8"/>
      <c r="W167" s="8"/>
      <c r="X167" s="8"/>
      <c r="Y167" s="34"/>
      <c r="Z167" s="8"/>
      <c r="AA167" s="8"/>
      <c r="AC167" s="8"/>
      <c r="AE167" s="8"/>
      <c r="AF167" s="8"/>
      <c r="AG167" s="8"/>
      <c r="AH167" s="8"/>
      <c r="AJ167" s="8"/>
      <c r="AK167" s="8"/>
      <c r="AL167" s="12"/>
    </row>
    <row r="168" spans="2:38">
      <c r="B168" s="8"/>
      <c r="C168" s="8"/>
      <c r="E168" s="8"/>
      <c r="F168" s="8"/>
      <c r="G168" s="8"/>
      <c r="H168" s="8"/>
      <c r="I168" s="8"/>
      <c r="J168" s="8"/>
      <c r="K168" s="34"/>
      <c r="L168" s="8"/>
      <c r="M168" s="8"/>
      <c r="N168" s="34"/>
      <c r="O168" s="34"/>
      <c r="P168" s="8"/>
      <c r="Q168" s="8"/>
      <c r="R168" s="8"/>
      <c r="S168" s="8"/>
      <c r="T168" s="8"/>
      <c r="U168" s="8"/>
      <c r="V168" s="8"/>
      <c r="W168" s="8"/>
      <c r="X168" s="8"/>
      <c r="Y168" s="34"/>
      <c r="Z168" s="8"/>
      <c r="AA168" s="8"/>
      <c r="AC168" s="8"/>
      <c r="AE168" s="8"/>
      <c r="AF168" s="8"/>
      <c r="AG168" s="8"/>
      <c r="AH168" s="8"/>
      <c r="AJ168" s="8"/>
      <c r="AK168" s="8"/>
      <c r="AL168" s="12"/>
    </row>
    <row r="169" spans="2:38">
      <c r="B169" s="8"/>
      <c r="C169" s="8"/>
      <c r="E169" s="8"/>
      <c r="F169" s="8"/>
      <c r="G169" s="8"/>
      <c r="H169" s="8"/>
      <c r="I169" s="8"/>
      <c r="J169" s="8"/>
      <c r="K169" s="34"/>
      <c r="L169" s="8"/>
      <c r="M169" s="8"/>
      <c r="N169" s="34"/>
      <c r="O169" s="34"/>
      <c r="P169" s="8"/>
      <c r="Q169" s="8"/>
      <c r="R169" s="8"/>
      <c r="S169" s="8"/>
      <c r="T169" s="8"/>
      <c r="U169" s="8"/>
      <c r="V169" s="8"/>
      <c r="W169" s="8"/>
      <c r="X169" s="8"/>
      <c r="Y169" s="34"/>
      <c r="Z169" s="8"/>
      <c r="AA169" s="8"/>
      <c r="AC169" s="8"/>
      <c r="AE169" s="8"/>
      <c r="AF169" s="8"/>
      <c r="AG169" s="8"/>
      <c r="AH169" s="8"/>
      <c r="AJ169" s="8"/>
      <c r="AK169" s="8"/>
      <c r="AL169" s="12"/>
    </row>
    <row r="170" spans="2:38">
      <c r="B170" s="8"/>
      <c r="C170" s="8"/>
      <c r="E170" s="8"/>
      <c r="F170" s="8"/>
      <c r="G170" s="8"/>
      <c r="H170" s="8"/>
      <c r="I170" s="8"/>
      <c r="J170" s="8"/>
      <c r="K170" s="34"/>
      <c r="L170" s="8"/>
      <c r="M170" s="8"/>
      <c r="N170" s="34"/>
      <c r="O170" s="34"/>
      <c r="P170" s="8"/>
      <c r="Q170" s="8"/>
      <c r="R170" s="8"/>
      <c r="S170" s="8"/>
      <c r="T170" s="8"/>
      <c r="U170" s="8"/>
      <c r="V170" s="8"/>
      <c r="W170" s="8"/>
      <c r="X170" s="8"/>
      <c r="Y170" s="34"/>
      <c r="Z170" s="8"/>
      <c r="AA170" s="8"/>
      <c r="AC170" s="8"/>
      <c r="AE170" s="8"/>
      <c r="AF170" s="8"/>
      <c r="AG170" s="8"/>
      <c r="AH170" s="8"/>
      <c r="AJ170" s="8"/>
      <c r="AK170" s="8"/>
      <c r="AL170" s="12"/>
    </row>
    <row r="171" spans="2:38">
      <c r="B171" s="8"/>
      <c r="C171" s="8"/>
      <c r="E171" s="8"/>
      <c r="F171" s="8"/>
      <c r="G171" s="8"/>
      <c r="H171" s="8"/>
      <c r="I171" s="8"/>
      <c r="J171" s="8"/>
      <c r="K171" s="34"/>
      <c r="L171" s="8"/>
      <c r="M171" s="8"/>
      <c r="N171" s="34"/>
      <c r="O171" s="34"/>
      <c r="P171" s="8"/>
      <c r="Q171" s="8"/>
      <c r="R171" s="8"/>
      <c r="S171" s="8"/>
      <c r="T171" s="8"/>
      <c r="U171" s="8"/>
      <c r="V171" s="8"/>
      <c r="W171" s="8"/>
      <c r="X171" s="8"/>
      <c r="Y171" s="34"/>
      <c r="Z171" s="8"/>
      <c r="AA171" s="8"/>
      <c r="AC171" s="8"/>
      <c r="AE171" s="8"/>
      <c r="AF171" s="8"/>
      <c r="AG171" s="8"/>
      <c r="AH171" s="8"/>
      <c r="AJ171" s="8"/>
      <c r="AK171" s="8"/>
      <c r="AL171" s="12"/>
    </row>
    <row r="172" spans="2:38">
      <c r="B172" s="8"/>
      <c r="C172" s="8"/>
      <c r="E172" s="8"/>
      <c r="F172" s="8"/>
      <c r="G172" s="8"/>
      <c r="H172" s="8"/>
      <c r="I172" s="8"/>
      <c r="J172" s="8"/>
      <c r="K172" s="34"/>
      <c r="L172" s="8"/>
      <c r="M172" s="8"/>
      <c r="N172" s="34"/>
      <c r="O172" s="34"/>
      <c r="P172" s="8"/>
      <c r="Q172" s="8"/>
      <c r="R172" s="8"/>
      <c r="S172" s="8"/>
      <c r="T172" s="8"/>
      <c r="U172" s="8"/>
      <c r="V172" s="8"/>
      <c r="W172" s="8"/>
      <c r="X172" s="8"/>
      <c r="Y172" s="34"/>
      <c r="Z172" s="8"/>
      <c r="AA172" s="8"/>
      <c r="AC172" s="8"/>
      <c r="AE172" s="8"/>
      <c r="AF172" s="8"/>
      <c r="AG172" s="8"/>
      <c r="AH172" s="8"/>
      <c r="AJ172" s="8"/>
      <c r="AK172" s="8"/>
      <c r="AL172" s="12"/>
    </row>
    <row r="173" spans="2:38">
      <c r="B173" s="8"/>
      <c r="C173" s="8"/>
      <c r="E173" s="8"/>
      <c r="F173" s="8"/>
      <c r="G173" s="8"/>
      <c r="H173" s="8"/>
      <c r="I173" s="8"/>
      <c r="J173" s="8"/>
      <c r="K173" s="34"/>
      <c r="L173" s="8"/>
      <c r="M173" s="8"/>
      <c r="N173" s="34"/>
      <c r="O173" s="34"/>
      <c r="P173" s="8"/>
      <c r="Q173" s="8"/>
      <c r="R173" s="8"/>
      <c r="S173" s="8"/>
      <c r="T173" s="8"/>
      <c r="U173" s="8"/>
      <c r="V173" s="8"/>
      <c r="W173" s="8"/>
      <c r="X173" s="8"/>
      <c r="Y173" s="34"/>
      <c r="Z173" s="8"/>
      <c r="AA173" s="8"/>
      <c r="AC173" s="8"/>
      <c r="AE173" s="8"/>
      <c r="AF173" s="8"/>
      <c r="AG173" s="8"/>
      <c r="AH173" s="8"/>
      <c r="AJ173" s="8"/>
      <c r="AK173" s="8"/>
      <c r="AL173" s="12"/>
    </row>
    <row r="174" spans="2:38">
      <c r="B174" s="8"/>
      <c r="C174" s="8"/>
      <c r="E174" s="8"/>
      <c r="F174" s="8"/>
      <c r="G174" s="8"/>
      <c r="H174" s="8"/>
      <c r="I174" s="8"/>
      <c r="J174" s="8"/>
      <c r="K174" s="34"/>
      <c r="L174" s="8"/>
      <c r="M174" s="8"/>
      <c r="N174" s="34"/>
      <c r="O174" s="34"/>
      <c r="P174" s="8"/>
      <c r="Q174" s="8"/>
      <c r="R174" s="8"/>
      <c r="S174" s="8"/>
      <c r="T174" s="8"/>
      <c r="U174" s="8"/>
      <c r="V174" s="8"/>
      <c r="W174" s="8"/>
      <c r="X174" s="8"/>
      <c r="Y174" s="34"/>
      <c r="Z174" s="8"/>
      <c r="AA174" s="8"/>
      <c r="AC174" s="8"/>
      <c r="AE174" s="8"/>
      <c r="AF174" s="8"/>
      <c r="AG174" s="8"/>
      <c r="AH174" s="8"/>
      <c r="AJ174" s="8"/>
      <c r="AK174" s="8"/>
      <c r="AL174" s="12"/>
    </row>
    <row r="175" spans="2:38">
      <c r="B175" s="8"/>
      <c r="C175" s="8"/>
      <c r="E175" s="8"/>
      <c r="F175" s="8"/>
      <c r="G175" s="8"/>
      <c r="H175" s="8"/>
      <c r="I175" s="8"/>
      <c r="J175" s="8"/>
      <c r="K175" s="34"/>
      <c r="L175" s="8"/>
      <c r="M175" s="8"/>
      <c r="N175" s="34"/>
      <c r="O175" s="34"/>
      <c r="P175" s="8"/>
      <c r="Q175" s="8"/>
      <c r="R175" s="8"/>
      <c r="S175" s="8"/>
      <c r="T175" s="8"/>
      <c r="U175" s="8"/>
      <c r="V175" s="8"/>
      <c r="W175" s="8"/>
      <c r="X175" s="8"/>
      <c r="Y175" s="34"/>
      <c r="Z175" s="8"/>
      <c r="AA175" s="8"/>
      <c r="AC175" s="8"/>
      <c r="AE175" s="8"/>
      <c r="AF175" s="8"/>
      <c r="AG175" s="8"/>
      <c r="AH175" s="8"/>
      <c r="AJ175" s="8"/>
      <c r="AK175" s="8"/>
      <c r="AL175" s="12"/>
    </row>
    <row r="176" spans="2:38">
      <c r="B176" s="8"/>
      <c r="C176" s="8"/>
      <c r="E176" s="8"/>
      <c r="F176" s="8"/>
      <c r="G176" s="8"/>
      <c r="H176" s="8"/>
      <c r="I176" s="8"/>
      <c r="J176" s="8"/>
      <c r="K176" s="34"/>
      <c r="L176" s="8"/>
      <c r="M176" s="8"/>
      <c r="N176" s="34"/>
      <c r="O176" s="34"/>
      <c r="P176" s="8"/>
      <c r="Q176" s="8"/>
      <c r="R176" s="8"/>
      <c r="S176" s="8"/>
      <c r="T176" s="8"/>
      <c r="U176" s="8"/>
      <c r="V176" s="8"/>
      <c r="W176" s="8"/>
      <c r="X176" s="8"/>
      <c r="Y176" s="34"/>
      <c r="Z176" s="8"/>
      <c r="AA176" s="8"/>
      <c r="AC176" s="8"/>
      <c r="AE176" s="8"/>
      <c r="AF176" s="8"/>
      <c r="AG176" s="8"/>
      <c r="AH176" s="8"/>
      <c r="AJ176" s="8"/>
      <c r="AK176" s="8"/>
      <c r="AL176" s="12"/>
    </row>
    <row r="177" spans="2:38">
      <c r="B177" s="8"/>
      <c r="C177" s="8"/>
      <c r="E177" s="8"/>
      <c r="F177" s="8"/>
      <c r="G177" s="8"/>
      <c r="H177" s="8"/>
      <c r="I177" s="8"/>
      <c r="J177" s="8"/>
      <c r="K177" s="34"/>
      <c r="L177" s="8"/>
      <c r="M177" s="8"/>
      <c r="N177" s="34"/>
      <c r="O177" s="34"/>
      <c r="P177" s="8"/>
      <c r="Q177" s="8"/>
      <c r="R177" s="8"/>
      <c r="S177" s="8"/>
      <c r="T177" s="8"/>
      <c r="U177" s="8"/>
      <c r="V177" s="8"/>
      <c r="W177" s="8"/>
      <c r="X177" s="8"/>
      <c r="Y177" s="34"/>
      <c r="Z177" s="8"/>
      <c r="AA177" s="8"/>
      <c r="AC177" s="8"/>
      <c r="AE177" s="8"/>
      <c r="AF177" s="8"/>
      <c r="AG177" s="8"/>
      <c r="AH177" s="8"/>
      <c r="AJ177" s="8"/>
      <c r="AK177" s="8"/>
      <c r="AL177" s="12"/>
    </row>
    <row r="178" spans="2:38">
      <c r="B178" s="8"/>
      <c r="C178" s="8"/>
      <c r="E178" s="8"/>
      <c r="F178" s="8"/>
      <c r="G178" s="8"/>
      <c r="H178" s="8"/>
      <c r="I178" s="8"/>
      <c r="J178" s="8"/>
      <c r="K178" s="34"/>
      <c r="L178" s="8"/>
      <c r="M178" s="8"/>
      <c r="N178" s="34"/>
      <c r="O178" s="34"/>
      <c r="P178" s="8"/>
      <c r="Q178" s="8"/>
      <c r="R178" s="8"/>
      <c r="S178" s="8"/>
      <c r="T178" s="8"/>
      <c r="U178" s="8"/>
      <c r="V178" s="8"/>
      <c r="W178" s="8"/>
      <c r="X178" s="8"/>
      <c r="Y178" s="34"/>
      <c r="Z178" s="8"/>
      <c r="AA178" s="8"/>
      <c r="AC178" s="8"/>
      <c r="AE178" s="8"/>
      <c r="AF178" s="8"/>
      <c r="AG178" s="8"/>
      <c r="AH178" s="8"/>
      <c r="AJ178" s="8"/>
      <c r="AK178" s="8"/>
      <c r="AL178" s="12"/>
    </row>
    <row r="179" spans="2:38">
      <c r="B179" s="8"/>
      <c r="C179" s="8"/>
      <c r="E179" s="8"/>
      <c r="F179" s="8"/>
      <c r="G179" s="8"/>
      <c r="H179" s="8"/>
      <c r="I179" s="8"/>
      <c r="J179" s="8"/>
      <c r="K179" s="34"/>
      <c r="L179" s="8"/>
      <c r="M179" s="8"/>
      <c r="N179" s="34"/>
      <c r="O179" s="34"/>
      <c r="P179" s="8"/>
      <c r="Q179" s="8"/>
      <c r="R179" s="8"/>
      <c r="S179" s="8"/>
      <c r="T179" s="8"/>
      <c r="U179" s="8"/>
      <c r="V179" s="8"/>
      <c r="W179" s="8"/>
      <c r="X179" s="8"/>
      <c r="Y179" s="34"/>
      <c r="Z179" s="8"/>
      <c r="AA179" s="8"/>
      <c r="AC179" s="8"/>
      <c r="AE179" s="8"/>
      <c r="AF179" s="8"/>
      <c r="AG179" s="8"/>
      <c r="AH179" s="8"/>
      <c r="AJ179" s="8"/>
      <c r="AK179" s="8"/>
      <c r="AL179" s="12"/>
    </row>
    <row r="180" spans="2:38">
      <c r="B180" s="8"/>
      <c r="C180" s="8"/>
      <c r="E180" s="8"/>
      <c r="F180" s="8"/>
      <c r="G180" s="8"/>
      <c r="H180" s="8"/>
      <c r="I180" s="8"/>
      <c r="J180" s="8"/>
      <c r="K180" s="34"/>
      <c r="L180" s="8"/>
      <c r="M180" s="8"/>
      <c r="N180" s="34"/>
      <c r="O180" s="34"/>
      <c r="P180" s="8"/>
      <c r="Q180" s="8"/>
      <c r="R180" s="8"/>
      <c r="S180" s="8"/>
      <c r="T180" s="8"/>
      <c r="U180" s="8"/>
      <c r="V180" s="8"/>
      <c r="W180" s="8"/>
      <c r="X180" s="8"/>
      <c r="Y180" s="34"/>
      <c r="Z180" s="8"/>
      <c r="AA180" s="8"/>
      <c r="AC180" s="8"/>
      <c r="AE180" s="8"/>
      <c r="AF180" s="8"/>
      <c r="AG180" s="8"/>
      <c r="AH180" s="8"/>
      <c r="AJ180" s="8"/>
      <c r="AK180" s="8"/>
      <c r="AL180" s="12"/>
    </row>
    <row r="181" spans="2:38">
      <c r="B181" s="8"/>
      <c r="C181" s="8"/>
      <c r="E181" s="8"/>
      <c r="F181" s="8"/>
      <c r="G181" s="8"/>
      <c r="H181" s="8"/>
      <c r="I181" s="8"/>
      <c r="J181" s="8"/>
      <c r="K181" s="34"/>
      <c r="L181" s="8"/>
      <c r="M181" s="8"/>
      <c r="N181" s="34"/>
      <c r="O181" s="34"/>
      <c r="P181" s="8"/>
      <c r="Q181" s="8"/>
      <c r="R181" s="8"/>
      <c r="S181" s="8"/>
      <c r="T181" s="8"/>
      <c r="U181" s="8"/>
      <c r="V181" s="8"/>
      <c r="W181" s="8"/>
      <c r="X181" s="8"/>
      <c r="Y181" s="34"/>
      <c r="Z181" s="8"/>
      <c r="AA181" s="8"/>
      <c r="AC181" s="8"/>
      <c r="AE181" s="8"/>
      <c r="AF181" s="8"/>
      <c r="AG181" s="8"/>
      <c r="AH181" s="8"/>
      <c r="AJ181" s="8"/>
      <c r="AK181" s="8"/>
      <c r="AL181" s="12"/>
    </row>
    <row r="182" spans="2:38">
      <c r="B182" s="8"/>
      <c r="C182" s="8"/>
      <c r="E182" s="8"/>
      <c r="F182" s="8"/>
      <c r="G182" s="8"/>
      <c r="H182" s="8"/>
      <c r="I182" s="8"/>
      <c r="J182" s="8"/>
      <c r="K182" s="34"/>
      <c r="L182" s="8"/>
      <c r="M182" s="8"/>
      <c r="N182" s="34"/>
      <c r="O182" s="34"/>
      <c r="P182" s="8"/>
      <c r="Q182" s="8"/>
      <c r="R182" s="8"/>
      <c r="S182" s="8"/>
      <c r="T182" s="8"/>
      <c r="U182" s="8"/>
      <c r="V182" s="8"/>
      <c r="W182" s="8"/>
      <c r="X182" s="8"/>
      <c r="Y182" s="34"/>
      <c r="Z182" s="8"/>
      <c r="AA182" s="8"/>
      <c r="AC182" s="8"/>
      <c r="AE182" s="8"/>
      <c r="AF182" s="8"/>
      <c r="AG182" s="8"/>
      <c r="AH182" s="8"/>
      <c r="AJ182" s="8"/>
      <c r="AK182" s="8"/>
      <c r="AL182" s="12"/>
    </row>
    <row r="183" spans="2:38">
      <c r="B183" s="8"/>
      <c r="C183" s="8"/>
      <c r="E183" s="8"/>
      <c r="F183" s="8"/>
      <c r="G183" s="8"/>
      <c r="H183" s="8"/>
      <c r="I183" s="8"/>
      <c r="J183" s="8"/>
      <c r="K183" s="34"/>
      <c r="L183" s="8"/>
      <c r="M183" s="8"/>
      <c r="N183" s="34"/>
      <c r="O183" s="34"/>
      <c r="P183" s="8"/>
      <c r="Q183" s="8"/>
      <c r="R183" s="8"/>
      <c r="S183" s="8"/>
      <c r="T183" s="8"/>
      <c r="U183" s="8"/>
      <c r="V183" s="8"/>
      <c r="W183" s="8"/>
      <c r="X183" s="8"/>
      <c r="Y183" s="34"/>
      <c r="Z183" s="8"/>
      <c r="AA183" s="8"/>
      <c r="AC183" s="8"/>
      <c r="AE183" s="8"/>
      <c r="AF183" s="8"/>
      <c r="AG183" s="8"/>
      <c r="AH183" s="8"/>
      <c r="AJ183" s="8"/>
      <c r="AK183" s="8"/>
      <c r="AL183" s="12"/>
    </row>
    <row r="184" spans="2:38">
      <c r="B184" s="8"/>
      <c r="C184" s="8"/>
      <c r="E184" s="8"/>
      <c r="F184" s="8"/>
      <c r="G184" s="8"/>
      <c r="H184" s="8"/>
      <c r="I184" s="8"/>
      <c r="J184" s="8"/>
      <c r="K184" s="34"/>
      <c r="L184" s="8"/>
      <c r="M184" s="8"/>
      <c r="N184" s="34"/>
      <c r="O184" s="34"/>
      <c r="P184" s="8"/>
      <c r="Q184" s="8"/>
      <c r="R184" s="8"/>
      <c r="S184" s="8"/>
      <c r="T184" s="8"/>
      <c r="U184" s="8"/>
      <c r="V184" s="8"/>
      <c r="W184" s="8"/>
      <c r="X184" s="8"/>
      <c r="Y184" s="34"/>
      <c r="Z184" s="8"/>
      <c r="AA184" s="8"/>
      <c r="AC184" s="8"/>
      <c r="AE184" s="8"/>
      <c r="AF184" s="8"/>
      <c r="AG184" s="8"/>
      <c r="AH184" s="8"/>
      <c r="AJ184" s="8"/>
      <c r="AK184" s="8"/>
      <c r="AL184" s="12"/>
    </row>
    <row r="185" spans="2:38">
      <c r="B185" s="8"/>
      <c r="C185" s="8"/>
      <c r="E185" s="8"/>
      <c r="F185" s="8"/>
      <c r="G185" s="8"/>
      <c r="H185" s="8"/>
      <c r="I185" s="8"/>
      <c r="J185" s="8"/>
      <c r="K185" s="34"/>
      <c r="L185" s="8"/>
      <c r="M185" s="8"/>
      <c r="N185" s="34"/>
      <c r="O185" s="34"/>
      <c r="P185" s="8"/>
      <c r="Q185" s="8"/>
      <c r="R185" s="8"/>
      <c r="S185" s="8"/>
      <c r="T185" s="8"/>
      <c r="U185" s="8"/>
      <c r="V185" s="8"/>
      <c r="W185" s="8"/>
      <c r="X185" s="8"/>
      <c r="Y185" s="34"/>
      <c r="Z185" s="8"/>
      <c r="AA185" s="8"/>
      <c r="AC185" s="8"/>
      <c r="AE185" s="8"/>
      <c r="AF185" s="8"/>
      <c r="AG185" s="8"/>
      <c r="AH185" s="8"/>
      <c r="AJ185" s="8"/>
      <c r="AK185" s="8"/>
      <c r="AL185" s="12"/>
    </row>
    <row r="186" spans="2:38">
      <c r="B186" s="8"/>
      <c r="C186" s="8"/>
      <c r="E186" s="8"/>
      <c r="F186" s="8"/>
      <c r="G186" s="8"/>
      <c r="H186" s="8"/>
      <c r="I186" s="8"/>
      <c r="J186" s="8"/>
      <c r="K186" s="34"/>
      <c r="L186" s="8"/>
      <c r="M186" s="8"/>
      <c r="N186" s="34"/>
      <c r="O186" s="34"/>
      <c r="P186" s="8"/>
      <c r="Q186" s="8"/>
      <c r="R186" s="8"/>
      <c r="S186" s="8"/>
      <c r="T186" s="8"/>
      <c r="U186" s="8"/>
      <c r="V186" s="8"/>
      <c r="W186" s="8"/>
      <c r="X186" s="8"/>
      <c r="Y186" s="34"/>
      <c r="Z186" s="8"/>
      <c r="AA186" s="8"/>
      <c r="AC186" s="8"/>
      <c r="AE186" s="8"/>
      <c r="AF186" s="8"/>
      <c r="AG186" s="8"/>
      <c r="AH186" s="8"/>
      <c r="AJ186" s="8"/>
      <c r="AK186" s="8"/>
      <c r="AL186" s="12"/>
    </row>
    <row r="187" spans="2:38">
      <c r="B187" s="8"/>
      <c r="C187" s="8"/>
      <c r="E187" s="8"/>
      <c r="F187" s="8"/>
      <c r="G187" s="8"/>
      <c r="H187" s="8"/>
      <c r="I187" s="8"/>
      <c r="J187" s="8"/>
      <c r="K187" s="34"/>
      <c r="L187" s="8"/>
      <c r="M187" s="8"/>
      <c r="N187" s="34"/>
      <c r="O187" s="34"/>
      <c r="P187" s="8"/>
      <c r="Q187" s="8"/>
      <c r="R187" s="8"/>
      <c r="S187" s="8"/>
      <c r="T187" s="8"/>
      <c r="U187" s="8"/>
      <c r="V187" s="8"/>
      <c r="W187" s="8"/>
      <c r="X187" s="8"/>
      <c r="Y187" s="34"/>
      <c r="Z187" s="8"/>
      <c r="AA187" s="8"/>
      <c r="AC187" s="8"/>
      <c r="AE187" s="8"/>
      <c r="AF187" s="8"/>
      <c r="AG187" s="8"/>
      <c r="AH187" s="8"/>
      <c r="AJ187" s="8"/>
      <c r="AK187" s="8"/>
      <c r="AL187" s="12"/>
    </row>
    <row r="188" spans="2:38">
      <c r="B188" s="8"/>
      <c r="C188" s="8"/>
      <c r="E188" s="8"/>
      <c r="F188" s="8"/>
      <c r="G188" s="8"/>
      <c r="H188" s="8"/>
      <c r="I188" s="8"/>
      <c r="J188" s="8"/>
      <c r="K188" s="34"/>
      <c r="L188" s="8"/>
      <c r="M188" s="8"/>
      <c r="N188" s="34"/>
      <c r="O188" s="34"/>
      <c r="P188" s="8"/>
      <c r="Q188" s="8"/>
      <c r="R188" s="8"/>
      <c r="S188" s="8"/>
      <c r="T188" s="8"/>
      <c r="U188" s="8"/>
      <c r="V188" s="8"/>
      <c r="W188" s="8"/>
      <c r="X188" s="8"/>
      <c r="Y188" s="34"/>
      <c r="Z188" s="8"/>
      <c r="AA188" s="8"/>
      <c r="AC188" s="8"/>
      <c r="AE188" s="8"/>
      <c r="AF188" s="8"/>
      <c r="AG188" s="8"/>
      <c r="AH188" s="8"/>
      <c r="AJ188" s="8"/>
      <c r="AK188" s="8"/>
      <c r="AL188" s="12"/>
    </row>
    <row r="189" spans="2:38">
      <c r="B189" s="8"/>
      <c r="C189" s="8"/>
      <c r="E189" s="8"/>
      <c r="F189" s="8"/>
      <c r="G189" s="8"/>
      <c r="H189" s="8"/>
      <c r="I189" s="8"/>
      <c r="J189" s="8"/>
      <c r="K189" s="34"/>
      <c r="L189" s="8"/>
      <c r="M189" s="8"/>
      <c r="N189" s="34"/>
      <c r="O189" s="34"/>
      <c r="P189" s="8"/>
      <c r="Q189" s="8"/>
      <c r="R189" s="8"/>
      <c r="S189" s="8"/>
      <c r="T189" s="8"/>
      <c r="U189" s="8"/>
      <c r="V189" s="8"/>
      <c r="W189" s="8"/>
      <c r="X189" s="8"/>
      <c r="Y189" s="34"/>
      <c r="Z189" s="8"/>
      <c r="AA189" s="8"/>
      <c r="AC189" s="8"/>
      <c r="AE189" s="8"/>
      <c r="AF189" s="8"/>
      <c r="AG189" s="8"/>
      <c r="AH189" s="8"/>
      <c r="AJ189" s="8"/>
      <c r="AK189" s="8"/>
      <c r="AL189" s="12"/>
    </row>
    <row r="190" spans="2:38">
      <c r="B190" s="8"/>
      <c r="C190" s="8"/>
      <c r="E190" s="8"/>
      <c r="F190" s="8"/>
      <c r="G190" s="8"/>
      <c r="H190" s="8"/>
      <c r="I190" s="8"/>
      <c r="J190" s="8"/>
      <c r="K190" s="34"/>
      <c r="L190" s="8"/>
      <c r="M190" s="8"/>
      <c r="N190" s="34"/>
      <c r="O190" s="34"/>
      <c r="P190" s="8"/>
      <c r="Q190" s="8"/>
      <c r="R190" s="8"/>
      <c r="S190" s="8"/>
      <c r="T190" s="8"/>
      <c r="U190" s="8"/>
      <c r="V190" s="8"/>
      <c r="W190" s="8"/>
      <c r="X190" s="8"/>
      <c r="Y190" s="34"/>
      <c r="Z190" s="8"/>
      <c r="AA190" s="8"/>
      <c r="AC190" s="8"/>
      <c r="AE190" s="8"/>
      <c r="AF190" s="8"/>
      <c r="AG190" s="8"/>
      <c r="AH190" s="8"/>
      <c r="AJ190" s="8"/>
      <c r="AK190" s="8"/>
      <c r="AL190" s="12"/>
    </row>
    <row r="191" spans="2:38">
      <c r="B191" s="8"/>
      <c r="C191" s="8"/>
      <c r="E191" s="8"/>
      <c r="F191" s="8"/>
      <c r="G191" s="8"/>
      <c r="H191" s="8"/>
      <c r="I191" s="8"/>
      <c r="J191" s="8"/>
      <c r="K191" s="34"/>
      <c r="L191" s="8"/>
      <c r="M191" s="8"/>
      <c r="N191" s="34"/>
      <c r="O191" s="34"/>
      <c r="P191" s="8"/>
      <c r="Q191" s="8"/>
      <c r="R191" s="8"/>
      <c r="S191" s="8"/>
      <c r="T191" s="8"/>
      <c r="U191" s="8"/>
      <c r="V191" s="8"/>
      <c r="W191" s="8"/>
      <c r="X191" s="8"/>
      <c r="Y191" s="34"/>
      <c r="Z191" s="8"/>
      <c r="AA191" s="8"/>
      <c r="AC191" s="8"/>
      <c r="AE191" s="8"/>
      <c r="AF191" s="8"/>
      <c r="AG191" s="8"/>
      <c r="AH191" s="8"/>
      <c r="AJ191" s="8"/>
      <c r="AK191" s="8"/>
      <c r="AL191" s="12"/>
    </row>
    <row r="192" spans="2:38">
      <c r="B192" s="8"/>
      <c r="C192" s="8"/>
      <c r="E192" s="8"/>
      <c r="F192" s="8"/>
      <c r="G192" s="8"/>
      <c r="H192" s="8"/>
      <c r="I192" s="8"/>
      <c r="J192" s="8"/>
      <c r="K192" s="34"/>
      <c r="L192" s="8"/>
      <c r="M192" s="8"/>
      <c r="N192" s="34"/>
      <c r="O192" s="34"/>
      <c r="P192" s="8"/>
      <c r="Q192" s="8"/>
      <c r="R192" s="8"/>
      <c r="S192" s="8"/>
      <c r="T192" s="8"/>
      <c r="U192" s="8"/>
      <c r="V192" s="8"/>
      <c r="W192" s="8"/>
      <c r="X192" s="8"/>
      <c r="Y192" s="34"/>
      <c r="Z192" s="8"/>
      <c r="AA192" s="8"/>
      <c r="AC192" s="8"/>
      <c r="AE192" s="8"/>
      <c r="AF192" s="8"/>
      <c r="AG192" s="8"/>
      <c r="AH192" s="8"/>
      <c r="AJ192" s="8"/>
      <c r="AK192" s="8"/>
      <c r="AL192" s="12"/>
    </row>
    <row r="193" spans="2:38">
      <c r="B193" s="8"/>
      <c r="C193" s="8"/>
      <c r="E193" s="8"/>
      <c r="F193" s="8"/>
      <c r="G193" s="8"/>
      <c r="H193" s="8"/>
      <c r="I193" s="8"/>
      <c r="J193" s="8"/>
      <c r="K193" s="34"/>
      <c r="L193" s="8"/>
      <c r="M193" s="8"/>
      <c r="N193" s="34"/>
      <c r="O193" s="34"/>
      <c r="P193" s="8"/>
      <c r="Q193" s="8"/>
      <c r="R193" s="8"/>
      <c r="S193" s="8"/>
      <c r="T193" s="8"/>
      <c r="U193" s="8"/>
      <c r="V193" s="8"/>
      <c r="W193" s="8"/>
      <c r="X193" s="8"/>
      <c r="Y193" s="34"/>
      <c r="Z193" s="8"/>
      <c r="AA193" s="8"/>
      <c r="AC193" s="8"/>
      <c r="AE193" s="8"/>
      <c r="AF193" s="8"/>
      <c r="AG193" s="8"/>
      <c r="AH193" s="8"/>
      <c r="AJ193" s="8"/>
      <c r="AK193" s="8"/>
      <c r="AL193" s="12"/>
    </row>
    <row r="194" spans="2:38">
      <c r="B194" s="8"/>
      <c r="C194" s="8"/>
      <c r="E194" s="8"/>
      <c r="F194" s="8"/>
      <c r="G194" s="8"/>
      <c r="H194" s="8"/>
      <c r="I194" s="8"/>
      <c r="J194" s="8"/>
      <c r="K194" s="34"/>
      <c r="L194" s="8"/>
      <c r="M194" s="8"/>
      <c r="N194" s="34"/>
      <c r="O194" s="34"/>
      <c r="P194" s="8"/>
      <c r="Q194" s="8"/>
      <c r="R194" s="8"/>
      <c r="S194" s="8"/>
      <c r="T194" s="8"/>
      <c r="U194" s="8"/>
      <c r="V194" s="8"/>
      <c r="W194" s="8"/>
      <c r="X194" s="8"/>
      <c r="Y194" s="34"/>
      <c r="Z194" s="8"/>
      <c r="AA194" s="8"/>
      <c r="AC194" s="8"/>
      <c r="AE194" s="8"/>
      <c r="AF194" s="8"/>
      <c r="AG194" s="8"/>
      <c r="AH194" s="8"/>
      <c r="AJ194" s="8"/>
      <c r="AK194" s="8"/>
      <c r="AL194" s="12"/>
    </row>
    <row r="195" spans="2:38">
      <c r="B195" s="8"/>
      <c r="C195" s="8"/>
      <c r="E195" s="8"/>
      <c r="F195" s="8"/>
      <c r="G195" s="8"/>
      <c r="H195" s="8"/>
      <c r="I195" s="8"/>
      <c r="J195" s="8"/>
      <c r="K195" s="34"/>
      <c r="L195" s="8"/>
      <c r="M195" s="8"/>
      <c r="N195" s="34"/>
      <c r="O195" s="34"/>
      <c r="P195" s="8"/>
      <c r="Q195" s="8"/>
      <c r="R195" s="8"/>
      <c r="S195" s="8"/>
      <c r="T195" s="8"/>
      <c r="U195" s="8"/>
      <c r="V195" s="8"/>
      <c r="W195" s="8"/>
      <c r="X195" s="8"/>
      <c r="Y195" s="34"/>
      <c r="Z195" s="8"/>
      <c r="AA195" s="8"/>
      <c r="AC195" s="8"/>
      <c r="AE195" s="8"/>
      <c r="AF195" s="8"/>
      <c r="AG195" s="8"/>
      <c r="AH195" s="8"/>
      <c r="AJ195" s="8"/>
      <c r="AK195" s="8"/>
      <c r="AL195" s="12"/>
    </row>
    <row r="196" spans="2:38">
      <c r="B196" s="8"/>
      <c r="C196" s="8"/>
      <c r="E196" s="8"/>
      <c r="F196" s="8"/>
      <c r="G196" s="8"/>
      <c r="H196" s="8"/>
      <c r="I196" s="8"/>
      <c r="J196" s="8"/>
      <c r="K196" s="34"/>
      <c r="L196" s="8"/>
      <c r="M196" s="8"/>
      <c r="N196" s="34"/>
      <c r="O196" s="34"/>
      <c r="P196" s="8"/>
      <c r="Q196" s="8"/>
      <c r="R196" s="8"/>
      <c r="S196" s="8"/>
      <c r="T196" s="8"/>
      <c r="U196" s="8"/>
      <c r="V196" s="8"/>
      <c r="W196" s="8"/>
      <c r="X196" s="8"/>
      <c r="Y196" s="34"/>
      <c r="Z196" s="8"/>
      <c r="AA196" s="8"/>
      <c r="AC196" s="8"/>
      <c r="AE196" s="8"/>
      <c r="AF196" s="8"/>
      <c r="AG196" s="8"/>
      <c r="AH196" s="8"/>
      <c r="AJ196" s="8"/>
      <c r="AK196" s="8"/>
      <c r="AL196" s="12"/>
    </row>
    <row r="197" spans="2:38">
      <c r="B197" s="8"/>
      <c r="C197" s="8"/>
      <c r="E197" s="8"/>
      <c r="F197" s="8"/>
      <c r="G197" s="8"/>
      <c r="H197" s="8"/>
      <c r="I197" s="8"/>
      <c r="J197" s="8"/>
      <c r="K197" s="34"/>
      <c r="L197" s="8"/>
      <c r="M197" s="8"/>
      <c r="N197" s="34"/>
      <c r="O197" s="34"/>
      <c r="P197" s="8"/>
      <c r="Q197" s="8"/>
      <c r="R197" s="8"/>
      <c r="S197" s="8"/>
      <c r="T197" s="8"/>
      <c r="U197" s="8"/>
      <c r="V197" s="8"/>
      <c r="W197" s="8"/>
      <c r="X197" s="8"/>
      <c r="Y197" s="34"/>
      <c r="Z197" s="8"/>
      <c r="AA197" s="8"/>
      <c r="AC197" s="8"/>
      <c r="AE197" s="8"/>
      <c r="AF197" s="8"/>
      <c r="AG197" s="8"/>
      <c r="AH197" s="8"/>
      <c r="AJ197" s="8"/>
      <c r="AK197" s="8"/>
      <c r="AL197" s="12"/>
    </row>
    <row r="198" spans="2:38">
      <c r="B198" s="8"/>
      <c r="C198" s="8"/>
      <c r="E198" s="8"/>
      <c r="F198" s="8"/>
      <c r="G198" s="8"/>
      <c r="H198" s="8"/>
      <c r="I198" s="8"/>
      <c r="J198" s="8"/>
      <c r="K198" s="34"/>
      <c r="L198" s="8"/>
      <c r="M198" s="8"/>
      <c r="N198" s="34"/>
      <c r="O198" s="34"/>
      <c r="P198" s="8"/>
      <c r="Q198" s="8"/>
      <c r="R198" s="8"/>
      <c r="S198" s="8"/>
      <c r="T198" s="8"/>
      <c r="U198" s="8"/>
      <c r="V198" s="8"/>
      <c r="W198" s="8"/>
      <c r="X198" s="8"/>
      <c r="Y198" s="34"/>
      <c r="Z198" s="8"/>
      <c r="AA198" s="8"/>
      <c r="AC198" s="8"/>
      <c r="AE198" s="8"/>
      <c r="AF198" s="8"/>
      <c r="AG198" s="8"/>
      <c r="AH198" s="8"/>
      <c r="AJ198" s="8"/>
      <c r="AK198" s="8"/>
      <c r="AL198" s="12"/>
    </row>
    <row r="199" spans="2:38">
      <c r="B199" s="8"/>
      <c r="C199" s="8"/>
      <c r="E199" s="8"/>
      <c r="F199" s="8"/>
      <c r="G199" s="8"/>
      <c r="H199" s="8"/>
      <c r="I199" s="8"/>
      <c r="J199" s="8"/>
      <c r="K199" s="34"/>
      <c r="L199" s="8"/>
      <c r="M199" s="8"/>
      <c r="N199" s="34"/>
      <c r="O199" s="34"/>
      <c r="P199" s="8"/>
      <c r="Q199" s="8"/>
      <c r="R199" s="8"/>
      <c r="S199" s="8"/>
      <c r="T199" s="8"/>
      <c r="U199" s="8"/>
      <c r="V199" s="8"/>
      <c r="W199" s="8"/>
      <c r="X199" s="8"/>
      <c r="Y199" s="34"/>
      <c r="Z199" s="8"/>
      <c r="AA199" s="8"/>
      <c r="AC199" s="8"/>
      <c r="AE199" s="8"/>
      <c r="AF199" s="8"/>
      <c r="AG199" s="8"/>
      <c r="AH199" s="8"/>
      <c r="AJ199" s="8"/>
      <c r="AK199" s="8"/>
      <c r="AL199" s="12"/>
    </row>
    <row r="200" spans="2:38">
      <c r="B200" s="8"/>
      <c r="C200" s="8"/>
      <c r="E200" s="8"/>
      <c r="F200" s="8"/>
      <c r="G200" s="8"/>
      <c r="H200" s="8"/>
      <c r="I200" s="8"/>
      <c r="J200" s="8"/>
      <c r="K200" s="34"/>
      <c r="L200" s="8"/>
      <c r="M200" s="8"/>
      <c r="N200" s="34"/>
      <c r="O200" s="34"/>
      <c r="P200" s="8"/>
      <c r="Q200" s="8"/>
      <c r="R200" s="8"/>
      <c r="S200" s="8"/>
      <c r="T200" s="8"/>
      <c r="U200" s="8"/>
      <c r="V200" s="8"/>
      <c r="W200" s="8"/>
      <c r="X200" s="8"/>
      <c r="Y200" s="34"/>
      <c r="Z200" s="8"/>
      <c r="AA200" s="8"/>
      <c r="AC200" s="8"/>
      <c r="AE200" s="8"/>
      <c r="AF200" s="8"/>
      <c r="AG200" s="8"/>
      <c r="AH200" s="8"/>
      <c r="AJ200" s="8"/>
      <c r="AK200" s="8"/>
      <c r="AL200" s="12"/>
    </row>
    <row r="201" spans="2:38">
      <c r="B201" s="8"/>
      <c r="C201" s="8"/>
      <c r="E201" s="8"/>
      <c r="F201" s="8"/>
      <c r="G201" s="8"/>
      <c r="H201" s="8"/>
      <c r="I201" s="8"/>
      <c r="J201" s="8"/>
      <c r="K201" s="34"/>
      <c r="L201" s="8"/>
      <c r="M201" s="8"/>
      <c r="N201" s="34"/>
      <c r="O201" s="34"/>
      <c r="P201" s="8"/>
      <c r="Q201" s="8"/>
      <c r="R201" s="8"/>
      <c r="S201" s="8"/>
      <c r="T201" s="8"/>
      <c r="U201" s="8"/>
      <c r="V201" s="8"/>
      <c r="W201" s="8"/>
      <c r="X201" s="8"/>
      <c r="Y201" s="34"/>
      <c r="Z201" s="8"/>
      <c r="AA201" s="8"/>
      <c r="AC201" s="8"/>
      <c r="AE201" s="8"/>
      <c r="AF201" s="8"/>
      <c r="AG201" s="8"/>
      <c r="AH201" s="8"/>
      <c r="AJ201" s="8"/>
      <c r="AK201" s="8"/>
      <c r="AL201" s="12"/>
    </row>
    <row r="202" spans="2:38">
      <c r="B202" s="8"/>
      <c r="C202" s="8"/>
      <c r="E202" s="8"/>
      <c r="F202" s="8"/>
      <c r="G202" s="8"/>
      <c r="H202" s="8"/>
      <c r="I202" s="8"/>
      <c r="J202" s="8"/>
      <c r="K202" s="34"/>
      <c r="L202" s="8"/>
      <c r="M202" s="8"/>
      <c r="N202" s="34"/>
      <c r="O202" s="34"/>
      <c r="P202" s="8"/>
      <c r="Q202" s="8"/>
      <c r="R202" s="8"/>
      <c r="S202" s="8"/>
      <c r="T202" s="8"/>
      <c r="U202" s="8"/>
      <c r="V202" s="8"/>
      <c r="W202" s="8"/>
      <c r="X202" s="8"/>
      <c r="Y202" s="34"/>
      <c r="Z202" s="8"/>
      <c r="AA202" s="8"/>
      <c r="AC202" s="8"/>
      <c r="AE202" s="8"/>
      <c r="AF202" s="8"/>
      <c r="AG202" s="8"/>
      <c r="AH202" s="8"/>
      <c r="AJ202" s="8"/>
      <c r="AK202" s="8"/>
      <c r="AL202" s="12"/>
    </row>
    <row r="203" spans="2:38">
      <c r="B203" s="8"/>
      <c r="C203" s="8"/>
      <c r="E203" s="8"/>
      <c r="F203" s="8"/>
      <c r="G203" s="8"/>
      <c r="H203" s="8"/>
      <c r="I203" s="8"/>
      <c r="J203" s="8"/>
      <c r="K203" s="34"/>
      <c r="L203" s="8"/>
      <c r="M203" s="8"/>
      <c r="N203" s="34"/>
      <c r="O203" s="34"/>
      <c r="P203" s="8"/>
      <c r="Q203" s="8"/>
      <c r="R203" s="8"/>
      <c r="S203" s="8"/>
      <c r="T203" s="8"/>
      <c r="U203" s="8"/>
      <c r="V203" s="8"/>
      <c r="W203" s="8"/>
      <c r="X203" s="8"/>
      <c r="Y203" s="34"/>
      <c r="Z203" s="8"/>
      <c r="AA203" s="8"/>
      <c r="AC203" s="8"/>
      <c r="AE203" s="8"/>
      <c r="AF203" s="8"/>
      <c r="AG203" s="8"/>
      <c r="AH203" s="8"/>
      <c r="AJ203" s="8"/>
      <c r="AK203" s="8"/>
      <c r="AL203" s="12"/>
    </row>
    <row r="204" spans="2:38">
      <c r="B204" s="8"/>
      <c r="C204" s="8"/>
      <c r="E204" s="8"/>
      <c r="F204" s="8"/>
      <c r="G204" s="8"/>
      <c r="H204" s="8"/>
      <c r="I204" s="8"/>
      <c r="J204" s="8"/>
      <c r="K204" s="34"/>
      <c r="L204" s="8"/>
      <c r="M204" s="8"/>
      <c r="N204" s="34"/>
      <c r="O204" s="34"/>
      <c r="P204" s="8"/>
      <c r="Q204" s="8"/>
      <c r="R204" s="8"/>
      <c r="S204" s="8"/>
      <c r="T204" s="8"/>
      <c r="U204" s="8"/>
      <c r="V204" s="8"/>
      <c r="W204" s="8"/>
      <c r="X204" s="8"/>
      <c r="Y204" s="34"/>
      <c r="Z204" s="8"/>
      <c r="AA204" s="8"/>
      <c r="AC204" s="8"/>
      <c r="AE204" s="8"/>
      <c r="AF204" s="8"/>
      <c r="AG204" s="8"/>
      <c r="AH204" s="8"/>
      <c r="AJ204" s="8"/>
      <c r="AK204" s="8"/>
      <c r="AL204" s="12"/>
    </row>
    <row r="205" spans="2:38">
      <c r="B205" s="8"/>
      <c r="C205" s="8"/>
      <c r="E205" s="8"/>
      <c r="F205" s="8"/>
      <c r="G205" s="8"/>
      <c r="H205" s="8"/>
      <c r="I205" s="8"/>
      <c r="J205" s="8"/>
      <c r="K205" s="34"/>
      <c r="L205" s="8"/>
      <c r="M205" s="8"/>
      <c r="N205" s="34"/>
      <c r="O205" s="34"/>
      <c r="P205" s="8"/>
      <c r="Q205" s="8"/>
      <c r="R205" s="8"/>
      <c r="S205" s="8"/>
      <c r="T205" s="8"/>
      <c r="U205" s="8"/>
      <c r="V205" s="8"/>
      <c r="W205" s="8"/>
      <c r="X205" s="8"/>
      <c r="Y205" s="34"/>
      <c r="Z205" s="8"/>
      <c r="AA205" s="8"/>
      <c r="AC205" s="8"/>
      <c r="AE205" s="8"/>
      <c r="AF205" s="8"/>
      <c r="AG205" s="8"/>
      <c r="AH205" s="8"/>
      <c r="AJ205" s="8"/>
      <c r="AK205" s="8"/>
      <c r="AL205" s="12"/>
    </row>
    <row r="206" spans="2:38">
      <c r="B206" s="8"/>
      <c r="C206" s="8"/>
      <c r="E206" s="8"/>
      <c r="F206" s="8"/>
      <c r="G206" s="8"/>
      <c r="H206" s="8"/>
      <c r="I206" s="8"/>
      <c r="J206" s="8"/>
      <c r="K206" s="34"/>
      <c r="L206" s="8"/>
      <c r="M206" s="8"/>
      <c r="N206" s="34"/>
      <c r="O206" s="34"/>
      <c r="P206" s="8"/>
      <c r="Q206" s="8"/>
      <c r="R206" s="8"/>
      <c r="S206" s="8"/>
      <c r="T206" s="8"/>
      <c r="U206" s="8"/>
      <c r="V206" s="8"/>
      <c r="W206" s="8"/>
      <c r="X206" s="8"/>
      <c r="Y206" s="34"/>
      <c r="Z206" s="8"/>
      <c r="AA206" s="8"/>
      <c r="AC206" s="8"/>
      <c r="AE206" s="8"/>
      <c r="AF206" s="8"/>
      <c r="AG206" s="8"/>
      <c r="AH206" s="8"/>
      <c r="AJ206" s="8"/>
      <c r="AK206" s="8"/>
      <c r="AL206" s="12"/>
    </row>
    <row r="207" spans="2:38">
      <c r="B207" s="8"/>
      <c r="C207" s="8"/>
      <c r="E207" s="8"/>
      <c r="F207" s="8"/>
      <c r="G207" s="8"/>
      <c r="H207" s="8"/>
      <c r="I207" s="8"/>
      <c r="J207" s="8"/>
      <c r="K207" s="34"/>
      <c r="L207" s="8"/>
      <c r="M207" s="8"/>
      <c r="N207" s="34"/>
      <c r="O207" s="34"/>
      <c r="P207" s="8"/>
      <c r="Q207" s="8"/>
      <c r="R207" s="8"/>
      <c r="S207" s="8"/>
      <c r="T207" s="8"/>
      <c r="U207" s="8"/>
      <c r="V207" s="8"/>
      <c r="W207" s="8"/>
      <c r="X207" s="8"/>
      <c r="Y207" s="34"/>
      <c r="Z207" s="8"/>
      <c r="AA207" s="8"/>
      <c r="AC207" s="8"/>
      <c r="AE207" s="8"/>
      <c r="AF207" s="8"/>
      <c r="AG207" s="8"/>
      <c r="AH207" s="8"/>
      <c r="AJ207" s="8"/>
      <c r="AK207" s="8"/>
      <c r="AL207" s="12"/>
    </row>
    <row r="208" spans="2:38">
      <c r="B208" s="8"/>
      <c r="C208" s="8"/>
      <c r="E208" s="8"/>
      <c r="F208" s="8"/>
      <c r="G208" s="8"/>
      <c r="H208" s="8"/>
      <c r="I208" s="8"/>
      <c r="J208" s="8"/>
      <c r="K208" s="34"/>
      <c r="L208" s="8"/>
      <c r="M208" s="8"/>
      <c r="N208" s="34"/>
      <c r="O208" s="34"/>
      <c r="P208" s="8"/>
      <c r="Q208" s="8"/>
      <c r="R208" s="8"/>
      <c r="S208" s="8"/>
      <c r="T208" s="8"/>
      <c r="U208" s="8"/>
      <c r="V208" s="8"/>
      <c r="W208" s="8"/>
      <c r="X208" s="8"/>
      <c r="Y208" s="34"/>
      <c r="Z208" s="8"/>
      <c r="AA208" s="8"/>
      <c r="AC208" s="8"/>
      <c r="AE208" s="8"/>
      <c r="AF208" s="8"/>
      <c r="AG208" s="8"/>
      <c r="AH208" s="8"/>
      <c r="AJ208" s="8"/>
      <c r="AK208" s="8"/>
      <c r="AL208" s="12"/>
    </row>
  </sheetData>
  <autoFilter ref="CI8:CO45" xr:uid="{781C73EC-4BC4-8646-8A78-D7D4E91F7B47}">
    <sortState xmlns:xlrd2="http://schemas.microsoft.com/office/spreadsheetml/2017/richdata2" ref="CI9:CO50">
      <sortCondition ref="CI8:CI50"/>
    </sortState>
  </autoFilter>
  <sortState xmlns:xlrd2="http://schemas.microsoft.com/office/spreadsheetml/2017/richdata2" columnSort="1" ref="AN8:BE8">
    <sortCondition ref="AN8:BE8"/>
  </sortState>
  <dataValidations count="3">
    <dataValidation allowBlank="1" showInputMessage="1" showErrorMessage="1" promptTitle="Note: " prompt="The formula below gets a list of sheet names: _x000a__x000a_=SORT(TRANSPOSE(sheetnames))" sqref="CI8:CO8 CA8" xr:uid="{65635497-4989-1D49-8905-1148713D3951}"/>
    <dataValidation allowBlank="1" showInputMessage="1" showErrorMessage="1" promptTitle="Note:" prompt="If multiple components are on the same tab (e.g., PRM houses both `Policy` and `AllToPolicy` data), we need to refer to attributes by their fully-specified name (e.g., `AllToPolicy.scenario`) to avoid collisions." sqref="CF8" xr:uid="{935460C2-B261-E449-9CC3-A150CFA57C3C}"/>
    <dataValidation allowBlank="1" showInputMessage="1" showErrorMessage="1" promptTitle="Note:" prompt="&quot;Fully-specified&quot; means that the named ranges associated with the scenario tags &amp; data attributes all start with the class name (e.g., &quot;Resource.scenario&quot; instead of just &quot;scenario&quot;). To avoid collisions when multiple components are on the same sheet." sqref="CF9:CF50" xr:uid="{C699D01A-2DDE-B74E-9651-87D18C3AEBAF}"/>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E256B901B0B0C47ADC012F0CAB4D882" ma:contentTypeVersion="17" ma:contentTypeDescription="Create a new document." ma:contentTypeScope="" ma:versionID="162a53cb46d8a1829cbe836eb570d7fd">
  <xsd:schema xmlns:xsd="http://www.w3.org/2001/XMLSchema" xmlns:xs="http://www.w3.org/2001/XMLSchema" xmlns:p="http://schemas.microsoft.com/office/2006/metadata/properties" xmlns:ns1="http://schemas.microsoft.com/sharepoint/v3" xmlns:ns2="7dabca0a-06a0-4984-95d2-9cceb60bbbc2" xmlns:ns3="53c205a2-aa25-4342-9759-97ef9ce6bc1e" targetNamespace="http://schemas.microsoft.com/office/2006/metadata/properties" ma:root="true" ma:fieldsID="0503c68fd005f087bd456a3f0dc5a4b9" ns1:_="" ns2:_="" ns3:_="">
    <xsd:import namespace="http://schemas.microsoft.com/sharepoint/v3"/>
    <xsd:import namespace="7dabca0a-06a0-4984-95d2-9cceb60bbbc2"/>
    <xsd:import namespace="53c205a2-aa25-4342-9759-97ef9ce6bc1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dabca0a-06a0-4984-95d2-9cceb60bbb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5d88ab5-8cf0-45ea-9ae7-05172922330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3c205a2-aa25-4342-9759-97ef9ce6bc1e"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b4ef778b-16a2-48ba-af64-069f98cd89ed}" ma:internalName="TaxCatchAll" ma:showField="CatchAllData" ma:web="53c205a2-aa25-4342-9759-97ef9ce6bc1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TaxCatchAll xmlns="53c205a2-aa25-4342-9759-97ef9ce6bc1e" xsi:nil="true"/>
    <lcf76f155ced4ddcb4097134ff3c332f xmlns="7dabca0a-06a0-4984-95d2-9cceb60bbbc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0721155-47D6-477F-9A2B-C20E8BCCE367}">
  <ds:schemaRefs>
    <ds:schemaRef ds:uri="http://schemas.microsoft.com/sharepoint/v3/contenttype/forms"/>
  </ds:schemaRefs>
</ds:datastoreItem>
</file>

<file path=customXml/itemProps2.xml><?xml version="1.0" encoding="utf-8"?>
<ds:datastoreItem xmlns:ds="http://schemas.openxmlformats.org/officeDocument/2006/customXml" ds:itemID="{CED418B2-8EEE-4F96-90A2-A30539C9DF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dabca0a-06a0-4984-95d2-9cceb60bbbc2"/>
    <ds:schemaRef ds:uri="53c205a2-aa25-4342-9759-97ef9ce6bc1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1B2F40-BE42-4A7E-82C9-31BDAE1A21B2}">
  <ds:schemaRefs>
    <ds:schemaRef ds:uri="http://purl.org/dc/dcmitype/"/>
    <ds:schemaRef ds:uri="http://www.w3.org/XML/1998/namespace"/>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purl.org/dc/elements/1.1/"/>
    <ds:schemaRef ds:uri="53c205a2-aa25-4342-9759-97ef9ce6bc1e"/>
    <ds:schemaRef ds:uri="http://schemas.microsoft.com/office/infopath/2007/PartnerControls"/>
    <ds:schemaRef ds:uri="7dabca0a-06a0-4984-95d2-9cceb60bbbc2"/>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33</vt:i4>
      </vt:variant>
      <vt:variant>
        <vt:lpstr>Named Ranges</vt:lpstr>
      </vt:variant>
      <vt:variant>
        <vt:i4>500</vt:i4>
      </vt:variant>
    </vt:vector>
  </HeadingPairs>
  <TitlesOfParts>
    <vt:vector size="533" baseType="lpstr">
      <vt:lpstr>xlwings.conf</vt:lpstr>
      <vt:lpstr>Cover &amp; Configuration</vt:lpstr>
      <vt:lpstr>__names__</vt:lpstr>
      <vt:lpstr>RESOLVE Case Settings</vt:lpstr>
      <vt:lpstr>RECAP Case Dashboard</vt:lpstr>
      <vt:lpstr>RECAP Case Settings</vt:lpstr>
      <vt:lpstr>RESOLVE2RECAP</vt:lpstr>
      <vt:lpstr>Temporal Settings</vt:lpstr>
      <vt:lpstr>Custom Constraints</vt:lpstr>
      <vt:lpstr>System</vt:lpstr>
      <vt:lpstr>Non-Optimized System Costs</vt:lpstr>
      <vt:lpstr>Fuels</vt:lpstr>
      <vt:lpstr>Components→</vt:lpstr>
      <vt:lpstr>Loads</vt:lpstr>
      <vt:lpstr>Operating Reserves</vt:lpstr>
      <vt:lpstr>Policies →</vt:lpstr>
      <vt:lpstr>GHG Target</vt:lpstr>
      <vt:lpstr>Emissions Price</vt:lpstr>
      <vt:lpstr>PRM</vt:lpstr>
      <vt:lpstr>RPS and CES</vt:lpstr>
      <vt:lpstr>Resources →</vt:lpstr>
      <vt:lpstr>Assets</vt:lpstr>
      <vt:lpstr>Thermal</vt:lpstr>
      <vt:lpstr>Variable</vt:lpstr>
      <vt:lpstr>Hydro</vt:lpstr>
      <vt:lpstr>Storage</vt:lpstr>
      <vt:lpstr>Hybrid Variable</vt:lpstr>
      <vt:lpstr>Hybrid Storage</vt:lpstr>
      <vt:lpstr>Shed DR</vt:lpstr>
      <vt:lpstr>Flexible Loads</vt:lpstr>
      <vt:lpstr>Outage Distributions</vt:lpstr>
      <vt:lpstr>Zones and Transmission</vt:lpstr>
      <vt:lpstr>Lists</vt:lpstr>
      <vt:lpstr>adjacency</vt:lpstr>
      <vt:lpstr>'Flexible Loads'!allow_inter_period_sharing</vt:lpstr>
      <vt:lpstr>Assets!AllToPolicy</vt:lpstr>
      <vt:lpstr>'Emissions Price'!AllToPolicy</vt:lpstr>
      <vt:lpstr>'Flexible Loads'!AllToPolicy</vt:lpstr>
      <vt:lpstr>'GHG Target'!AllToPolicy</vt:lpstr>
      <vt:lpstr>'Hybrid Storage'!AllToPolicy</vt:lpstr>
      <vt:lpstr>'Hybrid Variable'!AllToPolicy</vt:lpstr>
      <vt:lpstr>Hydro!AllToPolicy</vt:lpstr>
      <vt:lpstr>PRM!AllToPolicy</vt:lpstr>
      <vt:lpstr>'RPS and CES'!AllToPolicy</vt:lpstr>
      <vt:lpstr>'Shed DR'!AllToPolicy</vt:lpstr>
      <vt:lpstr>Storage!AllToPolicy</vt:lpstr>
      <vt:lpstr>Thermal!AllToPolicy</vt:lpstr>
      <vt:lpstr>Variable!AllToPolicy</vt:lpstr>
      <vt:lpstr>'Emissions Price'!AllToPolicy.__2</vt:lpstr>
      <vt:lpstr>'GHG Target'!AllToPolicy.__2</vt:lpstr>
      <vt:lpstr>PRM!AllToPolicy.__2</vt:lpstr>
      <vt:lpstr>'RPS and CES'!AllToPolicy.__2</vt:lpstr>
      <vt:lpstr>'Emissions Price'!AllToPolicy.__2.forward_dir_multiplier</vt:lpstr>
      <vt:lpstr>'GHG Target'!AllToPolicy.__2.forward_dir_multiplier</vt:lpstr>
      <vt:lpstr>PRM!AllToPolicy.__2.multiplier</vt:lpstr>
      <vt:lpstr>'RPS and CES'!AllToPolicy.__2.multiplier</vt:lpstr>
      <vt:lpstr>'Emissions Price'!AllToPolicy.__2.reverse_dir_multiplier</vt:lpstr>
      <vt:lpstr>AllToPolicy.__2.reverse_dir_multiplier</vt:lpstr>
      <vt:lpstr>'Emissions Price'!AllToPolicy.__2.scenario</vt:lpstr>
      <vt:lpstr>'RPS and CES'!AllToPolicy.__2.scenario</vt:lpstr>
      <vt:lpstr>AllToPolicy.__2.scenario</vt:lpstr>
      <vt:lpstr>'Emissions Price'!AllToPolicy.__3</vt:lpstr>
      <vt:lpstr>AllToPolicy.__3</vt:lpstr>
      <vt:lpstr>'Emissions Price'!AllToPolicy.__3.multiplier</vt:lpstr>
      <vt:lpstr>AllToPolicy.__3.multiplier</vt:lpstr>
      <vt:lpstr>'Emissions Price'!AllToPolicy.__3.scenario</vt:lpstr>
      <vt:lpstr>AllToPolicy.__3.scenario</vt:lpstr>
      <vt:lpstr>AllToPolicy.__4</vt:lpstr>
      <vt:lpstr>AllToPolicy.__4.scenario</vt:lpstr>
      <vt:lpstr>'Emissions Price'!AllToPolicy.multiplier</vt:lpstr>
      <vt:lpstr>'GHG Target'!AllToPolicy.multiplier</vt:lpstr>
      <vt:lpstr>'RPS and CES'!AllToPolicy.multiplier</vt:lpstr>
      <vt:lpstr>AllToPolicy.nqc</vt:lpstr>
      <vt:lpstr>'Emissions Price'!AllToPolicy.scenario</vt:lpstr>
      <vt:lpstr>'GHG Target'!AllToPolicy.scenario</vt:lpstr>
      <vt:lpstr>'RPS and CES'!AllToPolicy.scenario</vt:lpstr>
      <vt:lpstr>AllToPolicy.scenario</vt:lpstr>
      <vt:lpstr>'Flexible Loads'!annual_budget</vt:lpstr>
      <vt:lpstr>'Hybrid Storage'!annual_budget</vt:lpstr>
      <vt:lpstr>'Hybrid Variable'!annual_budget</vt:lpstr>
      <vt:lpstr>Hydro!annual_budget</vt:lpstr>
      <vt:lpstr>Storage!annual_budget</vt:lpstr>
      <vt:lpstr>Variable!annual_budget</vt:lpstr>
      <vt:lpstr>annual_energy_forecast</vt:lpstr>
      <vt:lpstr>annual_peak_forecast</vt:lpstr>
      <vt:lpstr>annual_price</vt:lpstr>
      <vt:lpstr>'Emissions Price'!AnnualEmissionsPolicy</vt:lpstr>
      <vt:lpstr>AnnualEmissionsPolicy</vt:lpstr>
      <vt:lpstr>'Emissions Price'!AnnualEmissionsPolicy.scenario</vt:lpstr>
      <vt:lpstr>'GHG Target'!AnnualEmissionsPolicy.scenario</vt:lpstr>
      <vt:lpstr>'RPS and CES'!AnnualEnergyStandard</vt:lpstr>
      <vt:lpstr>'RPS and CES'!AnnualEnergyStandard.scenario</vt:lpstr>
      <vt:lpstr>Assets!Asset</vt:lpstr>
      <vt:lpstr>Assets!Asset.min_cumulative_new_build</vt:lpstr>
      <vt:lpstr>Assets!Asset.scenario</vt:lpstr>
      <vt:lpstr>Assets!AssetToELCC</vt:lpstr>
      <vt:lpstr>'Flexible Loads'!AssetToELCC</vt:lpstr>
      <vt:lpstr>'Hybrid Storage'!AssetToELCC</vt:lpstr>
      <vt:lpstr>'Hybrid Variable'!AssetToELCC</vt:lpstr>
      <vt:lpstr>PRM!AssetToELCC</vt:lpstr>
      <vt:lpstr>'Shed DR'!AssetToELCC</vt:lpstr>
      <vt:lpstr>Storage!AssetToELCC</vt:lpstr>
      <vt:lpstr>Variable!AssetToELCC</vt:lpstr>
      <vt:lpstr>AssetToELCC.elcc_axis_index</vt:lpstr>
      <vt:lpstr>AssetToELCC.elcc_axis_multiplier</vt:lpstr>
      <vt:lpstr>AssetToELCC.scenario</vt:lpstr>
      <vt:lpstr>PRM!CAISO_Baseline</vt:lpstr>
      <vt:lpstr>Assets!can_build_new</vt:lpstr>
      <vt:lpstr>'Flexible Loads'!can_build_new</vt:lpstr>
      <vt:lpstr>'Hybrid Storage'!can_build_new</vt:lpstr>
      <vt:lpstr>'Hybrid Variable'!can_build_new</vt:lpstr>
      <vt:lpstr>Hydro!can_build_new</vt:lpstr>
      <vt:lpstr>'Shed DR'!can_build_new</vt:lpstr>
      <vt:lpstr>Storage!can_build_new</vt:lpstr>
      <vt:lpstr>Thermal!can_build_new</vt:lpstr>
      <vt:lpstr>Variable!can_build_new</vt:lpstr>
      <vt:lpstr>'Flexible Loads'!can_retire</vt:lpstr>
      <vt:lpstr>'Hybrid Storage'!can_retire</vt:lpstr>
      <vt:lpstr>'Hybrid Variable'!can_retire</vt:lpstr>
      <vt:lpstr>Hydro!can_retire</vt:lpstr>
      <vt:lpstr>'Shed DR'!can_retire</vt:lpstr>
      <vt:lpstr>Storage!can_retire</vt:lpstr>
      <vt:lpstr>Thermal!can_retire</vt:lpstr>
      <vt:lpstr>Variable!can_retire</vt:lpstr>
      <vt:lpstr>CandidateFuel</vt:lpstr>
      <vt:lpstr>Fuels!CandidateFuel.scenario</vt:lpstr>
      <vt:lpstr>Thermal!CandidateFuelToResource</vt:lpstr>
      <vt:lpstr>'RECAP Case Settings'!case_settings</vt:lpstr>
      <vt:lpstr>'RECAP Case Dashboard'!cases_to_run</vt:lpstr>
      <vt:lpstr>'RECAP Case Settings'!cases_to_run</vt:lpstr>
      <vt:lpstr>cases_to_run</vt:lpstr>
      <vt:lpstr>'Hybrid Variable'!category</vt:lpstr>
      <vt:lpstr>'Resources →'!category</vt:lpstr>
      <vt:lpstr>category</vt:lpstr>
      <vt:lpstr>'Hybrid Storage'!charging_efficiency</vt:lpstr>
      <vt:lpstr>Storage!charging_efficiency</vt:lpstr>
      <vt:lpstr>charging_efficiency</vt:lpstr>
      <vt:lpstr>chrono_periods</vt:lpstr>
      <vt:lpstr>component_class_sheets</vt:lpstr>
      <vt:lpstr>component_names</vt:lpstr>
      <vt:lpstr>component_types</vt:lpstr>
      <vt:lpstr>components_data_range</vt:lpstr>
      <vt:lpstr>constraints_to_load</vt:lpstr>
      <vt:lpstr>'Hybrid Variable'!curtailable</vt:lpstr>
      <vt:lpstr>Hydro!curtailable</vt:lpstr>
      <vt:lpstr>Variable!curtailable</vt:lpstr>
      <vt:lpstr>'Hybrid Storage'!curtailment_cost</vt:lpstr>
      <vt:lpstr>'Hybrid Variable'!curtailment_cost</vt:lpstr>
      <vt:lpstr>Hydro!curtailment_cost</vt:lpstr>
      <vt:lpstr>Storage!curtailment_cost</vt:lpstr>
      <vt:lpstr>Variable!curtailment_cost</vt:lpstr>
      <vt:lpstr>custom_constraint_groups_annual</vt:lpstr>
      <vt:lpstr>custom_constraint_groups_timepoint</vt:lpstr>
      <vt:lpstr>custom_constraints_annual</vt:lpstr>
      <vt:lpstr>custom_constraints_lhs</vt:lpstr>
      <vt:lpstr>custom_constraints_operator_and_rhs</vt:lpstr>
      <vt:lpstr>custom_constraints_timepoint</vt:lpstr>
      <vt:lpstr>custom_constraints_timepoint_lhs</vt:lpstr>
      <vt:lpstr>custom_constraints_timepoint_operator_and_rhs</vt:lpstr>
      <vt:lpstr>'Flexible Loads'!daily_budget</vt:lpstr>
      <vt:lpstr>'Hybrid Storage'!daily_budget</vt:lpstr>
      <vt:lpstr>'Hybrid Variable'!daily_budget</vt:lpstr>
      <vt:lpstr>Hydro!daily_budget</vt:lpstr>
      <vt:lpstr>Storage!daily_budget</vt:lpstr>
      <vt:lpstr>Variable!daily_budget</vt:lpstr>
      <vt:lpstr>DATA_FOLDER_PATH</vt:lpstr>
      <vt:lpstr>'RECAP Case Settings'!decremental_last_in_resources</vt:lpstr>
      <vt:lpstr>derate</vt:lpstr>
      <vt:lpstr>derate_prob</vt:lpstr>
      <vt:lpstr>direction</vt:lpstr>
      <vt:lpstr>'Flexible Loads'!discharging_efficiency</vt:lpstr>
      <vt:lpstr>'Hybrid Storage'!discharging_efficiency</vt:lpstr>
      <vt:lpstr>Storage!discharging_efficiency</vt:lpstr>
      <vt:lpstr>'Hybrid Storage'!duration</vt:lpstr>
      <vt:lpstr>Storage!duration</vt:lpstr>
      <vt:lpstr>ELCC_points_matrix</vt:lpstr>
      <vt:lpstr>ELCC_surface_incremental_flag</vt:lpstr>
      <vt:lpstr>ELCCFacets</vt:lpstr>
      <vt:lpstr>ELCCFacets.axis_0</vt:lpstr>
      <vt:lpstr>ELCCFacets.axis_1</vt:lpstr>
      <vt:lpstr>ELCCFacets.axis_2</vt:lpstr>
      <vt:lpstr>ELCCFacets.scenario</vt:lpstr>
      <vt:lpstr>PRM!ELCCSurface</vt:lpstr>
      <vt:lpstr>ELCCSurface</vt:lpstr>
      <vt:lpstr>'Flexible Loads'!energy_budget_annual</vt:lpstr>
      <vt:lpstr>'Shed DR'!energy_budget_annual</vt:lpstr>
      <vt:lpstr>'Flexible Loads'!energy_budget_daily</vt:lpstr>
      <vt:lpstr>'Shed DR'!energy_budget_daily</vt:lpstr>
      <vt:lpstr>'Flexible Loads'!energy_budget_monthly</vt:lpstr>
      <vt:lpstr>'Shed DR'!energy_budget_monthly</vt:lpstr>
      <vt:lpstr>exclusive</vt:lpstr>
      <vt:lpstr>fixed_annual_shape</vt:lpstr>
      <vt:lpstr>'Flexible Loads'!FlexLoadResource</vt:lpstr>
      <vt:lpstr>'Flexible Loads'!FlexLoadResource.scenario</vt:lpstr>
      <vt:lpstr>FlexLoadResource.scenario</vt:lpstr>
      <vt:lpstr>Thermal!fuel_burn_intercept</vt:lpstr>
      <vt:lpstr>Thermal!fuel_burn_slope</vt:lpstr>
      <vt:lpstr>'Hybrid Storage'!HybridStorageResource</vt:lpstr>
      <vt:lpstr>'Hybrid Storage'!HybridStorageResource.scenario</vt:lpstr>
      <vt:lpstr>'Hybrid Storage'!HybridStorageResourceToHybridVariableResource</vt:lpstr>
      <vt:lpstr>'Hybrid Storage'!HybridStorageResourceToHybridVariableResource.grid_charging_allowed</vt:lpstr>
      <vt:lpstr>'Hybrid Storage'!HybridStorageResourceToHybridVariableResource.interconnection_limit_mw</vt:lpstr>
      <vt:lpstr>'Hybrid Storage'!HybridStorageResourceToHybridVariableResource.scenario</vt:lpstr>
      <vt:lpstr>'Hybrid Variable'!HybridVariableResource</vt:lpstr>
      <vt:lpstr>'Hybrid Variable'!HybridVariableResource.scenario</vt:lpstr>
      <vt:lpstr>Hydro!HydroResource</vt:lpstr>
      <vt:lpstr>Hydro!HydroResource.scenario</vt:lpstr>
      <vt:lpstr>'Flexible Loads'!increase_load_potential_profile</vt:lpstr>
      <vt:lpstr>'Hybrid Storage'!increase_load_potential_profile</vt:lpstr>
      <vt:lpstr>Hydro!increase_load_potential_profile</vt:lpstr>
      <vt:lpstr>'Shed DR'!increase_load_potential_profile</vt:lpstr>
      <vt:lpstr>Storage!increase_load_potential_profile</vt:lpstr>
      <vt:lpstr>'RECAP Case Settings'!incremental_last_in_resources</vt:lpstr>
      <vt:lpstr>linkages_sheets</vt:lpstr>
      <vt:lpstr>list_flexload_resources</vt:lpstr>
      <vt:lpstr>list_hybridstorage_resources</vt:lpstr>
      <vt:lpstr>list_hybridvariable_resources</vt:lpstr>
      <vt:lpstr>list_resolve_result_case</vt:lpstr>
      <vt:lpstr>list_resolve_result_run</vt:lpstr>
      <vt:lpstr>list_resourcegroup_categories</vt:lpstr>
      <vt:lpstr>list_saved_cases_recap</vt:lpstr>
      <vt:lpstr>list_saved_cases_resolve</vt:lpstr>
      <vt:lpstr>list_saved_system</vt:lpstr>
      <vt:lpstr>lists_candidate_fuels</vt:lpstr>
      <vt:lpstr>lists_components</vt:lpstr>
      <vt:lpstr>lists_custom_constraint_groups_annual</vt:lpstr>
      <vt:lpstr>lists_custom_constraint_groups_timepoint</vt:lpstr>
      <vt:lpstr>lists_custom_constraints_annual</vt:lpstr>
      <vt:lpstr>lists_custom_constraints_timepoint</vt:lpstr>
      <vt:lpstr>lists_dr_resources</vt:lpstr>
      <vt:lpstr>lists_elcc_surfaces</vt:lpstr>
      <vt:lpstr>lists_emissions_targets</vt:lpstr>
      <vt:lpstr>lists_hydro_resources</vt:lpstr>
      <vt:lpstr>lists_linkages</vt:lpstr>
      <vt:lpstr>lists_load_components</vt:lpstr>
      <vt:lpstr>lists_non_emissions_policies</vt:lpstr>
      <vt:lpstr>lists_outage_distributions</vt:lpstr>
      <vt:lpstr>lists_policies</vt:lpstr>
      <vt:lpstr>lists_prm</vt:lpstr>
      <vt:lpstr>lists_reserves</vt:lpstr>
      <vt:lpstr>lists_resources</vt:lpstr>
      <vt:lpstr>lists_rps</vt:lpstr>
      <vt:lpstr>lists_simultaneous_flow_groups</vt:lpstr>
      <vt:lpstr>lists_storage_resources</vt:lpstr>
      <vt:lpstr>lists_thermal_resources</vt:lpstr>
      <vt:lpstr>lists_transmission_paths</vt:lpstr>
      <vt:lpstr>lists_variable_resources</vt:lpstr>
      <vt:lpstr>lists_zones</vt:lpstr>
      <vt:lpstr>Load</vt:lpstr>
      <vt:lpstr>Loads!Load.scenario</vt:lpstr>
      <vt:lpstr>LoadToZone</vt:lpstr>
      <vt:lpstr>map_to_rep_periods</vt:lpstr>
      <vt:lpstr>'RECAP Case Settings'!marginal_ELCC_step_size</vt:lpstr>
      <vt:lpstr>'RECAP Case Settings'!marginal_resources</vt:lpstr>
      <vt:lpstr>'Flexible Loads'!max_annual_calls</vt:lpstr>
      <vt:lpstr>'Shed DR'!max_annual_calls</vt:lpstr>
      <vt:lpstr>'Flexible Loads'!max_call_duration</vt:lpstr>
      <vt:lpstr>'Shed DR'!max_call_duration</vt:lpstr>
      <vt:lpstr>'Flexible Loads'!max_daily_calls</vt:lpstr>
      <vt:lpstr>'Shed DR'!max_daily_calls</vt:lpstr>
      <vt:lpstr>max_fraction_of_capacity</vt:lpstr>
      <vt:lpstr>'Flexible Loads'!max_monthly_calls</vt:lpstr>
      <vt:lpstr>'Shed DR'!max_monthly_calls</vt:lpstr>
      <vt:lpstr>'Flexible Loads'!mean_time_to_repair</vt:lpstr>
      <vt:lpstr>'Hybrid Storage'!mean_time_to_repair</vt:lpstr>
      <vt:lpstr>'Hybrid Variable'!mean_time_to_repair</vt:lpstr>
      <vt:lpstr>Hydro!mean_time_to_repair</vt:lpstr>
      <vt:lpstr>'Shed DR'!mean_time_to_repair</vt:lpstr>
      <vt:lpstr>Storage!mean_time_to_repair</vt:lpstr>
      <vt:lpstr>Thermal!mean_time_to_repair</vt:lpstr>
      <vt:lpstr>Variable!mean_time_to_repair</vt:lpstr>
      <vt:lpstr>'Flexible Loads'!min_cumulative_new_build</vt:lpstr>
      <vt:lpstr>'Hybrid Storage'!min_cumulative_new_build</vt:lpstr>
      <vt:lpstr>'Hybrid Variable'!min_cumulative_new_build</vt:lpstr>
      <vt:lpstr>Hydro!min_cumulative_new_build</vt:lpstr>
      <vt:lpstr>'Shed DR'!min_cumulative_new_build</vt:lpstr>
      <vt:lpstr>Storage!min_cumulative_new_build</vt:lpstr>
      <vt:lpstr>Thermal!min_cumulative_new_build</vt:lpstr>
      <vt:lpstr>Variable!min_cumulative_new_build</vt:lpstr>
      <vt:lpstr>'Flexible Loads'!min_down_time</vt:lpstr>
      <vt:lpstr>'Shed DR'!min_down_time</vt:lpstr>
      <vt:lpstr>Thermal!min_down_time</vt:lpstr>
      <vt:lpstr>'Flexible Loads'!min_op_capacity</vt:lpstr>
      <vt:lpstr>'Hybrid Storage'!min_op_capacity</vt:lpstr>
      <vt:lpstr>'Hybrid Variable'!min_op_capacity</vt:lpstr>
      <vt:lpstr>Hydro!min_op_capacity</vt:lpstr>
      <vt:lpstr>'Shed DR'!min_op_capacity</vt:lpstr>
      <vt:lpstr>Storage!min_op_capacity</vt:lpstr>
      <vt:lpstr>Variable!min_op_capacity</vt:lpstr>
      <vt:lpstr>'Flexible Loads'!min_stable_level</vt:lpstr>
      <vt:lpstr>'Shed DR'!min_stable_level</vt:lpstr>
      <vt:lpstr>Thermal!min_stable_level</vt:lpstr>
      <vt:lpstr>'Flexible Loads'!min_up_time</vt:lpstr>
      <vt:lpstr>'Shed DR'!min_up_time</vt:lpstr>
      <vt:lpstr>Thermal!min_up_time</vt:lpstr>
      <vt:lpstr>model_name</vt:lpstr>
      <vt:lpstr>monthly_budget</vt:lpstr>
      <vt:lpstr>monthly_price_multiplier</vt:lpstr>
      <vt:lpstr>Assets!new_capacity_annualized_all_in_fixed_cost_by_vintage</vt:lpstr>
      <vt:lpstr>'Hybrid Storage'!new_capacity_annualized_all_in_fixed_cost_by_vintage</vt:lpstr>
      <vt:lpstr>'Hybrid Variable'!new_capacity_annualized_all_in_fixed_cost_by_vintage</vt:lpstr>
      <vt:lpstr>Hydro!new_capacity_annualized_all_in_fixed_cost_by_vintage</vt:lpstr>
      <vt:lpstr>Storage!new_capacity_annualized_all_in_fixed_cost_by_vintage</vt:lpstr>
      <vt:lpstr>Thermal!new_capacity_annualized_all_in_fixed_cost_by_vintage</vt:lpstr>
      <vt:lpstr>Variable!new_capacity_annualized_all_in_fixed_cost_by_vintage</vt:lpstr>
      <vt:lpstr>'Flexible Loads'!new_capacity_fixed_om_by_vintage</vt:lpstr>
      <vt:lpstr>'Hybrid Storage'!new_capacity_fixed_om_by_vintage</vt:lpstr>
      <vt:lpstr>'Hybrid Variable'!new_capacity_fixed_om_by_vintage</vt:lpstr>
      <vt:lpstr>Hydro!new_capacity_fixed_om_by_vintage</vt:lpstr>
      <vt:lpstr>'Shed DR'!new_capacity_fixed_om_by_vintage</vt:lpstr>
      <vt:lpstr>Storage!new_capacity_fixed_om_by_vintage</vt:lpstr>
      <vt:lpstr>Thermal!new_capacity_fixed_om_by_vintage</vt:lpstr>
      <vt:lpstr>Variable!new_capacity_fixed_om_by_vintage</vt:lpstr>
      <vt:lpstr>'Hybrid Storage'!new_storage_annual_fixed_cost_dollars_per_kwh_yr_by_vintage</vt:lpstr>
      <vt:lpstr>Storage!new_storage_annual_fixed_cost_dollars_per_kwh_yr_by_vintage</vt:lpstr>
      <vt:lpstr>'Hybrid Storage'!new_storage_capacity_fixed_om_by_vintage</vt:lpstr>
      <vt:lpstr>Storage!new_storage_capacity_fixed_om_by_vintage</vt:lpstr>
      <vt:lpstr>OutageDistribution</vt:lpstr>
      <vt:lpstr>OutageDistribution.dist_point</vt:lpstr>
      <vt:lpstr>OutageDistribution.scenario</vt:lpstr>
      <vt:lpstr>'Hybrid Storage'!parasitic_loss</vt:lpstr>
      <vt:lpstr>Storage!parasitic_loss</vt:lpstr>
      <vt:lpstr>parasitic_loss</vt:lpstr>
      <vt:lpstr>penalty_unserved_reserve</vt:lpstr>
      <vt:lpstr>'Hybrid Storage'!planned_fixed_om_by_model_year</vt:lpstr>
      <vt:lpstr>'Hybrid Variable'!planned_fixed_om_by_model_year</vt:lpstr>
      <vt:lpstr>Hydro!planned_fixed_om_by_model_year</vt:lpstr>
      <vt:lpstr>Storage!planned_fixed_om_by_model_year</vt:lpstr>
      <vt:lpstr>Thermal!planned_fixed_om_by_model_year</vt:lpstr>
      <vt:lpstr>Variable!planned_fixed_om_by_model_year</vt:lpstr>
      <vt:lpstr>Assets!planned_installed_capacity</vt:lpstr>
      <vt:lpstr>'Flexible Loads'!planned_installed_capacity</vt:lpstr>
      <vt:lpstr>'Hybrid Storage'!planned_installed_capacity</vt:lpstr>
      <vt:lpstr>'Hybrid Variable'!planned_installed_capacity</vt:lpstr>
      <vt:lpstr>Hydro!planned_installed_capacity</vt:lpstr>
      <vt:lpstr>'Shed DR'!planned_installed_capacity</vt:lpstr>
      <vt:lpstr>Storage!planned_installed_capacity</vt:lpstr>
      <vt:lpstr>Thermal!planned_installed_capacity</vt:lpstr>
      <vt:lpstr>Variable!planned_installed_capacity</vt:lpstr>
      <vt:lpstr>'Hybrid Storage'!planned_storage_capacity</vt:lpstr>
      <vt:lpstr>Storage!planned_storage_capacity</vt:lpstr>
      <vt:lpstr>'Hybrid Storage'!planned_storage_capacity_fixed_om_by_model_year</vt:lpstr>
      <vt:lpstr>Storage!planned_storage_capacity_fixed_om_by_model_year</vt:lpstr>
      <vt:lpstr>PRM!PlanningReserveMargin</vt:lpstr>
      <vt:lpstr>PRM!PlanningReserveMargin.scenario</vt:lpstr>
      <vt:lpstr>Assets!potential</vt:lpstr>
      <vt:lpstr>'Flexible Loads'!potential</vt:lpstr>
      <vt:lpstr>'Hybrid Storage'!potential</vt:lpstr>
      <vt:lpstr>'Hybrid Variable'!potential</vt:lpstr>
      <vt:lpstr>Hydro!potential</vt:lpstr>
      <vt:lpstr>'Shed DR'!potential</vt:lpstr>
      <vt:lpstr>Storage!potential</vt:lpstr>
      <vt:lpstr>Thermal!potential</vt:lpstr>
      <vt:lpstr>Variable!potential</vt:lpstr>
      <vt:lpstr>'Emissions Price'!price</vt:lpstr>
      <vt:lpstr>Loads!profile</vt:lpstr>
      <vt:lpstr>profile_model_years</vt:lpstr>
      <vt:lpstr>'Flexible Loads'!provide_power_min_profile</vt:lpstr>
      <vt:lpstr>'Hybrid Storage'!provide_power_min_profile</vt:lpstr>
      <vt:lpstr>Hydro!provide_power_min_profile</vt:lpstr>
      <vt:lpstr>'Shed DR'!provide_power_min_profile</vt:lpstr>
      <vt:lpstr>Storage!provide_power_min_profile</vt:lpstr>
      <vt:lpstr>Thermal!provide_power_min_profile</vt:lpstr>
      <vt:lpstr>'Flexible Loads'!provide_power_potential_profile</vt:lpstr>
      <vt:lpstr>'Hybrid Storage'!provide_power_potential_profile</vt:lpstr>
      <vt:lpstr>'Hybrid Variable'!provide_power_potential_profile</vt:lpstr>
      <vt:lpstr>Hydro!provide_power_potential_profile</vt:lpstr>
      <vt:lpstr>'Shed DR'!provide_power_potential_profile</vt:lpstr>
      <vt:lpstr>Storage!provide_power_potential_profile</vt:lpstr>
      <vt:lpstr>Thermal!provide_power_potential_profile</vt:lpstr>
      <vt:lpstr>Variable!provide_power_potential_profile</vt:lpstr>
      <vt:lpstr>PYTHONPATH</vt:lpstr>
      <vt:lpstr>'Hybrid Storage'!ramp_rate</vt:lpstr>
      <vt:lpstr>Hydro!ramp_rate</vt:lpstr>
      <vt:lpstr>Storage!ramp_rate</vt:lpstr>
      <vt:lpstr>'Hybrid Storage'!ramp_rate_2_hour</vt:lpstr>
      <vt:lpstr>Hydro!ramp_rate_2_hour</vt:lpstr>
      <vt:lpstr>Storage!ramp_rate_2_hour</vt:lpstr>
      <vt:lpstr>'Hybrid Storage'!ramp_rate_3_hour</vt:lpstr>
      <vt:lpstr>Hydro!ramp_rate_3_hour</vt:lpstr>
      <vt:lpstr>Storage!ramp_rate_3_hour</vt:lpstr>
      <vt:lpstr>'Hybrid Storage'!ramp_rate_4_hour</vt:lpstr>
      <vt:lpstr>Hydro!ramp_rate_4_hour</vt:lpstr>
      <vt:lpstr>Storage!ramp_rate_4_hour</vt:lpstr>
      <vt:lpstr>'Flexible Loads'!random_seed</vt:lpstr>
      <vt:lpstr>'Hybrid Storage'!random_seed</vt:lpstr>
      <vt:lpstr>'Hybrid Variable'!random_seed</vt:lpstr>
      <vt:lpstr>Hydro!random_seed</vt:lpstr>
      <vt:lpstr>'Resources →'!random_seed</vt:lpstr>
      <vt:lpstr>'Shed DR'!random_seed</vt:lpstr>
      <vt:lpstr>Storage!random_seed</vt:lpstr>
      <vt:lpstr>Thermal!random_seed</vt:lpstr>
      <vt:lpstr>Variable!random_seed</vt:lpstr>
      <vt:lpstr>recap_case_to_load</vt:lpstr>
      <vt:lpstr>rep_period_weights</vt:lpstr>
      <vt:lpstr>rep_periods</vt:lpstr>
      <vt:lpstr>requirement</vt:lpstr>
      <vt:lpstr>Reserve</vt:lpstr>
      <vt:lpstr>'Operating Reserves'!Reserve.scenario</vt:lpstr>
      <vt:lpstr>ReserveToZone</vt:lpstr>
      <vt:lpstr>ReserveToZone.requirement_fraction_of_gross_load</vt:lpstr>
      <vt:lpstr>ReserveToZone.scenario</vt:lpstr>
      <vt:lpstr>'Flexible Loads'!Resource</vt:lpstr>
      <vt:lpstr>'Hybrid Storage'!Resource</vt:lpstr>
      <vt:lpstr>'Hybrid Variable'!Resource</vt:lpstr>
      <vt:lpstr>Hydro!Resource</vt:lpstr>
      <vt:lpstr>'Shed DR'!Resource</vt:lpstr>
      <vt:lpstr>Storage!Resource</vt:lpstr>
      <vt:lpstr>Thermal!Resource</vt:lpstr>
      <vt:lpstr>Variable!Resource</vt:lpstr>
      <vt:lpstr>ResourceGroup</vt:lpstr>
      <vt:lpstr>ResourceGroup.scenario</vt:lpstr>
      <vt:lpstr>'Flexible Loads'!ResourceToOutageDistribution</vt:lpstr>
      <vt:lpstr>'Hybrid Storage'!ResourceToOutageDistribution</vt:lpstr>
      <vt:lpstr>'Hybrid Variable'!ResourceToOutageDistribution</vt:lpstr>
      <vt:lpstr>Hydro!ResourceToOutageDistribution</vt:lpstr>
      <vt:lpstr>'Shed DR'!ResourceToOutageDistribution</vt:lpstr>
      <vt:lpstr>Storage!ResourceToOutageDistribution</vt:lpstr>
      <vt:lpstr>Thermal!ResourceToOutageDistribution</vt:lpstr>
      <vt:lpstr>Variable!ResourceToOutageDistribution</vt:lpstr>
      <vt:lpstr>'Flexible Loads'!ResourceToReserve</vt:lpstr>
      <vt:lpstr>'Hybrid Storage'!ResourceToReserve</vt:lpstr>
      <vt:lpstr>'Hybrid Variable'!ResourceToReserve</vt:lpstr>
      <vt:lpstr>Hydro!ResourceToReserve</vt:lpstr>
      <vt:lpstr>'Shed DR'!ResourceToReserve</vt:lpstr>
      <vt:lpstr>Storage!ResourceToReserve</vt:lpstr>
      <vt:lpstr>Thermal!ResourceToReserve</vt:lpstr>
      <vt:lpstr>Variable!ResourceToReserve</vt:lpstr>
      <vt:lpstr>ResourceToReserve</vt:lpstr>
      <vt:lpstr>ResourceToReserve.scenario</vt:lpstr>
      <vt:lpstr>'Flexible Loads'!ResourceToResourceGroup</vt:lpstr>
      <vt:lpstr>'Hybrid Storage'!ResourceToResourceGroup</vt:lpstr>
      <vt:lpstr>'Hybrid Variable'!ResourceToResourceGroup</vt:lpstr>
      <vt:lpstr>Hydro!ResourceToResourceGroup</vt:lpstr>
      <vt:lpstr>'Shed DR'!ResourceToResourceGroup</vt:lpstr>
      <vt:lpstr>Storage!ResourceToResourceGroup</vt:lpstr>
      <vt:lpstr>Thermal!ResourceToResourceGroup</vt:lpstr>
      <vt:lpstr>Variable!ResourceToResourceGroup</vt:lpstr>
      <vt:lpstr>'Flexible Loads'!ResourceToZone</vt:lpstr>
      <vt:lpstr>'Hybrid Storage'!ResourceToZone</vt:lpstr>
      <vt:lpstr>'Hybrid Variable'!ResourceToZone</vt:lpstr>
      <vt:lpstr>Hydro!ResourceToZone</vt:lpstr>
      <vt:lpstr>'Shed DR'!ResourceToZone</vt:lpstr>
      <vt:lpstr>Storage!ResourceToZone</vt:lpstr>
      <vt:lpstr>Thermal!ResourceToZone</vt:lpstr>
      <vt:lpstr>Variable!ResourceToZone</vt:lpstr>
      <vt:lpstr>scale_by_capacity</vt:lpstr>
      <vt:lpstr>scale_by_energy</vt:lpstr>
      <vt:lpstr>scenarios_all</vt:lpstr>
      <vt:lpstr>settings_components_to_consider</vt:lpstr>
      <vt:lpstr>settings_financial_attributes</vt:lpstr>
      <vt:lpstr>settings_modeled_year_attributes</vt:lpstr>
      <vt:lpstr>'RECAP Case Settings'!settings_name</vt:lpstr>
      <vt:lpstr>settings_name</vt:lpstr>
      <vt:lpstr>settings_rep_period_attributes</vt:lpstr>
      <vt:lpstr>settings_rep_period_method</vt:lpstr>
      <vt:lpstr>'RECAP Case Settings'!settings_scenarios</vt:lpstr>
      <vt:lpstr>settings_scenarios</vt:lpstr>
      <vt:lpstr>settings_solver_attributes</vt:lpstr>
      <vt:lpstr>settings_system</vt:lpstr>
      <vt:lpstr>settings_weather_years_to_use</vt:lpstr>
      <vt:lpstr>'Shed DR'!ShedDrResource</vt:lpstr>
      <vt:lpstr>'Shed DR'!ShedDrResource.scenario</vt:lpstr>
      <vt:lpstr>'Flexible Loads'!shift_direction</vt:lpstr>
      <vt:lpstr>show_console</vt:lpstr>
      <vt:lpstr>Thermal!shutdown_cost</vt:lpstr>
      <vt:lpstr>simultaneous_flow_limits</vt:lpstr>
      <vt:lpstr>solver_name</vt:lpstr>
      <vt:lpstr>Thermal!start_cost</vt:lpstr>
      <vt:lpstr>Thermal!start_fuel_use</vt:lpstr>
      <vt:lpstr>start_year</vt:lpstr>
      <vt:lpstr>'Flexible Loads'!stochastic_outage_rate</vt:lpstr>
      <vt:lpstr>'Hybrid Storage'!stochastic_outage_rate</vt:lpstr>
      <vt:lpstr>'Hybrid Variable'!stochastic_outage_rate</vt:lpstr>
      <vt:lpstr>Hydro!stochastic_outage_rate</vt:lpstr>
      <vt:lpstr>'Shed DR'!stochastic_outage_rate</vt:lpstr>
      <vt:lpstr>Storage!stochastic_outage_rate</vt:lpstr>
      <vt:lpstr>Thermal!stochastic_outage_rate</vt:lpstr>
      <vt:lpstr>Variable!stochastic_outage_rate</vt:lpstr>
      <vt:lpstr>Storage!StorageResource</vt:lpstr>
      <vt:lpstr>Storage!StorageResource.scenario</vt:lpstr>
      <vt:lpstr>System</vt:lpstr>
      <vt:lpstr>system_name</vt:lpstr>
      <vt:lpstr>system_to_load</vt:lpstr>
      <vt:lpstr>System!System.scenario</vt:lpstr>
      <vt:lpstr>SystemCost.annual_cost</vt:lpstr>
      <vt:lpstr>SystemCost.scenario</vt:lpstr>
      <vt:lpstr>PRM!target</vt:lpstr>
      <vt:lpstr>'RPS and CES'!target</vt:lpstr>
      <vt:lpstr>target</vt:lpstr>
      <vt:lpstr>'Emissions Price'!target_adjustment</vt:lpstr>
      <vt:lpstr>PRM!target_adjustment</vt:lpstr>
      <vt:lpstr>'RPS and CES'!target_adjustment</vt:lpstr>
      <vt:lpstr>target_adjustment</vt:lpstr>
      <vt:lpstr>target_basis</vt:lpstr>
      <vt:lpstr>'RPS and CES'!target_units</vt:lpstr>
      <vt:lpstr>target_units</vt:lpstr>
      <vt:lpstr>td_losses_adjustment</vt:lpstr>
      <vt:lpstr>Thermal!ThermalResource</vt:lpstr>
      <vt:lpstr>Thermal!ThermalResource.scenario</vt:lpstr>
      <vt:lpstr>TXPath</vt:lpstr>
      <vt:lpstr>'Zones and Transmission'!TXPath.can_build_new</vt:lpstr>
      <vt:lpstr>'Zones and Transmission'!TXPath.can_retire</vt:lpstr>
      <vt:lpstr>TXPath.forward_rating_profile</vt:lpstr>
      <vt:lpstr>TXPath.hurdle_rate_forward_direction</vt:lpstr>
      <vt:lpstr>TXPath.hurdle_rate_reverse_direction</vt:lpstr>
      <vt:lpstr>'Zones and Transmission'!TXPath.planned_installed_capacity</vt:lpstr>
      <vt:lpstr>TXPath.reverse_rating_profile</vt:lpstr>
      <vt:lpstr>'Zones and Transmission'!TXPath.scenario</vt:lpstr>
      <vt:lpstr>TXPath.simultaneous_flow_groups</vt:lpstr>
      <vt:lpstr>'Flexible Loads'!unit_commitment</vt:lpstr>
      <vt:lpstr>'Shed DR'!unit_commitment</vt:lpstr>
      <vt:lpstr>Thermal!unit_commitment_linear</vt:lpstr>
      <vt:lpstr>'Shed DR'!unit_size</vt:lpstr>
      <vt:lpstr>Thermal!unit_size_mw</vt:lpstr>
      <vt:lpstr>Use_RECAP_2.0_Wrapper</vt:lpstr>
      <vt:lpstr>'Hybrid Storage'!variable_cost_provide_power</vt:lpstr>
      <vt:lpstr>'Hybrid Variable'!variable_cost_provide_power</vt:lpstr>
      <vt:lpstr>Hydro!variable_cost_provide_power</vt:lpstr>
      <vt:lpstr>Storage!variable_cost_provide_power</vt:lpstr>
      <vt:lpstr>Thermal!variable_cost_provide_power</vt:lpstr>
      <vt:lpstr>Variable!variable_cost_provide_power</vt:lpstr>
      <vt:lpstr>Variable!VariableResource</vt:lpstr>
      <vt:lpstr>Variable!VariableResource.scenario</vt:lpstr>
      <vt:lpstr>vars_and_expressions</vt:lpstr>
      <vt:lpstr>Zone</vt:lpstr>
      <vt:lpstr>Zone.penalty_overgen</vt:lpstr>
      <vt:lpstr>Zone.penalty_unserved_energy</vt:lpstr>
      <vt:lpstr>Zone.scenario</vt:lpstr>
      <vt:lpstr>ZoneToTransmissionPath</vt:lpstr>
      <vt:lpstr>ZoneToTransmissionPath.from_zone</vt:lpstr>
      <vt:lpstr>ZoneToTransmissionPath.scenario</vt:lpstr>
      <vt:lpstr>ZoneToTransmissionPath.to_zone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RESOLVE Scenario Tool</dc:title>
  <dc:subject/>
  <dc:creator>Energy and Environmental Economics</dc:creator>
  <cp:keywords/>
  <dc:description/>
  <cp:lastModifiedBy>Roderick Go</cp:lastModifiedBy>
  <cp:revision/>
  <dcterms:created xsi:type="dcterms:W3CDTF">2019-02-09T00:17:20Z</dcterms:created>
  <dcterms:modified xsi:type="dcterms:W3CDTF">2024-06-24T21:38:14Z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53bbb04a-1947-4eb6-967e-69cb9492be51</vt:lpwstr>
  </property>
  <property fmtid="{D5CDD505-2E9C-101B-9397-08002B2CF9AE}" pid="3" name="ContentTypeId">
    <vt:lpwstr>0x010100FE256B901B0B0C47ADC012F0CAB4D882</vt:lpwstr>
  </property>
  <property fmtid="{D5CDD505-2E9C-101B-9397-08002B2CF9AE}" pid="4" name="{A44787D4-0540-4523-9961-78E4036D8C6D}">
    <vt:lpwstr>{2ECBBC32-10FE-47BE-8DB5-22A938906143}</vt:lpwstr>
  </property>
  <property fmtid="{D5CDD505-2E9C-101B-9397-08002B2CF9AE}" pid="5" name="Order">
    <vt:i4>8500</vt:i4>
  </property>
  <property fmtid="{D5CDD505-2E9C-101B-9397-08002B2CF9AE}" pid="6" name="xd_Signature">
    <vt:bool>false</vt:bool>
  </property>
  <property fmtid="{D5CDD505-2E9C-101B-9397-08002B2CF9AE}" pid="7" name="xd_ProgID">
    <vt:lpwstr/>
  </property>
  <property fmtid="{D5CDD505-2E9C-101B-9397-08002B2CF9AE}" pid="8" name="_ExtendedDescription">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ies>
</file>